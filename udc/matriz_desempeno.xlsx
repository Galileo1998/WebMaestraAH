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drawings/drawing12.xml" ContentType="application/vnd.openxmlformats-officedocument.drawing+xml"/>
  <Override PartName="/xl/comments13.xml" ContentType="application/vnd.openxmlformats-officedocument.spreadsheetml.comments+xml"/>
  <Override PartName="/xl/drawings/drawing13.xml" ContentType="application/vnd.openxmlformats-officedocument.drawing+xml"/>
  <Override PartName="/xl/comments14.xml" ContentType="application/vnd.openxmlformats-officedocument.spreadsheetml.comments+xml"/>
  <Override PartName="/xl/drawings/drawing14.xml" ContentType="application/vnd.openxmlformats-officedocument.drawing+xml"/>
  <Override PartName="/xl/comments15.xml" ContentType="application/vnd.openxmlformats-officedocument.spreadsheetml.comments+xml"/>
  <Override PartName="/xl/drawings/drawing15.xml" ContentType="application/vnd.openxmlformats-officedocument.drawing+xml"/>
  <Override PartName="/xl/comments16.xml" ContentType="application/vnd.openxmlformats-officedocument.spreadsheetml.comments+xml"/>
  <Override PartName="/xl/drawings/drawing16.xml" ContentType="application/vnd.openxmlformats-officedocument.drawing+xml"/>
  <Override PartName="/xl/comments17.xml" ContentType="application/vnd.openxmlformats-officedocument.spreadsheetml.comments+xml"/>
  <Override PartName="/xl/drawings/drawing17.xml" ContentType="application/vnd.openxmlformats-officedocument.drawing+xml"/>
  <Override PartName="/xl/comments18.xml" ContentType="application/vnd.openxmlformats-officedocument.spreadsheetml.comments+xml"/>
  <Override PartName="/xl/drawings/drawing18.xml" ContentType="application/vnd.openxmlformats-officedocument.drawing+xml"/>
  <Override PartName="/xl/comments19.xml" ContentType="application/vnd.openxmlformats-officedocument.spreadsheetml.comments+xml"/>
  <Override PartName="/xl/drawings/drawing19.xml" ContentType="application/vnd.openxmlformats-officedocument.drawing+xml"/>
  <Override PartName="/xl/comments20.xml" ContentType="application/vnd.openxmlformats-officedocument.spreadsheetml.comments+xml"/>
  <Override PartName="/xl/drawings/drawing20.xml" ContentType="application/vnd.openxmlformats-officedocument.drawing+xml"/>
  <Override PartName="/xl/comments2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ccionhondurasorg-my.sharepoint.com/personal/galileo_garcia_accionhonduras_org/Documents/AF - 26/Desempeño enerño - abril 2026/"/>
    </mc:Choice>
  </mc:AlternateContent>
  <xr:revisionPtr revIDLastSave="610" documentId="13_ncr:1_{4DC416A9-04A5-422B-BCF1-E17AA437390E}" xr6:coauthVersionLast="47" xr6:coauthVersionMax="47" xr10:uidLastSave="{97543104-C945-45AD-8FB4-25522782A075}"/>
  <bookViews>
    <workbookView xWindow="-108" yWindow="-108" windowWidth="23256" windowHeight="12456" firstSheet="13" activeTab="13" xr2:uid="{873886AF-1B6F-4841-A29F-22E992E36BDC}"/>
  </bookViews>
  <sheets>
    <sheet name="Propuesta 2" sheetId="5" state="hidden" r:id="rId1"/>
    <sheet name="David" sheetId="7" state="hidden" r:id="rId2"/>
    <sheet name="Lista desplegable" sheetId="3" state="hidden" r:id="rId3"/>
    <sheet name="EV1-Nancy" sheetId="8" state="hidden" r:id="rId4"/>
    <sheet name="Nancy" sheetId="6" state="hidden" r:id="rId5"/>
    <sheet name="EV1-Francisca" sheetId="12" state="hidden" r:id="rId6"/>
    <sheet name="EV1-Alex Alvarado" sheetId="13" state="hidden" r:id="rId7"/>
    <sheet name="EV1-Alex Castillo" sheetId="14" state="hidden" r:id="rId8"/>
    <sheet name="EV1-Adalid" sheetId="9" state="hidden" r:id="rId9"/>
    <sheet name="EV1-Neptaly" sheetId="10" state="hidden" r:id="rId10"/>
    <sheet name="EV1-Milixa" sheetId="11" state="hidden" r:id="rId11"/>
    <sheet name="Jennifer Canales" sheetId="15" state="hidden" r:id="rId12"/>
    <sheet name="Consol-0" sheetId="26" state="hidden" r:id="rId13"/>
    <sheet name="Consol" sheetId="27" r:id="rId14"/>
    <sheet name="EV2-David Ramos" sheetId="16" state="hidden" r:id="rId15"/>
    <sheet name="EV2-Jhony Amador" sheetId="18" state="hidden" r:id="rId16"/>
    <sheet name="EV2-Norma Hernández" sheetId="19" state="hidden" r:id="rId17"/>
    <sheet name="EV2-Goel Garcia" sheetId="21" state="hidden" r:id="rId18"/>
    <sheet name="EV2-Nubia " sheetId="22" state="hidden" r:id="rId19"/>
    <sheet name="EV2-Zamir" sheetId="23" state="hidden" r:id="rId20"/>
    <sheet name="EV2-Yimi" sheetId="24" state="hidden" r:id="rId21"/>
    <sheet name="Consolidado" sheetId="25" state="hidden" r:id="rId22"/>
    <sheet name="Hoja1" sheetId="20" state="hidden" r:id="rId23"/>
    <sheet name="d" sheetId="17" state="hidden" r:id="rId24"/>
  </sheets>
  <externalReferences>
    <externalReference r:id="rId25"/>
    <externalReference r:id="rId26"/>
    <externalReference r:id="rId27"/>
    <externalReference r:id="rId28"/>
  </externalReferences>
  <definedNames>
    <definedName name="_xlnm._FilterDatabase" localSheetId="13" hidden="1">Consol!$A$3:$O$770</definedName>
    <definedName name="_xlnm._FilterDatabase" localSheetId="12" hidden="1">'Consol-0'!$A$3:$H$749</definedName>
    <definedName name="_xlnm._FilterDatabase" localSheetId="21" hidden="1">Consolidado!$A$9:$AC$9</definedName>
    <definedName name="_xlnm._FilterDatabase" localSheetId="23" hidden="1">d!$A$9:$AB$57</definedName>
    <definedName name="_xlnm._FilterDatabase" localSheetId="1" hidden="1">David!$A$9:$Y$182</definedName>
    <definedName name="_xlnm._FilterDatabase" localSheetId="8" hidden="1">'EV1-Adalid'!$A$9:$AC$59</definedName>
    <definedName name="_xlnm._FilterDatabase" localSheetId="6" hidden="1">'EV1-Alex Alvarado'!$A$9:$AC$58</definedName>
    <definedName name="_xlnm._FilterDatabase" localSheetId="7" hidden="1">'EV1-Alex Castillo'!$A$9:$AC$58</definedName>
    <definedName name="_xlnm._FilterDatabase" localSheetId="5" hidden="1">'EV1-Francisca'!$A$9:$AC$58</definedName>
    <definedName name="_xlnm._FilterDatabase" localSheetId="10" hidden="1">'EV1-Milixa'!$A$9:$AC$58</definedName>
    <definedName name="_xlnm._FilterDatabase" localSheetId="3" hidden="1">'EV1-Nancy'!$A$9:$AC$58</definedName>
    <definedName name="_xlnm._FilterDatabase" localSheetId="9" hidden="1">'EV1-Neptaly'!$A$9:$AC$58</definedName>
    <definedName name="_xlnm._FilterDatabase" localSheetId="14" hidden="1">'EV2-David Ramos'!$A$9:$AC$58</definedName>
    <definedName name="_xlnm._FilterDatabase" localSheetId="17" hidden="1">'EV2-Goel Garcia'!$A$9:$AC$58</definedName>
    <definedName name="_xlnm._FilterDatabase" localSheetId="15" hidden="1">'EV2-Jhony Amador'!$A$9:$AC$58</definedName>
    <definedName name="_xlnm._FilterDatabase" localSheetId="16" hidden="1">'EV2-Norma Hernández'!$A$9:$AC$58</definedName>
    <definedName name="_xlnm._FilterDatabase" localSheetId="18" hidden="1">'EV2-Nubia '!$A$9:$AC$58</definedName>
    <definedName name="_xlnm._FilterDatabase" localSheetId="20" hidden="1">'EV2-Yimi'!$A$9:$AC$58</definedName>
    <definedName name="_xlnm._FilterDatabase" localSheetId="19" hidden="1">'EV2-Zamir'!$A$9:$AC$58</definedName>
    <definedName name="_xlnm._FilterDatabase" localSheetId="11" hidden="1">'Jennifer Canales'!$A$9:$AC$58</definedName>
    <definedName name="_xlnm._FilterDatabase" localSheetId="4" hidden="1">Nancy!$A$9:$AB$182</definedName>
    <definedName name="_xlnm._FilterDatabase" localSheetId="0" hidden="1">'Propuesta 2'!$A$9:$AA$194</definedName>
    <definedName name="a">'[1]Admin Nombres'!$F$28:$F$44</definedName>
    <definedName name="A_Transversal_Incidencia">'Lista desplegable'!$I$2:$I$59</definedName>
    <definedName name="AA_Incidencia">'Lista desplegable'!$AK$2:$AK$59</definedName>
    <definedName name="actividades4">[2]Hoja9!$F$3:$F$26</definedName>
    <definedName name="administrativo">[3]Actividad!$C$146:$D$150</definedName>
    <definedName name="B_Construyendo_Sostenibilidad">'Lista desplegable'!$G$2:$G$59</definedName>
    <definedName name="BA_Adaptación_climática">'Lista desplegable'!$AG$2:$AG$59</definedName>
    <definedName name="BB_Cuidado_del_medio_ambiente">'Lista desplegable'!$AH$2:$AH$59</definedName>
    <definedName name="BC_Reducción_del_Riesgo_de_Desastres__RRD">'Lista desplegable'!$AI$2:$AI$59</definedName>
    <definedName name="C_Niños_en_crisis">'Lista desplegable'!$H$2:$H$59</definedName>
    <definedName name="CA_Niños_desplazados_en_crisis_protegidas">'Lista desplegable'!$AJ$2:$AJ$59</definedName>
    <definedName name="CA_Proteccion_y_respuesta_lideradas_localmente">'Lista desplegable'!$AJ$36:$AJ$60</definedName>
    <definedName name="Creciendo">[4]Actividad!$C$2:$D$17</definedName>
    <definedName name="Creciendo_Contigo">[3]Actividad!$C$2:$D$17</definedName>
    <definedName name="cuena">'[4]Admin Nombres'!$K$19:$K$48</definedName>
    <definedName name="cuentas">'[3]Admin Nombres'!$K$19:$K$48</definedName>
    <definedName name="D_Desarrollo_de_la_primera_infancia">'Lista desplegable'!$C$2:$C$59</definedName>
    <definedName name="DA_Cuidado_receptivo">'Lista desplegable'!$T$2:$T$59</definedName>
    <definedName name="DB_Atención_y_educación_de_la_primera_infancia_en_centros__ECCE">'Lista desplegable'!$U$2:$U$59</definedName>
    <definedName name="Etapav1">[3]Actividad!$C$2:$C$17</definedName>
    <definedName name="etapav2">[3]Actividad!$C$18:$C$49</definedName>
    <definedName name="etapav23">[3]Actividad!$C$88:$C$116</definedName>
    <definedName name="etapav2a">[4]Actividad!$C$18:$C$49</definedName>
    <definedName name="etapav3">[3]Actividad!$C$50:$C$87</definedName>
    <definedName name="gestion_admin">[3]Actividad!$C$146:$C$150</definedName>
    <definedName name="gestion_p">[3]Actividad!$C$139:$C$145</definedName>
    <definedName name="GFC">'Lista desplegable'!$AX$2:$AX$6</definedName>
    <definedName name="GFC_Fondo_Global_para_la_Niñez">'Lista desplegable'!$AW$2</definedName>
    <definedName name="H_Salud">'Lista desplegable'!$B$2:$B$59</definedName>
    <definedName name="HA_WASH">'Lista desplegable'!$O$2:$O$59</definedName>
    <definedName name="HB_Nutrición">'Lista desplegable'!$P$2:$P$59</definedName>
    <definedName name="HC_Salud_maternoinfantil">'Lista desplegable'!$Q$2:$Q$59</definedName>
    <definedName name="HD_Salud_reproductiva">'Lista desplegable'!$R$2:$R$59</definedName>
    <definedName name="HE__Enfermedad_infecciosa">'Lista desplegable'!$S$2:$S$59</definedName>
    <definedName name="L_Medios_de_vida">'Lista desplegable'!$F$2:$F$59</definedName>
    <definedName name="LA_Empoderamiento_económico_para_las_familias">'Lista desplegable'!$AD$2:$AD$59</definedName>
    <definedName name="LB_Empoderamiento_económico_para_los_jóvenes">'Lista desplegable'!$AE$2:$AE$59</definedName>
    <definedName name="LC_Seguridad_alimentaria">'Lista desplegable'!$AF$2:$AF$59</definedName>
    <definedName name="M_Transversal_Salud_mental">'Lista desplegable'!$J$2:$J$59</definedName>
    <definedName name="MA_Salud_mental_y_apoyo_psicosocial">'Lista desplegable'!$AL$2:$AL$59</definedName>
    <definedName name="mecanismo">[3]Actividad!$C$117:$C$138</definedName>
    <definedName name="ML_Monitoreo">'Lista desplegable'!$N$2:$N$59</definedName>
    <definedName name="ML_Monitoreo_y_soporte_técnico_del_programa">'Lista desplegable'!$AP$2:$AP$59</definedName>
    <definedName name="modulo_ev1">'[3]Admin Nombres'!$A$28:$A$40</definedName>
    <definedName name="modulo_ev2">'[3]Admin Nombres'!$C$28:$C$40</definedName>
    <definedName name="modulo_ev3">'[3]Admin Nombres'!$E$28:$E$43</definedName>
    <definedName name="mqmc">[3]Actividad!$C$88:$D$116</definedName>
    <definedName name="mqmc_ev23">'[3]Admin Nombres'!$F$28:$F$44</definedName>
    <definedName name="nsyp">[3]Actividad!$C$18:$D$49</definedName>
    <definedName name="nsyp2">[4]Actividad!$C$18:$D$49</definedName>
    <definedName name="pacto">[3]Actividad!$C$50:$D$87</definedName>
    <definedName name="participantes">'[3]Admin Nombres'!$K$1:$K$15</definedName>
    <definedName name="patrocinio">[3]Actividad!$C$139:$D$145</definedName>
    <definedName name="PMA">'Lista desplegable'!$AZ$2:$AZ$5</definedName>
    <definedName name="PMA_Programa_Mundial_de_Alimentos">'Lista desplegable'!$AY$2</definedName>
    <definedName name="proteccion">[3]Actividad!$C$117:$D$138</definedName>
    <definedName name="R_Protección">'Lista desplegable'!$E$2:$E$59</definedName>
    <definedName name="RA_Seguridad_en_línea">'Lista desplegable'!$Z$2:$Z$59</definedName>
    <definedName name="RB_Trabajo_infantil">'Lista desplegable'!$AA$2:$AA$59</definedName>
    <definedName name="RC_Prevención_y_respuesta_a_prácticas_nocivas">'Lista desplegable'!$AB$2:$AB$59</definedName>
    <definedName name="RD_Protección_infantil_basada_en_la_comunidad">'Lista desplegable'!$AC$2:$AC$59</definedName>
    <definedName name="Sector">'Lista desplegable'!$A$2:$A$59</definedName>
    <definedName name="SOCIOS">'[3]Admin Nombres'!$E$11:$E$15</definedName>
    <definedName name="Tarea">'[3]Admin Nombres'!$A$1:$A$15</definedName>
    <definedName name="Tarea1">'[4]Admin Nombres'!$A$1:$A$15</definedName>
    <definedName name="tipo_f">'[3]Admin Nombres'!$A$20:$A$25</definedName>
    <definedName name="U_Educación">'Lista desplegable'!$D$2:$D$59</definedName>
    <definedName name="UA_Educación_Holística">'Lista desplegable'!$V$2:$V$59</definedName>
    <definedName name="UB_Aprendizaje_fundamental">'Lista desplegable'!$W$2:$W$59</definedName>
    <definedName name="UC_Aprendizaje_socioemocional__SEL">'Lista desplegable'!$X$2:$X$59</definedName>
    <definedName name="UD_Acceso_y_retención">'Lista desplegable'!$Y$2:$Y$59</definedName>
    <definedName name="X_Patrocinio">'Lista desplegable'!$M$2:$M$59</definedName>
    <definedName name="XA_Gestión_de_Patrocinios">'Lista desplegable'!$AO$2:$AO$59</definedName>
    <definedName name="Y_Transversal_Agencia">'Lista desplegable'!$K$2:$K$59</definedName>
    <definedName name="YA_Agencia_Infantil_y_Juvenil">'Lista desplegable'!$AM$2:$AM$59</definedName>
    <definedName name="Z_Administración">'Lista desplegable'!$L$2:$L$59</definedName>
    <definedName name="ZA_Gestión_Administrativa">'Lista desplegable'!$AN$2:$AN$59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5" i="27" l="1"/>
  <c r="L24" i="27"/>
  <c r="M107" i="27"/>
  <c r="O107" i="27" s="1"/>
  <c r="L771" i="27"/>
  <c r="L92" i="27"/>
  <c r="O92" i="27" s="1"/>
  <c r="O98" i="27"/>
  <c r="O120" i="27"/>
  <c r="N120" i="27"/>
  <c r="O19" i="27"/>
  <c r="N19" i="27"/>
  <c r="O106" i="27"/>
  <c r="N106" i="27"/>
  <c r="N92" i="27"/>
  <c r="O78" i="27"/>
  <c r="N78" i="27"/>
  <c r="O64" i="27"/>
  <c r="N64" i="27"/>
  <c r="O50" i="27"/>
  <c r="N50" i="27"/>
  <c r="O36" i="27"/>
  <c r="N36" i="27"/>
  <c r="O11" i="27"/>
  <c r="N11" i="27"/>
  <c r="O10" i="27"/>
  <c r="N10" i="27"/>
  <c r="O9" i="27"/>
  <c r="O117" i="27"/>
  <c r="N117" i="27"/>
  <c r="O116" i="27"/>
  <c r="N116" i="27"/>
  <c r="O115" i="27"/>
  <c r="O103" i="27"/>
  <c r="N103" i="27"/>
  <c r="O102" i="27"/>
  <c r="N102" i="27"/>
  <c r="N101" i="27"/>
  <c r="O89" i="27"/>
  <c r="N89" i="27"/>
  <c r="O88" i="27"/>
  <c r="N88" i="27"/>
  <c r="O87" i="27"/>
  <c r="O75" i="27"/>
  <c r="N75" i="27"/>
  <c r="O74" i="27"/>
  <c r="N74" i="27"/>
  <c r="N73" i="27"/>
  <c r="O61" i="27"/>
  <c r="N61" i="27"/>
  <c r="O60" i="27"/>
  <c r="N60" i="27"/>
  <c r="O59" i="27"/>
  <c r="O47" i="27"/>
  <c r="N47" i="27"/>
  <c r="O46" i="27"/>
  <c r="N46" i="27"/>
  <c r="O45" i="27"/>
  <c r="O33" i="27"/>
  <c r="N33" i="27"/>
  <c r="O32" i="27"/>
  <c r="N32" i="27"/>
  <c r="N31" i="27"/>
  <c r="O770" i="27"/>
  <c r="N770" i="27"/>
  <c r="O768" i="27"/>
  <c r="N768" i="27"/>
  <c r="N767" i="27"/>
  <c r="N766" i="27"/>
  <c r="N764" i="27"/>
  <c r="O763" i="27"/>
  <c r="N762" i="27"/>
  <c r="N759" i="27"/>
  <c r="N755" i="27"/>
  <c r="N754" i="27"/>
  <c r="N753" i="27"/>
  <c r="O752" i="27"/>
  <c r="N752" i="27"/>
  <c r="O750" i="27"/>
  <c r="N750" i="27"/>
  <c r="N749" i="27"/>
  <c r="N748" i="27"/>
  <c r="N747" i="27"/>
  <c r="O746" i="27"/>
  <c r="N746" i="27"/>
  <c r="O745" i="27"/>
  <c r="N745" i="27"/>
  <c r="O744" i="27"/>
  <c r="N744" i="27"/>
  <c r="O743" i="27"/>
  <c r="N743" i="27"/>
  <c r="O742" i="27"/>
  <c r="N742" i="27"/>
  <c r="O741" i="27"/>
  <c r="N741" i="27"/>
  <c r="O740" i="27"/>
  <c r="N740" i="27"/>
  <c r="O739" i="27"/>
  <c r="N739" i="27"/>
  <c r="O738" i="27"/>
  <c r="N738" i="27"/>
  <c r="O737" i="27"/>
  <c r="N737" i="27"/>
  <c r="O736" i="27"/>
  <c r="N736" i="27"/>
  <c r="O735" i="27"/>
  <c r="N735" i="27"/>
  <c r="O734" i="27"/>
  <c r="N734" i="27"/>
  <c r="O733" i="27"/>
  <c r="N733" i="27"/>
  <c r="O732" i="27"/>
  <c r="N732" i="27"/>
  <c r="O731" i="27"/>
  <c r="N731" i="27"/>
  <c r="O730" i="27"/>
  <c r="N730" i="27"/>
  <c r="O729" i="27"/>
  <c r="N729" i="27"/>
  <c r="O728" i="27"/>
  <c r="N728" i="27"/>
  <c r="O727" i="27"/>
  <c r="N727" i="27"/>
  <c r="O726" i="27"/>
  <c r="N726" i="27"/>
  <c r="O725" i="27"/>
  <c r="N725" i="27"/>
  <c r="O724" i="27"/>
  <c r="N724" i="27"/>
  <c r="O723" i="27"/>
  <c r="N723" i="27"/>
  <c r="O722" i="27"/>
  <c r="N722" i="27"/>
  <c r="O721" i="27"/>
  <c r="N721" i="27"/>
  <c r="O720" i="27"/>
  <c r="N720" i="27"/>
  <c r="O719" i="27"/>
  <c r="N719" i="27"/>
  <c r="O718" i="27"/>
  <c r="N718" i="27"/>
  <c r="O717" i="27"/>
  <c r="N717" i="27"/>
  <c r="O716" i="27"/>
  <c r="N716" i="27"/>
  <c r="O715" i="27"/>
  <c r="N715" i="27"/>
  <c r="N714" i="27"/>
  <c r="O713" i="27"/>
  <c r="N713" i="27"/>
  <c r="O712" i="27"/>
  <c r="N712" i="27"/>
  <c r="O711" i="27"/>
  <c r="N711" i="27"/>
  <c r="O710" i="27"/>
  <c r="N710" i="27"/>
  <c r="O709" i="27"/>
  <c r="N709" i="27"/>
  <c r="O708" i="27"/>
  <c r="N708" i="27"/>
  <c r="O707" i="27"/>
  <c r="N707" i="27"/>
  <c r="O706" i="27"/>
  <c r="N706" i="27"/>
  <c r="O705" i="27"/>
  <c r="N705" i="27"/>
  <c r="O704" i="27"/>
  <c r="N704" i="27"/>
  <c r="O703" i="27"/>
  <c r="N703" i="27"/>
  <c r="O702" i="27"/>
  <c r="N702" i="27"/>
  <c r="O701" i="27"/>
  <c r="N701" i="27"/>
  <c r="O700" i="27"/>
  <c r="N700" i="27"/>
  <c r="O699" i="27"/>
  <c r="N699" i="27"/>
  <c r="O698" i="27"/>
  <c r="N698" i="27"/>
  <c r="O697" i="27"/>
  <c r="N697" i="27"/>
  <c r="O696" i="27"/>
  <c r="N696" i="27"/>
  <c r="O695" i="27"/>
  <c r="N695" i="27"/>
  <c r="O694" i="27"/>
  <c r="O693" i="27"/>
  <c r="N693" i="27"/>
  <c r="O692" i="27"/>
  <c r="N692" i="27"/>
  <c r="O691" i="27"/>
  <c r="N691" i="27"/>
  <c r="O690" i="27"/>
  <c r="N690" i="27"/>
  <c r="O689" i="27"/>
  <c r="N689" i="27"/>
  <c r="O688" i="27"/>
  <c r="N688" i="27"/>
  <c r="O687" i="27"/>
  <c r="N687" i="27"/>
  <c r="O686" i="27"/>
  <c r="N686" i="27"/>
  <c r="O685" i="27"/>
  <c r="N685" i="27"/>
  <c r="O684" i="27"/>
  <c r="N684" i="27"/>
  <c r="O683" i="27"/>
  <c r="N683" i="27"/>
  <c r="O682" i="27"/>
  <c r="N682" i="27"/>
  <c r="O681" i="27"/>
  <c r="N681" i="27"/>
  <c r="O680" i="27"/>
  <c r="N680" i="27"/>
  <c r="O679" i="27"/>
  <c r="N679" i="27"/>
  <c r="O678" i="27"/>
  <c r="N678" i="27"/>
  <c r="O677" i="27"/>
  <c r="N677" i="27"/>
  <c r="O676" i="27"/>
  <c r="N676" i="27"/>
  <c r="O675" i="27"/>
  <c r="N675" i="27"/>
  <c r="O674" i="27"/>
  <c r="N674" i="27"/>
  <c r="O673" i="27"/>
  <c r="N673" i="27"/>
  <c r="O672" i="27"/>
  <c r="N672" i="27"/>
  <c r="O671" i="27"/>
  <c r="N671" i="27"/>
  <c r="O670" i="27"/>
  <c r="N670" i="27"/>
  <c r="O669" i="27"/>
  <c r="N669" i="27"/>
  <c r="O668" i="27"/>
  <c r="N668" i="27"/>
  <c r="O667" i="27"/>
  <c r="N667" i="27"/>
  <c r="O665" i="27"/>
  <c r="N665" i="27"/>
  <c r="O664" i="27"/>
  <c r="N664" i="27"/>
  <c r="O663" i="27"/>
  <c r="N663" i="27"/>
  <c r="O662" i="27"/>
  <c r="N662" i="27"/>
  <c r="O661" i="27"/>
  <c r="N661" i="27"/>
  <c r="O660" i="27"/>
  <c r="N660" i="27"/>
  <c r="O659" i="27"/>
  <c r="N659" i="27"/>
  <c r="O658" i="27"/>
  <c r="N658" i="27"/>
  <c r="O657" i="27"/>
  <c r="N657" i="27"/>
  <c r="O656" i="27"/>
  <c r="N656" i="27"/>
  <c r="O655" i="27"/>
  <c r="N655" i="27"/>
  <c r="O654" i="27"/>
  <c r="N654" i="27"/>
  <c r="O653" i="27"/>
  <c r="N653" i="27"/>
  <c r="O652" i="27"/>
  <c r="N652" i="27"/>
  <c r="O651" i="27"/>
  <c r="N651" i="27"/>
  <c r="O650" i="27"/>
  <c r="N650" i="27"/>
  <c r="O649" i="27"/>
  <c r="N649" i="27"/>
  <c r="O648" i="27"/>
  <c r="N648" i="27"/>
  <c r="O647" i="27"/>
  <c r="N647" i="27"/>
  <c r="O646" i="27"/>
  <c r="N646" i="27"/>
  <c r="O645" i="27"/>
  <c r="N645" i="27"/>
  <c r="O644" i="27"/>
  <c r="N644" i="27"/>
  <c r="O643" i="27"/>
  <c r="N643" i="27"/>
  <c r="O642" i="27"/>
  <c r="N642" i="27"/>
  <c r="O641" i="27"/>
  <c r="N641" i="27"/>
  <c r="O640" i="27"/>
  <c r="N640" i="27"/>
  <c r="O639" i="27"/>
  <c r="N639" i="27"/>
  <c r="O638" i="27"/>
  <c r="N638" i="27"/>
  <c r="O637" i="27"/>
  <c r="N637" i="27"/>
  <c r="O636" i="27"/>
  <c r="N636" i="27"/>
  <c r="O635" i="27"/>
  <c r="N635" i="27"/>
  <c r="O634" i="27"/>
  <c r="N634" i="27"/>
  <c r="O633" i="27"/>
  <c r="N633" i="27"/>
  <c r="O632" i="27"/>
  <c r="N632" i="27"/>
  <c r="O631" i="27"/>
  <c r="N631" i="27"/>
  <c r="O630" i="27"/>
  <c r="N630" i="27"/>
  <c r="O629" i="27"/>
  <c r="N629" i="27"/>
  <c r="O628" i="27"/>
  <c r="N628" i="27"/>
  <c r="O627" i="27"/>
  <c r="N627" i="27"/>
  <c r="O626" i="27"/>
  <c r="N626" i="27"/>
  <c r="O625" i="27"/>
  <c r="N625" i="27"/>
  <c r="O624" i="27"/>
  <c r="N624" i="27"/>
  <c r="O623" i="27"/>
  <c r="N623" i="27"/>
  <c r="O622" i="27"/>
  <c r="N622" i="27"/>
  <c r="O621" i="27"/>
  <c r="N621" i="27"/>
  <c r="O620" i="27"/>
  <c r="N620" i="27"/>
  <c r="O619" i="27"/>
  <c r="N619" i="27"/>
  <c r="O618" i="27"/>
  <c r="O617" i="27"/>
  <c r="N617" i="27"/>
  <c r="O616" i="27"/>
  <c r="N616" i="27"/>
  <c r="O615" i="27"/>
  <c r="N615" i="27"/>
  <c r="O614" i="27"/>
  <c r="N614" i="27"/>
  <c r="O613" i="27"/>
  <c r="N613" i="27"/>
  <c r="O612" i="27"/>
  <c r="N612" i="27"/>
  <c r="O611" i="27"/>
  <c r="N611" i="27"/>
  <c r="O610" i="27"/>
  <c r="N610" i="27"/>
  <c r="O609" i="27"/>
  <c r="N609" i="27"/>
  <c r="O608" i="27"/>
  <c r="N608" i="27"/>
  <c r="O607" i="27"/>
  <c r="N607" i="27"/>
  <c r="O606" i="27"/>
  <c r="N606" i="27"/>
  <c r="O605" i="27"/>
  <c r="N605" i="27"/>
  <c r="O604" i="27"/>
  <c r="N604" i="27"/>
  <c r="O603" i="27"/>
  <c r="N603" i="27"/>
  <c r="O602" i="27"/>
  <c r="N602" i="27"/>
  <c r="O601" i="27"/>
  <c r="N601" i="27"/>
  <c r="O600" i="27"/>
  <c r="N600" i="27"/>
  <c r="O599" i="27"/>
  <c r="N599" i="27"/>
  <c r="O598" i="27"/>
  <c r="N598" i="27"/>
  <c r="O597" i="27"/>
  <c r="N597" i="27"/>
  <c r="O596" i="27"/>
  <c r="N596" i="27"/>
  <c r="O595" i="27"/>
  <c r="N595" i="27"/>
  <c r="O594" i="27"/>
  <c r="N594" i="27"/>
  <c r="O593" i="27"/>
  <c r="N593" i="27"/>
  <c r="O592" i="27"/>
  <c r="N592" i="27"/>
  <c r="O591" i="27"/>
  <c r="N591" i="27"/>
  <c r="O590" i="27"/>
  <c r="N590" i="27"/>
  <c r="O589" i="27"/>
  <c r="N589" i="27"/>
  <c r="O588" i="27"/>
  <c r="N588" i="27"/>
  <c r="O587" i="27"/>
  <c r="N587" i="27"/>
  <c r="O586" i="27"/>
  <c r="N586" i="27"/>
  <c r="O585" i="27"/>
  <c r="N585" i="27"/>
  <c r="O584" i="27"/>
  <c r="N584" i="27"/>
  <c r="O583" i="27"/>
  <c r="N583" i="27"/>
  <c r="O582" i="27"/>
  <c r="N582" i="27"/>
  <c r="O581" i="27"/>
  <c r="N581" i="27"/>
  <c r="O580" i="27"/>
  <c r="N580" i="27"/>
  <c r="O579" i="27"/>
  <c r="N579" i="27"/>
  <c r="O578" i="27"/>
  <c r="N578" i="27"/>
  <c r="O577" i="27"/>
  <c r="N577" i="27"/>
  <c r="O576" i="27"/>
  <c r="N576" i="27"/>
  <c r="O575" i="27"/>
  <c r="N575" i="27"/>
  <c r="O574" i="27"/>
  <c r="N574" i="27"/>
  <c r="O573" i="27"/>
  <c r="N573" i="27"/>
  <c r="O572" i="27"/>
  <c r="N572" i="27"/>
  <c r="O571" i="27"/>
  <c r="N571" i="27"/>
  <c r="N570" i="27"/>
  <c r="O569" i="27"/>
  <c r="N569" i="27"/>
  <c r="O568" i="27"/>
  <c r="N568" i="27"/>
  <c r="O567" i="27"/>
  <c r="N567" i="27"/>
  <c r="O566" i="27"/>
  <c r="N566" i="27"/>
  <c r="O565" i="27"/>
  <c r="N565" i="27"/>
  <c r="O564" i="27"/>
  <c r="N564" i="27"/>
  <c r="O563" i="27"/>
  <c r="N563" i="27"/>
  <c r="O562" i="27"/>
  <c r="N562" i="27"/>
  <c r="O561" i="27"/>
  <c r="N561" i="27"/>
  <c r="O560" i="27"/>
  <c r="N560" i="27"/>
  <c r="O559" i="27"/>
  <c r="N559" i="27"/>
  <c r="O558" i="27"/>
  <c r="N558" i="27"/>
  <c r="O557" i="27"/>
  <c r="N557" i="27"/>
  <c r="O556" i="27"/>
  <c r="N556" i="27"/>
  <c r="O555" i="27"/>
  <c r="N555" i="27"/>
  <c r="O554" i="27"/>
  <c r="N554" i="27"/>
  <c r="O553" i="27"/>
  <c r="N553" i="27"/>
  <c r="O552" i="27"/>
  <c r="N552" i="27"/>
  <c r="O551" i="27"/>
  <c r="N551" i="27"/>
  <c r="O550" i="27"/>
  <c r="N550" i="27"/>
  <c r="O549" i="27"/>
  <c r="N549" i="27"/>
  <c r="O548" i="27"/>
  <c r="N548" i="27"/>
  <c r="O547" i="27"/>
  <c r="N547" i="27"/>
  <c r="O546" i="27"/>
  <c r="N546" i="27"/>
  <c r="O545" i="27"/>
  <c r="N545" i="27"/>
  <c r="O544" i="27"/>
  <c r="N544" i="27"/>
  <c r="O543" i="27"/>
  <c r="N543" i="27"/>
  <c r="O542" i="27"/>
  <c r="N542" i="27"/>
  <c r="O541" i="27"/>
  <c r="N541" i="27"/>
  <c r="O540" i="27"/>
  <c r="N540" i="27"/>
  <c r="O539" i="27"/>
  <c r="N539" i="27"/>
  <c r="O538" i="27"/>
  <c r="N538" i="27"/>
  <c r="O537" i="27"/>
  <c r="N537" i="27"/>
  <c r="O536" i="27"/>
  <c r="N536" i="27"/>
  <c r="O535" i="27"/>
  <c r="N535" i="27"/>
  <c r="O534" i="27"/>
  <c r="N534" i="27"/>
  <c r="O533" i="27"/>
  <c r="N533" i="27"/>
  <c r="O532" i="27"/>
  <c r="N532" i="27"/>
  <c r="O531" i="27"/>
  <c r="N531" i="27"/>
  <c r="O530" i="27"/>
  <c r="N530" i="27"/>
  <c r="O529" i="27"/>
  <c r="N529" i="27"/>
  <c r="O528" i="27"/>
  <c r="N528" i="27"/>
  <c r="O527" i="27"/>
  <c r="N527" i="27"/>
  <c r="O526" i="27"/>
  <c r="N526" i="27"/>
  <c r="O525" i="27"/>
  <c r="N525" i="27"/>
  <c r="O524" i="27"/>
  <c r="N524" i="27"/>
  <c r="O523" i="27"/>
  <c r="N523" i="27"/>
  <c r="N522" i="27"/>
  <c r="O521" i="27"/>
  <c r="N521" i="27"/>
  <c r="O520" i="27"/>
  <c r="N520" i="27"/>
  <c r="O519" i="27"/>
  <c r="N519" i="27"/>
  <c r="O518" i="27"/>
  <c r="N518" i="27"/>
  <c r="O517" i="27"/>
  <c r="N517" i="27"/>
  <c r="O516" i="27"/>
  <c r="N516" i="27"/>
  <c r="O515" i="27"/>
  <c r="N515" i="27"/>
  <c r="O514" i="27"/>
  <c r="N514" i="27"/>
  <c r="O513" i="27"/>
  <c r="N513" i="27"/>
  <c r="O512" i="27"/>
  <c r="N512" i="27"/>
  <c r="O511" i="27"/>
  <c r="N511" i="27"/>
  <c r="O510" i="27"/>
  <c r="N510" i="27"/>
  <c r="O509" i="27"/>
  <c r="N509" i="27"/>
  <c r="O508" i="27"/>
  <c r="N508" i="27"/>
  <c r="O507" i="27"/>
  <c r="N507" i="27"/>
  <c r="O506" i="27"/>
  <c r="N506" i="27"/>
  <c r="O505" i="27"/>
  <c r="N505" i="27"/>
  <c r="O504" i="27"/>
  <c r="N504" i="27"/>
  <c r="O503" i="27"/>
  <c r="N503" i="27"/>
  <c r="O502" i="27"/>
  <c r="N502" i="27"/>
  <c r="O501" i="27"/>
  <c r="N501" i="27"/>
  <c r="O500" i="27"/>
  <c r="N500" i="27"/>
  <c r="O499" i="27"/>
  <c r="N499" i="27"/>
  <c r="O498" i="27"/>
  <c r="N498" i="27"/>
  <c r="O497" i="27"/>
  <c r="N497" i="27"/>
  <c r="O496" i="27"/>
  <c r="N496" i="27"/>
  <c r="O495" i="27"/>
  <c r="N495" i="27"/>
  <c r="O494" i="27"/>
  <c r="N494" i="27"/>
  <c r="O493" i="27"/>
  <c r="N493" i="27"/>
  <c r="O492" i="27"/>
  <c r="N492" i="27"/>
  <c r="O491" i="27"/>
  <c r="N491" i="27"/>
  <c r="O490" i="27"/>
  <c r="N490" i="27"/>
  <c r="O489" i="27"/>
  <c r="N489" i="27"/>
  <c r="O488" i="27"/>
  <c r="N488" i="27"/>
  <c r="O487" i="27"/>
  <c r="N487" i="27"/>
  <c r="O486" i="27"/>
  <c r="N486" i="27"/>
  <c r="O485" i="27"/>
  <c r="N485" i="27"/>
  <c r="O484" i="27"/>
  <c r="N484" i="27"/>
  <c r="O483" i="27"/>
  <c r="N483" i="27"/>
  <c r="O482" i="27"/>
  <c r="N482" i="27"/>
  <c r="O481" i="27"/>
  <c r="N481" i="27"/>
  <c r="O480" i="27"/>
  <c r="N480" i="27"/>
  <c r="O479" i="27"/>
  <c r="N479" i="27"/>
  <c r="O478" i="27"/>
  <c r="N478" i="27"/>
  <c r="O477" i="27"/>
  <c r="N477" i="27"/>
  <c r="O476" i="27"/>
  <c r="N476" i="27"/>
  <c r="O475" i="27"/>
  <c r="N475" i="27"/>
  <c r="O473" i="27"/>
  <c r="N473" i="27"/>
  <c r="O472" i="27"/>
  <c r="N472" i="27"/>
  <c r="O471" i="27"/>
  <c r="N471" i="27"/>
  <c r="O470" i="27"/>
  <c r="N470" i="27"/>
  <c r="O469" i="27"/>
  <c r="N469" i="27"/>
  <c r="O468" i="27"/>
  <c r="N468" i="27"/>
  <c r="O467" i="27"/>
  <c r="N467" i="27"/>
  <c r="O466" i="27"/>
  <c r="N466" i="27"/>
  <c r="O465" i="27"/>
  <c r="N465" i="27"/>
  <c r="O464" i="27"/>
  <c r="N464" i="27"/>
  <c r="O463" i="27"/>
  <c r="N463" i="27"/>
  <c r="O462" i="27"/>
  <c r="N462" i="27"/>
  <c r="O461" i="27"/>
  <c r="N461" i="27"/>
  <c r="O460" i="27"/>
  <c r="N460" i="27"/>
  <c r="O459" i="27"/>
  <c r="N459" i="27"/>
  <c r="O458" i="27"/>
  <c r="N458" i="27"/>
  <c r="O457" i="27"/>
  <c r="N457" i="27"/>
  <c r="O456" i="27"/>
  <c r="N456" i="27"/>
  <c r="O455" i="27"/>
  <c r="N455" i="27"/>
  <c r="O454" i="27"/>
  <c r="N454" i="27"/>
  <c r="O453" i="27"/>
  <c r="N453" i="27"/>
  <c r="O452" i="27"/>
  <c r="N452" i="27"/>
  <c r="O451" i="27"/>
  <c r="N451" i="27"/>
  <c r="O450" i="27"/>
  <c r="N450" i="27"/>
  <c r="O449" i="27"/>
  <c r="N449" i="27"/>
  <c r="O448" i="27"/>
  <c r="N448" i="27"/>
  <c r="O447" i="27"/>
  <c r="N447" i="27"/>
  <c r="O446" i="27"/>
  <c r="N446" i="27"/>
  <c r="O445" i="27"/>
  <c r="N445" i="27"/>
  <c r="O444" i="27"/>
  <c r="N444" i="27"/>
  <c r="O443" i="27"/>
  <c r="N443" i="27"/>
  <c r="O442" i="27"/>
  <c r="N442" i="27"/>
  <c r="O441" i="27"/>
  <c r="N441" i="27"/>
  <c r="O440" i="27"/>
  <c r="N440" i="27"/>
  <c r="O439" i="27"/>
  <c r="N439" i="27"/>
  <c r="O438" i="27"/>
  <c r="N438" i="27"/>
  <c r="O437" i="27"/>
  <c r="N437" i="27"/>
  <c r="O436" i="27"/>
  <c r="N436" i="27"/>
  <c r="O435" i="27"/>
  <c r="N435" i="27"/>
  <c r="O434" i="27"/>
  <c r="N434" i="27"/>
  <c r="O433" i="27"/>
  <c r="N433" i="27"/>
  <c r="O432" i="27"/>
  <c r="N432" i="27"/>
  <c r="O431" i="27"/>
  <c r="N431" i="27"/>
  <c r="O430" i="27"/>
  <c r="N430" i="27"/>
  <c r="O429" i="27"/>
  <c r="N429" i="27"/>
  <c r="O428" i="27"/>
  <c r="N428" i="27"/>
  <c r="O427" i="27"/>
  <c r="O425" i="27"/>
  <c r="N425" i="27"/>
  <c r="O424" i="27"/>
  <c r="N424" i="27"/>
  <c r="O423" i="27"/>
  <c r="N423" i="27"/>
  <c r="O422" i="27"/>
  <c r="N422" i="27"/>
  <c r="O421" i="27"/>
  <c r="N421" i="27"/>
  <c r="O420" i="27"/>
  <c r="N420" i="27"/>
  <c r="O419" i="27"/>
  <c r="N419" i="27"/>
  <c r="O418" i="27"/>
  <c r="N418" i="27"/>
  <c r="O417" i="27"/>
  <c r="N417" i="27"/>
  <c r="O415" i="27"/>
  <c r="N415" i="27"/>
  <c r="O414" i="27"/>
  <c r="N414" i="27"/>
  <c r="O413" i="27"/>
  <c r="N413" i="27"/>
  <c r="O412" i="27"/>
  <c r="N412" i="27"/>
  <c r="O411" i="27"/>
  <c r="N411" i="27"/>
  <c r="O410" i="27"/>
  <c r="N410" i="27"/>
  <c r="O409" i="27"/>
  <c r="N409" i="27"/>
  <c r="O408" i="27"/>
  <c r="N408" i="27"/>
  <c r="O407" i="27"/>
  <c r="N407" i="27"/>
  <c r="O406" i="27"/>
  <c r="N405" i="27"/>
  <c r="O404" i="27"/>
  <c r="N404" i="27"/>
  <c r="O403" i="27"/>
  <c r="N403" i="27"/>
  <c r="O402" i="27"/>
  <c r="N402" i="27"/>
  <c r="O401" i="27"/>
  <c r="N401" i="27"/>
  <c r="O400" i="27"/>
  <c r="N400" i="27"/>
  <c r="O399" i="27"/>
  <c r="N399" i="27"/>
  <c r="O398" i="27"/>
  <c r="N398" i="27"/>
  <c r="O397" i="27"/>
  <c r="N397" i="27"/>
  <c r="O396" i="27"/>
  <c r="N396" i="27"/>
  <c r="O395" i="27"/>
  <c r="N395" i="27"/>
  <c r="O394" i="27"/>
  <c r="N394" i="27"/>
  <c r="O393" i="27"/>
  <c r="N393" i="27"/>
  <c r="O392" i="27"/>
  <c r="N392" i="27"/>
  <c r="O391" i="27"/>
  <c r="N391" i="27"/>
  <c r="O390" i="27"/>
  <c r="N390" i="27"/>
  <c r="O389" i="27"/>
  <c r="N389" i="27"/>
  <c r="O388" i="27"/>
  <c r="N388" i="27"/>
  <c r="O387" i="27"/>
  <c r="N387" i="27"/>
  <c r="O386" i="27"/>
  <c r="N386" i="27"/>
  <c r="O385" i="27"/>
  <c r="N385" i="27"/>
  <c r="O384" i="27"/>
  <c r="N384" i="27"/>
  <c r="O383" i="27"/>
  <c r="N383" i="27"/>
  <c r="O382" i="27"/>
  <c r="N382" i="27"/>
  <c r="O381" i="27"/>
  <c r="N381" i="27"/>
  <c r="O380" i="27"/>
  <c r="N380" i="27"/>
  <c r="O379" i="27"/>
  <c r="N379" i="27"/>
  <c r="N378" i="27"/>
  <c r="N377" i="27"/>
  <c r="O376" i="27"/>
  <c r="N376" i="27"/>
  <c r="O375" i="27"/>
  <c r="N375" i="27"/>
  <c r="O374" i="27"/>
  <c r="N374" i="27"/>
  <c r="O373" i="27"/>
  <c r="N373" i="27"/>
  <c r="O372" i="27"/>
  <c r="N372" i="27"/>
  <c r="O371" i="27"/>
  <c r="N371" i="27"/>
  <c r="O370" i="27"/>
  <c r="N370" i="27"/>
  <c r="O369" i="27"/>
  <c r="N369" i="27"/>
  <c r="O368" i="27"/>
  <c r="N368" i="27"/>
  <c r="O367" i="27"/>
  <c r="N367" i="27"/>
  <c r="O366" i="27"/>
  <c r="N366" i="27"/>
  <c r="O365" i="27"/>
  <c r="N365" i="27"/>
  <c r="O364" i="27"/>
  <c r="N364" i="27"/>
  <c r="O363" i="27"/>
  <c r="N363" i="27"/>
  <c r="O362" i="27"/>
  <c r="N362" i="27"/>
  <c r="O361" i="27"/>
  <c r="N361" i="27"/>
  <c r="O360" i="27"/>
  <c r="N360" i="27"/>
  <c r="O359" i="27"/>
  <c r="N359" i="27"/>
  <c r="O358" i="27"/>
  <c r="N358" i="27"/>
  <c r="O357" i="27"/>
  <c r="N357" i="27"/>
  <c r="O356" i="27"/>
  <c r="N356" i="27"/>
  <c r="O355" i="27"/>
  <c r="N355" i="27"/>
  <c r="O354" i="27"/>
  <c r="N354" i="27"/>
  <c r="O353" i="27"/>
  <c r="N353" i="27"/>
  <c r="O352" i="27"/>
  <c r="N352" i="27"/>
  <c r="O351" i="27"/>
  <c r="N351" i="27"/>
  <c r="O350" i="27"/>
  <c r="N350" i="27"/>
  <c r="O349" i="27"/>
  <c r="N349" i="27"/>
  <c r="O348" i="27"/>
  <c r="N348" i="27"/>
  <c r="O347" i="27"/>
  <c r="N347" i="27"/>
  <c r="O346" i="27"/>
  <c r="N346" i="27"/>
  <c r="O345" i="27"/>
  <c r="N345" i="27"/>
  <c r="O344" i="27"/>
  <c r="N344" i="27"/>
  <c r="O343" i="27"/>
  <c r="N343" i="27"/>
  <c r="O342" i="27"/>
  <c r="N342" i="27"/>
  <c r="O341" i="27"/>
  <c r="N341" i="27"/>
  <c r="O340" i="27"/>
  <c r="N340" i="27"/>
  <c r="O339" i="27"/>
  <c r="N339" i="27"/>
  <c r="O338" i="27"/>
  <c r="N338" i="27"/>
  <c r="O337" i="27"/>
  <c r="N337" i="27"/>
  <c r="O336" i="27"/>
  <c r="N336" i="27"/>
  <c r="O335" i="27"/>
  <c r="N335" i="27"/>
  <c r="O334" i="27"/>
  <c r="N334" i="27"/>
  <c r="O333" i="27"/>
  <c r="N333" i="27"/>
  <c r="O332" i="27"/>
  <c r="N332" i="27"/>
  <c r="O331" i="27"/>
  <c r="O330" i="27"/>
  <c r="N330" i="27"/>
  <c r="N329" i="27"/>
  <c r="O328" i="27"/>
  <c r="N328" i="27"/>
  <c r="O327" i="27"/>
  <c r="N327" i="27"/>
  <c r="O326" i="27"/>
  <c r="N326" i="27"/>
  <c r="O325" i="27"/>
  <c r="N325" i="27"/>
  <c r="O324" i="27"/>
  <c r="N324" i="27"/>
  <c r="O323" i="27"/>
  <c r="N323" i="27"/>
  <c r="O322" i="27"/>
  <c r="O321" i="27"/>
  <c r="N321" i="27"/>
  <c r="O319" i="27"/>
  <c r="N319" i="27"/>
  <c r="O318" i="27"/>
  <c r="N318" i="27"/>
  <c r="O317" i="27"/>
  <c r="N317" i="27"/>
  <c r="O316" i="27"/>
  <c r="N316" i="27"/>
  <c r="O315" i="27"/>
  <c r="N315" i="27"/>
  <c r="O314" i="27"/>
  <c r="N314" i="27"/>
  <c r="O313" i="27"/>
  <c r="N313" i="27"/>
  <c r="O312" i="27"/>
  <c r="N312" i="27"/>
  <c r="O311" i="27"/>
  <c r="N311" i="27"/>
  <c r="O310" i="27"/>
  <c r="N310" i="27"/>
  <c r="O309" i="27"/>
  <c r="N309" i="27"/>
  <c r="O308" i="27"/>
  <c r="N308" i="27"/>
  <c r="O307" i="27"/>
  <c r="N307" i="27"/>
  <c r="O306" i="27"/>
  <c r="N306" i="27"/>
  <c r="O305" i="27"/>
  <c r="N305" i="27"/>
  <c r="O304" i="27"/>
  <c r="N304" i="27"/>
  <c r="O303" i="27"/>
  <c r="N303" i="27"/>
  <c r="O302" i="27"/>
  <c r="N302" i="27"/>
  <c r="O301" i="27"/>
  <c r="N301" i="27"/>
  <c r="O300" i="27"/>
  <c r="N300" i="27"/>
  <c r="O299" i="27"/>
  <c r="N299" i="27"/>
  <c r="O298" i="27"/>
  <c r="N298" i="27"/>
  <c r="O297" i="27"/>
  <c r="N297" i="27"/>
  <c r="O296" i="27"/>
  <c r="N296" i="27"/>
  <c r="O295" i="27"/>
  <c r="N295" i="27"/>
  <c r="O294" i="27"/>
  <c r="N294" i="27"/>
  <c r="O293" i="27"/>
  <c r="N293" i="27"/>
  <c r="O292" i="27"/>
  <c r="N292" i="27"/>
  <c r="O291" i="27"/>
  <c r="N291" i="27"/>
  <c r="O290" i="27"/>
  <c r="N290" i="27"/>
  <c r="O289" i="27"/>
  <c r="N289" i="27"/>
  <c r="O288" i="27"/>
  <c r="N288" i="27"/>
  <c r="O287" i="27"/>
  <c r="N287" i="27"/>
  <c r="O286" i="27"/>
  <c r="N286" i="27"/>
  <c r="O285" i="27"/>
  <c r="N285" i="27"/>
  <c r="O284" i="27"/>
  <c r="N284" i="27"/>
  <c r="O283" i="27"/>
  <c r="N283" i="27"/>
  <c r="O282" i="27"/>
  <c r="N282" i="27"/>
  <c r="O280" i="27"/>
  <c r="N280" i="27"/>
  <c r="O279" i="27"/>
  <c r="N279" i="27"/>
  <c r="O278" i="27"/>
  <c r="N278" i="27"/>
  <c r="O277" i="27"/>
  <c r="N277" i="27"/>
  <c r="O276" i="27"/>
  <c r="N276" i="27"/>
  <c r="O275" i="27"/>
  <c r="N275" i="27"/>
  <c r="O274" i="27"/>
  <c r="O273" i="27"/>
  <c r="N273" i="27"/>
  <c r="O272" i="27"/>
  <c r="N272" i="27"/>
  <c r="O271" i="27"/>
  <c r="N271" i="27"/>
  <c r="O270" i="27"/>
  <c r="N270" i="27"/>
  <c r="O269" i="27"/>
  <c r="N269" i="27"/>
  <c r="O268" i="27"/>
  <c r="N268" i="27"/>
  <c r="O267" i="27"/>
  <c r="N267" i="27"/>
  <c r="O266" i="27"/>
  <c r="N266" i="27"/>
  <c r="O265" i="27"/>
  <c r="N265" i="27"/>
  <c r="O264" i="27"/>
  <c r="N264" i="27"/>
  <c r="O263" i="27"/>
  <c r="N263" i="27"/>
  <c r="O262" i="27"/>
  <c r="N262" i="27"/>
  <c r="O261" i="27"/>
  <c r="N261" i="27"/>
  <c r="O260" i="27"/>
  <c r="N260" i="27"/>
  <c r="O259" i="27"/>
  <c r="N259" i="27"/>
  <c r="O258" i="27"/>
  <c r="N258" i="27"/>
  <c r="O257" i="27"/>
  <c r="N257" i="27"/>
  <c r="O256" i="27"/>
  <c r="N256" i="27"/>
  <c r="O255" i="27"/>
  <c r="N255" i="27"/>
  <c r="O254" i="27"/>
  <c r="N254" i="27"/>
  <c r="O253" i="27"/>
  <c r="N253" i="27"/>
  <c r="O252" i="27"/>
  <c r="N252" i="27"/>
  <c r="O251" i="27"/>
  <c r="N251" i="27"/>
  <c r="O250" i="27"/>
  <c r="N250" i="27"/>
  <c r="O249" i="27"/>
  <c r="N249" i="27"/>
  <c r="O248" i="27"/>
  <c r="N248" i="27"/>
  <c r="O247" i="27"/>
  <c r="N247" i="27"/>
  <c r="O246" i="27"/>
  <c r="N246" i="27"/>
  <c r="O245" i="27"/>
  <c r="N245" i="27"/>
  <c r="O244" i="27"/>
  <c r="N244" i="27"/>
  <c r="O243" i="27"/>
  <c r="N243" i="27"/>
  <c r="O242" i="27"/>
  <c r="N242" i="27"/>
  <c r="O241" i="27"/>
  <c r="N241" i="27"/>
  <c r="O240" i="27"/>
  <c r="N240" i="27"/>
  <c r="O239" i="27"/>
  <c r="N239" i="27"/>
  <c r="O238" i="27"/>
  <c r="N238" i="27"/>
  <c r="O237" i="27"/>
  <c r="N237" i="27"/>
  <c r="O236" i="27"/>
  <c r="N236" i="27"/>
  <c r="O235" i="27"/>
  <c r="N235" i="27"/>
  <c r="N234" i="27"/>
  <c r="O233" i="27"/>
  <c r="N233" i="27"/>
  <c r="O231" i="27"/>
  <c r="N231" i="27"/>
  <c r="O230" i="27"/>
  <c r="N230" i="27"/>
  <c r="O229" i="27"/>
  <c r="N229" i="27"/>
  <c r="O228" i="27"/>
  <c r="N228" i="27"/>
  <c r="O227" i="27"/>
  <c r="N227" i="27"/>
  <c r="O226" i="27"/>
  <c r="N226" i="27"/>
  <c r="N225" i="27"/>
  <c r="O224" i="27"/>
  <c r="N224" i="27"/>
  <c r="N223" i="27"/>
  <c r="O222" i="27"/>
  <c r="N222" i="27"/>
  <c r="O221" i="27"/>
  <c r="N221" i="27"/>
  <c r="O220" i="27"/>
  <c r="N220" i="27"/>
  <c r="O219" i="27"/>
  <c r="N219" i="27"/>
  <c r="O218" i="27"/>
  <c r="N218" i="27"/>
  <c r="O217" i="27"/>
  <c r="N217" i="27"/>
  <c r="O216" i="27"/>
  <c r="N216" i="27"/>
  <c r="O215" i="27"/>
  <c r="N215" i="27"/>
  <c r="O214" i="27"/>
  <c r="N214" i="27"/>
  <c r="O213" i="27"/>
  <c r="N213" i="27"/>
  <c r="N212" i="27"/>
  <c r="O211" i="27"/>
  <c r="N211" i="27"/>
  <c r="O210" i="27"/>
  <c r="N210" i="27"/>
  <c r="O209" i="27"/>
  <c r="N209" i="27"/>
  <c r="O208" i="27"/>
  <c r="N208" i="27"/>
  <c r="O207" i="27"/>
  <c r="N207" i="27"/>
  <c r="O206" i="27"/>
  <c r="N206" i="27"/>
  <c r="O205" i="27"/>
  <c r="N205" i="27"/>
  <c r="O204" i="27"/>
  <c r="N204" i="27"/>
  <c r="O203" i="27"/>
  <c r="N203" i="27"/>
  <c r="O202" i="27"/>
  <c r="N202" i="27"/>
  <c r="O201" i="27"/>
  <c r="N201" i="27"/>
  <c r="O200" i="27"/>
  <c r="N200" i="27"/>
  <c r="O199" i="27"/>
  <c r="N199" i="27"/>
  <c r="O198" i="27"/>
  <c r="N198" i="27"/>
  <c r="O197" i="27"/>
  <c r="N197" i="27"/>
  <c r="O196" i="27"/>
  <c r="N196" i="27"/>
  <c r="O195" i="27"/>
  <c r="N195" i="27"/>
  <c r="O194" i="27"/>
  <c r="N194" i="27"/>
  <c r="O193" i="27"/>
  <c r="N193" i="27"/>
  <c r="O192" i="27"/>
  <c r="N192" i="27"/>
  <c r="O191" i="27"/>
  <c r="N191" i="27"/>
  <c r="O190" i="27"/>
  <c r="N190" i="27"/>
  <c r="O189" i="27"/>
  <c r="N189" i="27"/>
  <c r="O188" i="27"/>
  <c r="N188" i="27"/>
  <c r="O187" i="27"/>
  <c r="N187" i="27"/>
  <c r="O186" i="27"/>
  <c r="N186" i="27"/>
  <c r="O185" i="27"/>
  <c r="N185" i="27"/>
  <c r="O183" i="27"/>
  <c r="N183" i="27"/>
  <c r="O182" i="27"/>
  <c r="N182" i="27"/>
  <c r="O181" i="27"/>
  <c r="N181" i="27"/>
  <c r="O180" i="27"/>
  <c r="N180" i="27"/>
  <c r="O179" i="27"/>
  <c r="N179" i="27"/>
  <c r="O178" i="27"/>
  <c r="N178" i="27"/>
  <c r="O177" i="27"/>
  <c r="N177" i="27"/>
  <c r="O176" i="27"/>
  <c r="N176" i="27"/>
  <c r="O175" i="27"/>
  <c r="N175" i="27"/>
  <c r="O174" i="27"/>
  <c r="N174" i="27"/>
  <c r="O173" i="27"/>
  <c r="N173" i="27"/>
  <c r="O172" i="27"/>
  <c r="N172" i="27"/>
  <c r="O171" i="27"/>
  <c r="N171" i="27"/>
  <c r="O170" i="27"/>
  <c r="N170" i="27"/>
  <c r="O169" i="27"/>
  <c r="N169" i="27"/>
  <c r="O168" i="27"/>
  <c r="N168" i="27"/>
  <c r="O167" i="27"/>
  <c r="N167" i="27"/>
  <c r="O166" i="27"/>
  <c r="N166" i="27"/>
  <c r="O165" i="27"/>
  <c r="N165" i="27"/>
  <c r="O164" i="27"/>
  <c r="O163" i="27"/>
  <c r="N163" i="27"/>
  <c r="O162" i="27"/>
  <c r="N162" i="27"/>
  <c r="O161" i="27"/>
  <c r="N161" i="27"/>
  <c r="O160" i="27"/>
  <c r="N160" i="27"/>
  <c r="O159" i="27"/>
  <c r="N159" i="27"/>
  <c r="O158" i="27"/>
  <c r="N158" i="27"/>
  <c r="O157" i="27"/>
  <c r="N157" i="27"/>
  <c r="O156" i="27"/>
  <c r="N156" i="27"/>
  <c r="O155" i="27"/>
  <c r="N155" i="27"/>
  <c r="O154" i="27"/>
  <c r="N154" i="27"/>
  <c r="O153" i="27"/>
  <c r="N153" i="27"/>
  <c r="O152" i="27"/>
  <c r="N152" i="27"/>
  <c r="O151" i="27"/>
  <c r="N151" i="27"/>
  <c r="O150" i="27"/>
  <c r="N150" i="27"/>
  <c r="O149" i="27"/>
  <c r="N149" i="27"/>
  <c r="O148" i="27"/>
  <c r="N148" i="27"/>
  <c r="O147" i="27"/>
  <c r="N147" i="27"/>
  <c r="O146" i="27"/>
  <c r="N146" i="27"/>
  <c r="O145" i="27"/>
  <c r="N145" i="27"/>
  <c r="O144" i="27"/>
  <c r="N144" i="27"/>
  <c r="O143" i="27"/>
  <c r="N143" i="27"/>
  <c r="O142" i="27"/>
  <c r="N142" i="27"/>
  <c r="O141" i="27"/>
  <c r="N141" i="27"/>
  <c r="O140" i="27"/>
  <c r="N140" i="27"/>
  <c r="O139" i="27"/>
  <c r="N139" i="27"/>
  <c r="O138" i="27"/>
  <c r="N138" i="27"/>
  <c r="O137" i="27"/>
  <c r="N137" i="27"/>
  <c r="O135" i="27"/>
  <c r="N135" i="27"/>
  <c r="O134" i="27"/>
  <c r="N134" i="27"/>
  <c r="O133" i="27"/>
  <c r="N133" i="27"/>
  <c r="O132" i="27"/>
  <c r="N132" i="27"/>
  <c r="O131" i="27"/>
  <c r="N131" i="27"/>
  <c r="O130" i="27"/>
  <c r="N130" i="27"/>
  <c r="O128" i="27"/>
  <c r="N128" i="27"/>
  <c r="O127" i="27"/>
  <c r="N127" i="27"/>
  <c r="O126" i="27"/>
  <c r="N126" i="27"/>
  <c r="O125" i="27"/>
  <c r="N125" i="27"/>
  <c r="O124" i="27"/>
  <c r="N124" i="27"/>
  <c r="O123" i="27"/>
  <c r="N123" i="27"/>
  <c r="O122" i="27"/>
  <c r="N122" i="27"/>
  <c r="O121" i="27"/>
  <c r="N121" i="27"/>
  <c r="O119" i="27"/>
  <c r="N119" i="27"/>
  <c r="O118" i="27"/>
  <c r="N118" i="27"/>
  <c r="O114" i="27"/>
  <c r="N114" i="27"/>
  <c r="O113" i="27"/>
  <c r="N113" i="27"/>
  <c r="N112" i="27"/>
  <c r="O111" i="27"/>
  <c r="N111" i="27"/>
  <c r="O110" i="27"/>
  <c r="N110" i="27"/>
  <c r="O109" i="27"/>
  <c r="N109" i="27"/>
  <c r="O108" i="27"/>
  <c r="N108" i="27"/>
  <c r="O105" i="27"/>
  <c r="N105" i="27"/>
  <c r="O104" i="27"/>
  <c r="N104" i="27"/>
  <c r="O100" i="27"/>
  <c r="N100" i="27"/>
  <c r="O99" i="27"/>
  <c r="N99" i="27"/>
  <c r="N98" i="27"/>
  <c r="O97" i="27"/>
  <c r="N97" i="27"/>
  <c r="O96" i="27"/>
  <c r="N96" i="27"/>
  <c r="O95" i="27"/>
  <c r="N95" i="27"/>
  <c r="O94" i="27"/>
  <c r="N94" i="27"/>
  <c r="O93" i="27"/>
  <c r="N93" i="27"/>
  <c r="O91" i="27"/>
  <c r="N91" i="27"/>
  <c r="O90" i="27"/>
  <c r="N90" i="27"/>
  <c r="O86" i="27"/>
  <c r="N86" i="27"/>
  <c r="O85" i="27"/>
  <c r="N85" i="27"/>
  <c r="O84" i="27"/>
  <c r="N84" i="27"/>
  <c r="O83" i="27"/>
  <c r="N83" i="27"/>
  <c r="O82" i="27"/>
  <c r="N82" i="27"/>
  <c r="O81" i="27"/>
  <c r="N81" i="27"/>
  <c r="O80" i="27"/>
  <c r="N80" i="27"/>
  <c r="O79" i="27"/>
  <c r="N79" i="27"/>
  <c r="O77" i="27"/>
  <c r="N77" i="27"/>
  <c r="O76" i="27"/>
  <c r="N76" i="27"/>
  <c r="O71" i="27"/>
  <c r="N71" i="27"/>
  <c r="O70" i="27"/>
  <c r="N70" i="27"/>
  <c r="O69" i="27"/>
  <c r="N69" i="27"/>
  <c r="O68" i="27"/>
  <c r="N68" i="27"/>
  <c r="O67" i="27"/>
  <c r="N67" i="27"/>
  <c r="O66" i="27"/>
  <c r="N66" i="27"/>
  <c r="N65" i="27"/>
  <c r="O63" i="27"/>
  <c r="N63" i="27"/>
  <c r="O62" i="27"/>
  <c r="N62" i="27"/>
  <c r="O58" i="27"/>
  <c r="N58" i="27"/>
  <c r="O57" i="27"/>
  <c r="N57" i="27"/>
  <c r="O56" i="27"/>
  <c r="N56" i="27"/>
  <c r="O55" i="27"/>
  <c r="N55" i="27"/>
  <c r="O54" i="27"/>
  <c r="N54" i="27"/>
  <c r="O53" i="27"/>
  <c r="N53" i="27"/>
  <c r="O52" i="27"/>
  <c r="N52" i="27"/>
  <c r="O51" i="27"/>
  <c r="N51" i="27"/>
  <c r="O49" i="27"/>
  <c r="N49" i="27"/>
  <c r="O48" i="27"/>
  <c r="N48" i="27"/>
  <c r="O43" i="27"/>
  <c r="N43" i="27"/>
  <c r="O42" i="27"/>
  <c r="N42" i="27"/>
  <c r="O41" i="27"/>
  <c r="N41" i="27"/>
  <c r="O40" i="27"/>
  <c r="N40" i="27"/>
  <c r="O39" i="27"/>
  <c r="N39" i="27"/>
  <c r="O38" i="27"/>
  <c r="N38" i="27"/>
  <c r="O37" i="27"/>
  <c r="N37" i="27"/>
  <c r="O35" i="27"/>
  <c r="N35" i="27"/>
  <c r="O34" i="27"/>
  <c r="N34" i="27"/>
  <c r="O30" i="27"/>
  <c r="N30" i="27"/>
  <c r="O29" i="27"/>
  <c r="N29" i="27"/>
  <c r="O28" i="27"/>
  <c r="N28" i="27"/>
  <c r="O27" i="27"/>
  <c r="N27" i="27"/>
  <c r="O26" i="27"/>
  <c r="N26" i="27"/>
  <c r="O25" i="27"/>
  <c r="N25" i="27"/>
  <c r="O24" i="27"/>
  <c r="N24" i="27"/>
  <c r="O23" i="27"/>
  <c r="N23" i="27"/>
  <c r="O22" i="27"/>
  <c r="N22" i="27"/>
  <c r="O21" i="27"/>
  <c r="N21" i="27"/>
  <c r="N20" i="27"/>
  <c r="O18" i="27"/>
  <c r="N18" i="27"/>
  <c r="O17" i="27"/>
  <c r="N17" i="27"/>
  <c r="O16" i="27"/>
  <c r="N16" i="27"/>
  <c r="O15" i="27"/>
  <c r="N15" i="27"/>
  <c r="L14" i="27"/>
  <c r="O14" i="27" s="1"/>
  <c r="O13" i="27"/>
  <c r="N13" i="27"/>
  <c r="O12" i="27"/>
  <c r="N12" i="27"/>
  <c r="O8" i="27"/>
  <c r="N8" i="27"/>
  <c r="O7" i="27"/>
  <c r="N7" i="27"/>
  <c r="O6" i="27"/>
  <c r="N6" i="27"/>
  <c r="O5" i="27"/>
  <c r="N5" i="27"/>
  <c r="O4" i="27"/>
  <c r="N4" i="27"/>
  <c r="N107" i="27" l="1"/>
  <c r="N9" i="27"/>
  <c r="N115" i="27"/>
  <c r="O101" i="27"/>
  <c r="N87" i="27"/>
  <c r="O73" i="27"/>
  <c r="N59" i="27"/>
  <c r="O31" i="27"/>
  <c r="N45" i="27"/>
  <c r="N769" i="27"/>
  <c r="O762" i="27"/>
  <c r="O20" i="27"/>
  <c r="N760" i="27"/>
  <c r="O320" i="27"/>
  <c r="O184" i="27"/>
  <c r="O757" i="27"/>
  <c r="O767" i="27"/>
  <c r="O329" i="27"/>
  <c r="O747" i="27"/>
  <c r="O232" i="27"/>
  <c r="O378" i="27"/>
  <c r="O136" i="27"/>
  <c r="O72" i="27"/>
  <c r="M771" i="27"/>
  <c r="O405" i="27"/>
  <c r="O759" i="27"/>
  <c r="O44" i="27"/>
  <c r="O416" i="27"/>
  <c r="O761" i="27"/>
  <c r="O129" i="27"/>
  <c r="O758" i="27"/>
  <c r="O570" i="27"/>
  <c r="O760" i="27"/>
  <c r="O754" i="27"/>
  <c r="N761" i="27"/>
  <c r="O234" i="27"/>
  <c r="O753" i="27"/>
  <c r="O225" i="27"/>
  <c r="N765" i="27"/>
  <c r="N416" i="27"/>
  <c r="O751" i="27"/>
  <c r="O212" i="27"/>
  <c r="O748" i="27"/>
  <c r="O769" i="27"/>
  <c r="O522" i="27"/>
  <c r="N666" i="27"/>
  <c r="O112" i="27"/>
  <c r="O426" i="27"/>
  <c r="O223" i="27"/>
  <c r="O749" i="27"/>
  <c r="N756" i="27"/>
  <c r="O65" i="27"/>
  <c r="O281" i="27"/>
  <c r="O765" i="27"/>
  <c r="N322" i="27"/>
  <c r="O377" i="27"/>
  <c r="O766" i="27"/>
  <c r="N474" i="27"/>
  <c r="N44" i="27"/>
  <c r="O666" i="27"/>
  <c r="N72" i="27"/>
  <c r="N232" i="27"/>
  <c r="N757" i="27"/>
  <c r="O474" i="27"/>
  <c r="N694" i="27"/>
  <c r="O714" i="27"/>
  <c r="O755" i="27"/>
  <c r="N184" i="27"/>
  <c r="N426" i="27"/>
  <c r="N751" i="27"/>
  <c r="N406" i="27"/>
  <c r="N763" i="27"/>
  <c r="N164" i="27"/>
  <c r="N331" i="27"/>
  <c r="O764" i="27"/>
  <c r="N427" i="27"/>
  <c r="O756" i="27"/>
  <c r="N618" i="27"/>
  <c r="N14" i="27"/>
  <c r="N129" i="27"/>
  <c r="N136" i="27"/>
  <c r="N274" i="27"/>
  <c r="N281" i="27"/>
  <c r="N320" i="27"/>
  <c r="N758" i="27"/>
  <c r="N771" i="27" l="1"/>
  <c r="O771" i="27"/>
  <c r="H720" i="26" l="1"/>
  <c r="G720" i="26"/>
  <c r="F741" i="26"/>
  <c r="F549" i="26"/>
  <c r="E741" i="26"/>
  <c r="E549" i="26"/>
  <c r="F740" i="26"/>
  <c r="F645" i="26"/>
  <c r="E740" i="26"/>
  <c r="E645" i="26"/>
  <c r="F739" i="26"/>
  <c r="F357" i="26"/>
  <c r="H357" i="26" s="1"/>
  <c r="E739" i="26"/>
  <c r="E357" i="26"/>
  <c r="F738" i="26"/>
  <c r="F597" i="26"/>
  <c r="E738" i="26"/>
  <c r="E597" i="26"/>
  <c r="G597" i="26" s="1"/>
  <c r="F737" i="26"/>
  <c r="F693" i="26"/>
  <c r="E737" i="26"/>
  <c r="E693" i="26"/>
  <c r="H693" i="26" s="1"/>
  <c r="F736" i="26"/>
  <c r="H736" i="26" s="1"/>
  <c r="F501" i="26"/>
  <c r="G501" i="26" s="1"/>
  <c r="E736" i="26"/>
  <c r="E501" i="26"/>
  <c r="F735" i="26"/>
  <c r="H735" i="26" s="1"/>
  <c r="F453" i="26"/>
  <c r="E735" i="26"/>
  <c r="G735" i="26" s="1"/>
  <c r="E453" i="26"/>
  <c r="G453" i="26" s="1"/>
  <c r="G734" i="26"/>
  <c r="F734" i="26"/>
  <c r="F405" i="26"/>
  <c r="E734" i="26"/>
  <c r="H734" i="26" s="1"/>
  <c r="E405" i="26"/>
  <c r="A735" i="26"/>
  <c r="A736" i="26"/>
  <c r="A737" i="26"/>
  <c r="A738" i="26"/>
  <c r="A739" i="26"/>
  <c r="A740" i="26"/>
  <c r="A741" i="26"/>
  <c r="A734" i="26"/>
  <c r="E395" i="26"/>
  <c r="E742" i="26"/>
  <c r="H742" i="26" s="1"/>
  <c r="F260" i="26"/>
  <c r="E260" i="26"/>
  <c r="H260" i="26" s="1"/>
  <c r="F746" i="26"/>
  <c r="E746" i="26"/>
  <c r="G746" i="26" s="1"/>
  <c r="F19" i="26"/>
  <c r="E19" i="26"/>
  <c r="G19" i="26" s="1"/>
  <c r="E299" i="26"/>
  <c r="G299" i="26" s="1"/>
  <c r="E743" i="26"/>
  <c r="G743" i="26" s="1"/>
  <c r="F308" i="26"/>
  <c r="E308" i="26"/>
  <c r="G308" i="26" s="1"/>
  <c r="H747" i="26"/>
  <c r="G747" i="26"/>
  <c r="F356" i="26"/>
  <c r="E356" i="26"/>
  <c r="G356" i="26" s="1"/>
  <c r="E745" i="26"/>
  <c r="H745" i="26" s="1"/>
  <c r="F67" i="26"/>
  <c r="E67" i="26"/>
  <c r="H749" i="26"/>
  <c r="G749" i="26"/>
  <c r="F163" i="26"/>
  <c r="E163" i="26"/>
  <c r="G163" i="26" s="1"/>
  <c r="F748" i="26"/>
  <c r="E748" i="26"/>
  <c r="F115" i="26"/>
  <c r="E115" i="26"/>
  <c r="E202" i="26"/>
  <c r="F744" i="26"/>
  <c r="E744" i="26"/>
  <c r="G744" i="26" s="1"/>
  <c r="F211" i="26"/>
  <c r="E211" i="26"/>
  <c r="F732" i="26"/>
  <c r="E732" i="26"/>
  <c r="G732" i="26" s="1"/>
  <c r="F730" i="26"/>
  <c r="E730" i="26"/>
  <c r="F728" i="26"/>
  <c r="E728" i="26"/>
  <c r="G728" i="26" s="1"/>
  <c r="F727" i="26"/>
  <c r="E727" i="26"/>
  <c r="E733" i="26"/>
  <c r="H733" i="26" s="1"/>
  <c r="G549" i="26"/>
  <c r="E406" i="26"/>
  <c r="H406" i="26" s="1"/>
  <c r="F395" i="26"/>
  <c r="F726" i="26"/>
  <c r="E726" i="26"/>
  <c r="G729" i="26"/>
  <c r="H729" i="26"/>
  <c r="G731" i="26"/>
  <c r="H731" i="26"/>
  <c r="F253" i="26"/>
  <c r="H253" i="26" s="1"/>
  <c r="F12" i="26"/>
  <c r="E12" i="26"/>
  <c r="E310" i="26"/>
  <c r="G310" i="26" s="1"/>
  <c r="F299" i="26"/>
  <c r="E301" i="26"/>
  <c r="G301" i="26" s="1"/>
  <c r="F60" i="26"/>
  <c r="H60" i="26" s="1"/>
  <c r="E60" i="26"/>
  <c r="F108" i="26"/>
  <c r="E108" i="26"/>
  <c r="F202" i="26"/>
  <c r="H202" i="26" s="1"/>
  <c r="E213" i="26"/>
  <c r="G213" i="26" s="1"/>
  <c r="F204" i="26"/>
  <c r="E204" i="26"/>
  <c r="F384" i="26"/>
  <c r="E384" i="26"/>
  <c r="E385" i="26"/>
  <c r="H385" i="26" s="1"/>
  <c r="E673" i="26"/>
  <c r="G673" i="26" s="1"/>
  <c r="F47" i="26"/>
  <c r="E47" i="26"/>
  <c r="E95" i="26"/>
  <c r="H95" i="26" s="1"/>
  <c r="E191" i="26"/>
  <c r="G191" i="26" s="1"/>
  <c r="E143" i="26"/>
  <c r="H143" i="26" s="1"/>
  <c r="E11" i="26"/>
  <c r="G182" i="26"/>
  <c r="H725" i="26"/>
  <c r="G725" i="26"/>
  <c r="H724" i="26"/>
  <c r="G724" i="26"/>
  <c r="H723" i="26"/>
  <c r="G723" i="26"/>
  <c r="H722" i="26"/>
  <c r="G722" i="26"/>
  <c r="H721" i="26"/>
  <c r="G721" i="26"/>
  <c r="H719" i="26"/>
  <c r="G719" i="26"/>
  <c r="H718" i="26"/>
  <c r="G718" i="26"/>
  <c r="H717" i="26"/>
  <c r="G717" i="26"/>
  <c r="H716" i="26"/>
  <c r="G716" i="26"/>
  <c r="H715" i="26"/>
  <c r="G715" i="26"/>
  <c r="H714" i="26"/>
  <c r="G714" i="26"/>
  <c r="H713" i="26"/>
  <c r="G713" i="26"/>
  <c r="H712" i="26"/>
  <c r="G712" i="26"/>
  <c r="H711" i="26"/>
  <c r="G711" i="26"/>
  <c r="H710" i="26"/>
  <c r="G710" i="26"/>
  <c r="H709" i="26"/>
  <c r="G709" i="26"/>
  <c r="H708" i="26"/>
  <c r="G708" i="26"/>
  <c r="H707" i="26"/>
  <c r="G707" i="26"/>
  <c r="H706" i="26"/>
  <c r="G706" i="26"/>
  <c r="H705" i="26"/>
  <c r="G705" i="26"/>
  <c r="H704" i="26"/>
  <c r="G704" i="26"/>
  <c r="H703" i="26"/>
  <c r="G703" i="26"/>
  <c r="H702" i="26"/>
  <c r="G702" i="26"/>
  <c r="H701" i="26"/>
  <c r="G701" i="26"/>
  <c r="H700" i="26"/>
  <c r="G700" i="26"/>
  <c r="H699" i="26"/>
  <c r="G699" i="26"/>
  <c r="H698" i="26"/>
  <c r="G698" i="26"/>
  <c r="H697" i="26"/>
  <c r="G697" i="26"/>
  <c r="H696" i="26"/>
  <c r="G696" i="26"/>
  <c r="H695" i="26"/>
  <c r="G695" i="26"/>
  <c r="H694" i="26"/>
  <c r="G694" i="26"/>
  <c r="H692" i="26"/>
  <c r="G692" i="26"/>
  <c r="H691" i="26"/>
  <c r="G691" i="26"/>
  <c r="H690" i="26"/>
  <c r="G690" i="26"/>
  <c r="H689" i="26"/>
  <c r="G689" i="26"/>
  <c r="H688" i="26"/>
  <c r="G688" i="26"/>
  <c r="H687" i="26"/>
  <c r="G687" i="26"/>
  <c r="H686" i="26"/>
  <c r="G686" i="26"/>
  <c r="H685" i="26"/>
  <c r="G685" i="26"/>
  <c r="H684" i="26"/>
  <c r="G684" i="26"/>
  <c r="H683" i="26"/>
  <c r="G683" i="26"/>
  <c r="H682" i="26"/>
  <c r="G682" i="26"/>
  <c r="H681" i="26"/>
  <c r="G681" i="26"/>
  <c r="H680" i="26"/>
  <c r="G680" i="26"/>
  <c r="H679" i="26"/>
  <c r="G679" i="26"/>
  <c r="H678" i="26"/>
  <c r="G678" i="26"/>
  <c r="H677" i="26"/>
  <c r="G677" i="26"/>
  <c r="H676" i="26"/>
  <c r="G676" i="26"/>
  <c r="H675" i="26"/>
  <c r="G675" i="26"/>
  <c r="H674" i="26"/>
  <c r="G674" i="26"/>
  <c r="H672" i="26"/>
  <c r="G672" i="26"/>
  <c r="H671" i="26"/>
  <c r="G671" i="26"/>
  <c r="H670" i="26"/>
  <c r="G670" i="26"/>
  <c r="H669" i="26"/>
  <c r="G669" i="26"/>
  <c r="H668" i="26"/>
  <c r="G668" i="26"/>
  <c r="H667" i="26"/>
  <c r="G667" i="26"/>
  <c r="H666" i="26"/>
  <c r="G666" i="26"/>
  <c r="H665" i="26"/>
  <c r="G665" i="26"/>
  <c r="H664" i="26"/>
  <c r="G664" i="26"/>
  <c r="H663" i="26"/>
  <c r="G663" i="26"/>
  <c r="H662" i="26"/>
  <c r="G662" i="26"/>
  <c r="H661" i="26"/>
  <c r="G661" i="26"/>
  <c r="H660" i="26"/>
  <c r="G660" i="26"/>
  <c r="H659" i="26"/>
  <c r="G659" i="26"/>
  <c r="H658" i="26"/>
  <c r="G658" i="26"/>
  <c r="H657" i="26"/>
  <c r="G657" i="26"/>
  <c r="H656" i="26"/>
  <c r="G656" i="26"/>
  <c r="H655" i="26"/>
  <c r="G655" i="26"/>
  <c r="H654" i="26"/>
  <c r="G654" i="26"/>
  <c r="H653" i="26"/>
  <c r="G653" i="26"/>
  <c r="H652" i="26"/>
  <c r="G652" i="26"/>
  <c r="H651" i="26"/>
  <c r="G651" i="26"/>
  <c r="H650" i="26"/>
  <c r="G650" i="26"/>
  <c r="H649" i="26"/>
  <c r="G649" i="26"/>
  <c r="H648" i="26"/>
  <c r="G648" i="26"/>
  <c r="H647" i="26"/>
  <c r="G647" i="26"/>
  <c r="H646" i="26"/>
  <c r="G646" i="26"/>
  <c r="H644" i="26"/>
  <c r="G644" i="26"/>
  <c r="H643" i="26"/>
  <c r="G643" i="26"/>
  <c r="H642" i="26"/>
  <c r="G642" i="26"/>
  <c r="H641" i="26"/>
  <c r="G641" i="26"/>
  <c r="H640" i="26"/>
  <c r="G640" i="26"/>
  <c r="H639" i="26"/>
  <c r="G639" i="26"/>
  <c r="H638" i="26"/>
  <c r="G638" i="26"/>
  <c r="H637" i="26"/>
  <c r="G637" i="26"/>
  <c r="H636" i="26"/>
  <c r="G636" i="26"/>
  <c r="H635" i="26"/>
  <c r="G635" i="26"/>
  <c r="H634" i="26"/>
  <c r="G634" i="26"/>
  <c r="H633" i="26"/>
  <c r="G633" i="26"/>
  <c r="H632" i="26"/>
  <c r="G632" i="26"/>
  <c r="H631" i="26"/>
  <c r="G631" i="26"/>
  <c r="H630" i="26"/>
  <c r="G630" i="26"/>
  <c r="H629" i="26"/>
  <c r="G629" i="26"/>
  <c r="H628" i="26"/>
  <c r="G628" i="26"/>
  <c r="H627" i="26"/>
  <c r="G627" i="26"/>
  <c r="H626" i="26"/>
  <c r="G626" i="26"/>
  <c r="H625" i="26"/>
  <c r="G625" i="26"/>
  <c r="H624" i="26"/>
  <c r="G624" i="26"/>
  <c r="H623" i="26"/>
  <c r="G623" i="26"/>
  <c r="H622" i="26"/>
  <c r="G622" i="26"/>
  <c r="H621" i="26"/>
  <c r="G621" i="26"/>
  <c r="H620" i="26"/>
  <c r="G620" i="26"/>
  <c r="H619" i="26"/>
  <c r="G619" i="26"/>
  <c r="H618" i="26"/>
  <c r="G618" i="26"/>
  <c r="H617" i="26"/>
  <c r="G617" i="26"/>
  <c r="H616" i="26"/>
  <c r="G616" i="26"/>
  <c r="H615" i="26"/>
  <c r="G615" i="26"/>
  <c r="H614" i="26"/>
  <c r="G614" i="26"/>
  <c r="H613" i="26"/>
  <c r="G613" i="26"/>
  <c r="H612" i="26"/>
  <c r="G612" i="26"/>
  <c r="H611" i="26"/>
  <c r="G611" i="26"/>
  <c r="H610" i="26"/>
  <c r="G610" i="26"/>
  <c r="H609" i="26"/>
  <c r="G609" i="26"/>
  <c r="H608" i="26"/>
  <c r="G608" i="26"/>
  <c r="H607" i="26"/>
  <c r="G607" i="26"/>
  <c r="H606" i="26"/>
  <c r="G606" i="26"/>
  <c r="H605" i="26"/>
  <c r="G605" i="26"/>
  <c r="H604" i="26"/>
  <c r="G604" i="26"/>
  <c r="H603" i="26"/>
  <c r="G603" i="26"/>
  <c r="H602" i="26"/>
  <c r="G602" i="26"/>
  <c r="H601" i="26"/>
  <c r="G601" i="26"/>
  <c r="H600" i="26"/>
  <c r="G600" i="26"/>
  <c r="H599" i="26"/>
  <c r="G599" i="26"/>
  <c r="H598" i="26"/>
  <c r="G598" i="26"/>
  <c r="H596" i="26"/>
  <c r="G596" i="26"/>
  <c r="H595" i="26"/>
  <c r="G595" i="26"/>
  <c r="H594" i="26"/>
  <c r="G594" i="26"/>
  <c r="H593" i="26"/>
  <c r="G593" i="26"/>
  <c r="H592" i="26"/>
  <c r="G592" i="26"/>
  <c r="H591" i="26"/>
  <c r="G591" i="26"/>
  <c r="H590" i="26"/>
  <c r="G590" i="26"/>
  <c r="H589" i="26"/>
  <c r="G589" i="26"/>
  <c r="H588" i="26"/>
  <c r="G588" i="26"/>
  <c r="H587" i="26"/>
  <c r="G587" i="26"/>
  <c r="H586" i="26"/>
  <c r="G586" i="26"/>
  <c r="H585" i="26"/>
  <c r="G585" i="26"/>
  <c r="H584" i="26"/>
  <c r="G584" i="26"/>
  <c r="H583" i="26"/>
  <c r="G583" i="26"/>
  <c r="H582" i="26"/>
  <c r="G582" i="26"/>
  <c r="H581" i="26"/>
  <c r="G581" i="26"/>
  <c r="H580" i="26"/>
  <c r="G580" i="26"/>
  <c r="H579" i="26"/>
  <c r="G579" i="26"/>
  <c r="H578" i="26"/>
  <c r="G578" i="26"/>
  <c r="H577" i="26"/>
  <c r="G577" i="26"/>
  <c r="H576" i="26"/>
  <c r="G576" i="26"/>
  <c r="H575" i="26"/>
  <c r="G575" i="26"/>
  <c r="H574" i="26"/>
  <c r="G574" i="26"/>
  <c r="H573" i="26"/>
  <c r="G573" i="26"/>
  <c r="H572" i="26"/>
  <c r="G572" i="26"/>
  <c r="H571" i="26"/>
  <c r="G571" i="26"/>
  <c r="H570" i="26"/>
  <c r="G570" i="26"/>
  <c r="H569" i="26"/>
  <c r="G569" i="26"/>
  <c r="H568" i="26"/>
  <c r="G568" i="26"/>
  <c r="H567" i="26"/>
  <c r="G567" i="26"/>
  <c r="H566" i="26"/>
  <c r="G566" i="26"/>
  <c r="H565" i="26"/>
  <c r="G565" i="26"/>
  <c r="H564" i="26"/>
  <c r="G564" i="26"/>
  <c r="H563" i="26"/>
  <c r="G563" i="26"/>
  <c r="H562" i="26"/>
  <c r="G562" i="26"/>
  <c r="H561" i="26"/>
  <c r="G561" i="26"/>
  <c r="H560" i="26"/>
  <c r="G560" i="26"/>
  <c r="H559" i="26"/>
  <c r="G559" i="26"/>
  <c r="H558" i="26"/>
  <c r="G558" i="26"/>
  <c r="H557" i="26"/>
  <c r="G557" i="26"/>
  <c r="H556" i="26"/>
  <c r="G556" i="26"/>
  <c r="H555" i="26"/>
  <c r="G555" i="26"/>
  <c r="H554" i="26"/>
  <c r="G554" i="26"/>
  <c r="H553" i="26"/>
  <c r="G553" i="26"/>
  <c r="H552" i="26"/>
  <c r="G552" i="26"/>
  <c r="H551" i="26"/>
  <c r="G551" i="26"/>
  <c r="H550" i="26"/>
  <c r="G550" i="26"/>
  <c r="H548" i="26"/>
  <c r="G548" i="26"/>
  <c r="H547" i="26"/>
  <c r="G547" i="26"/>
  <c r="H546" i="26"/>
  <c r="G546" i="26"/>
  <c r="H545" i="26"/>
  <c r="G545" i="26"/>
  <c r="H544" i="26"/>
  <c r="G544" i="26"/>
  <c r="H543" i="26"/>
  <c r="G543" i="26"/>
  <c r="H542" i="26"/>
  <c r="G542" i="26"/>
  <c r="H541" i="26"/>
  <c r="G541" i="26"/>
  <c r="H540" i="26"/>
  <c r="G540" i="26"/>
  <c r="H539" i="26"/>
  <c r="G539" i="26"/>
  <c r="H538" i="26"/>
  <c r="G538" i="26"/>
  <c r="H537" i="26"/>
  <c r="G537" i="26"/>
  <c r="H536" i="26"/>
  <c r="G536" i="26"/>
  <c r="H535" i="26"/>
  <c r="G535" i="26"/>
  <c r="H534" i="26"/>
  <c r="G534" i="26"/>
  <c r="H533" i="26"/>
  <c r="G533" i="26"/>
  <c r="H532" i="26"/>
  <c r="G532" i="26"/>
  <c r="H531" i="26"/>
  <c r="G531" i="26"/>
  <c r="H530" i="26"/>
  <c r="G530" i="26"/>
  <c r="H529" i="26"/>
  <c r="G529" i="26"/>
  <c r="H528" i="26"/>
  <c r="G528" i="26"/>
  <c r="H527" i="26"/>
  <c r="G527" i="26"/>
  <c r="H526" i="26"/>
  <c r="G526" i="26"/>
  <c r="H525" i="26"/>
  <c r="G525" i="26"/>
  <c r="H524" i="26"/>
  <c r="G524" i="26"/>
  <c r="H523" i="26"/>
  <c r="G523" i="26"/>
  <c r="H522" i="26"/>
  <c r="G522" i="26"/>
  <c r="H521" i="26"/>
  <c r="G521" i="26"/>
  <c r="H520" i="26"/>
  <c r="G520" i="26"/>
  <c r="H519" i="26"/>
  <c r="G519" i="26"/>
  <c r="H518" i="26"/>
  <c r="G518" i="26"/>
  <c r="H517" i="26"/>
  <c r="G517" i="26"/>
  <c r="H516" i="26"/>
  <c r="G516" i="26"/>
  <c r="H515" i="26"/>
  <c r="G515" i="26"/>
  <c r="H514" i="26"/>
  <c r="G514" i="26"/>
  <c r="H513" i="26"/>
  <c r="G513" i="26"/>
  <c r="H512" i="26"/>
  <c r="G512" i="26"/>
  <c r="H511" i="26"/>
  <c r="G511" i="26"/>
  <c r="H510" i="26"/>
  <c r="G510" i="26"/>
  <c r="H509" i="26"/>
  <c r="G509" i="26"/>
  <c r="H508" i="26"/>
  <c r="G508" i="26"/>
  <c r="H507" i="26"/>
  <c r="G507" i="26"/>
  <c r="H506" i="26"/>
  <c r="G506" i="26"/>
  <c r="H505" i="26"/>
  <c r="G505" i="26"/>
  <c r="H504" i="26"/>
  <c r="G504" i="26"/>
  <c r="H503" i="26"/>
  <c r="G503" i="26"/>
  <c r="H502" i="26"/>
  <c r="G502" i="26"/>
  <c r="H500" i="26"/>
  <c r="G500" i="26"/>
  <c r="H499" i="26"/>
  <c r="G499" i="26"/>
  <c r="H498" i="26"/>
  <c r="G498" i="26"/>
  <c r="H497" i="26"/>
  <c r="G497" i="26"/>
  <c r="H496" i="26"/>
  <c r="G496" i="26"/>
  <c r="H495" i="26"/>
  <c r="G495" i="26"/>
  <c r="H494" i="26"/>
  <c r="G494" i="26"/>
  <c r="H493" i="26"/>
  <c r="G493" i="26"/>
  <c r="H492" i="26"/>
  <c r="G492" i="26"/>
  <c r="H491" i="26"/>
  <c r="G491" i="26"/>
  <c r="H490" i="26"/>
  <c r="G490" i="26"/>
  <c r="H489" i="26"/>
  <c r="G489" i="26"/>
  <c r="H488" i="26"/>
  <c r="G488" i="26"/>
  <c r="H487" i="26"/>
  <c r="G487" i="26"/>
  <c r="H486" i="26"/>
  <c r="G486" i="26"/>
  <c r="H485" i="26"/>
  <c r="G485" i="26"/>
  <c r="H484" i="26"/>
  <c r="G484" i="26"/>
  <c r="H483" i="26"/>
  <c r="G483" i="26"/>
  <c r="H482" i="26"/>
  <c r="G482" i="26"/>
  <c r="H481" i="26"/>
  <c r="G481" i="26"/>
  <c r="H480" i="26"/>
  <c r="G480" i="26"/>
  <c r="H479" i="26"/>
  <c r="G479" i="26"/>
  <c r="H478" i="26"/>
  <c r="G478" i="26"/>
  <c r="H477" i="26"/>
  <c r="G477" i="26"/>
  <c r="H476" i="26"/>
  <c r="G476" i="26"/>
  <c r="H475" i="26"/>
  <c r="G475" i="26"/>
  <c r="H474" i="26"/>
  <c r="G474" i="26"/>
  <c r="H473" i="26"/>
  <c r="G473" i="26"/>
  <c r="H472" i="26"/>
  <c r="G472" i="26"/>
  <c r="H471" i="26"/>
  <c r="G471" i="26"/>
  <c r="H470" i="26"/>
  <c r="G470" i="26"/>
  <c r="H469" i="26"/>
  <c r="G469" i="26"/>
  <c r="H468" i="26"/>
  <c r="G468" i="26"/>
  <c r="H467" i="26"/>
  <c r="G467" i="26"/>
  <c r="H466" i="26"/>
  <c r="G466" i="26"/>
  <c r="H465" i="26"/>
  <c r="G465" i="26"/>
  <c r="H464" i="26"/>
  <c r="G464" i="26"/>
  <c r="H463" i="26"/>
  <c r="G463" i="26"/>
  <c r="H462" i="26"/>
  <c r="G462" i="26"/>
  <c r="H461" i="26"/>
  <c r="G461" i="26"/>
  <c r="H460" i="26"/>
  <c r="G460" i="26"/>
  <c r="H459" i="26"/>
  <c r="G459" i="26"/>
  <c r="H458" i="26"/>
  <c r="G458" i="26"/>
  <c r="H457" i="26"/>
  <c r="G457" i="26"/>
  <c r="H456" i="26"/>
  <c r="G456" i="26"/>
  <c r="H455" i="26"/>
  <c r="G455" i="26"/>
  <c r="H454" i="26"/>
  <c r="G454" i="26"/>
  <c r="H452" i="26"/>
  <c r="G452" i="26"/>
  <c r="H451" i="26"/>
  <c r="G451" i="26"/>
  <c r="H450" i="26"/>
  <c r="G450" i="26"/>
  <c r="H449" i="26"/>
  <c r="G449" i="26"/>
  <c r="H448" i="26"/>
  <c r="G448" i="26"/>
  <c r="H447" i="26"/>
  <c r="G447" i="26"/>
  <c r="H446" i="26"/>
  <c r="G446" i="26"/>
  <c r="H445" i="26"/>
  <c r="G445" i="26"/>
  <c r="H444" i="26"/>
  <c r="G444" i="26"/>
  <c r="H443" i="26"/>
  <c r="G443" i="26"/>
  <c r="H442" i="26"/>
  <c r="G442" i="26"/>
  <c r="H441" i="26"/>
  <c r="G441" i="26"/>
  <c r="H440" i="26"/>
  <c r="G440" i="26"/>
  <c r="H439" i="26"/>
  <c r="G439" i="26"/>
  <c r="H438" i="26"/>
  <c r="G438" i="26"/>
  <c r="H437" i="26"/>
  <c r="G437" i="26"/>
  <c r="H436" i="26"/>
  <c r="G436" i="26"/>
  <c r="H435" i="26"/>
  <c r="G435" i="26"/>
  <c r="H434" i="26"/>
  <c r="G434" i="26"/>
  <c r="H433" i="26"/>
  <c r="G433" i="26"/>
  <c r="H432" i="26"/>
  <c r="G432" i="26"/>
  <c r="H431" i="26"/>
  <c r="G431" i="26"/>
  <c r="H430" i="26"/>
  <c r="G430" i="26"/>
  <c r="H429" i="26"/>
  <c r="G429" i="26"/>
  <c r="H428" i="26"/>
  <c r="G428" i="26"/>
  <c r="H427" i="26"/>
  <c r="G427" i="26"/>
  <c r="H426" i="26"/>
  <c r="G426" i="26"/>
  <c r="H425" i="26"/>
  <c r="G425" i="26"/>
  <c r="H424" i="26"/>
  <c r="G424" i="26"/>
  <c r="H423" i="26"/>
  <c r="G423" i="26"/>
  <c r="H422" i="26"/>
  <c r="G422" i="26"/>
  <c r="H421" i="26"/>
  <c r="G421" i="26"/>
  <c r="H420" i="26"/>
  <c r="G420" i="26"/>
  <c r="H419" i="26"/>
  <c r="G419" i="26"/>
  <c r="H418" i="26"/>
  <c r="G418" i="26"/>
  <c r="H417" i="26"/>
  <c r="G417" i="26"/>
  <c r="H416" i="26"/>
  <c r="G416" i="26"/>
  <c r="H415" i="26"/>
  <c r="G415" i="26"/>
  <c r="H414" i="26"/>
  <c r="G414" i="26"/>
  <c r="H413" i="26"/>
  <c r="G413" i="26"/>
  <c r="H412" i="26"/>
  <c r="G412" i="26"/>
  <c r="H411" i="26"/>
  <c r="G411" i="26"/>
  <c r="H410" i="26"/>
  <c r="G410" i="26"/>
  <c r="H409" i="26"/>
  <c r="G409" i="26"/>
  <c r="H408" i="26"/>
  <c r="G408" i="26"/>
  <c r="H407" i="26"/>
  <c r="G407" i="26"/>
  <c r="H404" i="26"/>
  <c r="G404" i="26"/>
  <c r="H403" i="26"/>
  <c r="G403" i="26"/>
  <c r="H402" i="26"/>
  <c r="G402" i="26"/>
  <c r="H401" i="26"/>
  <c r="G401" i="26"/>
  <c r="H400" i="26"/>
  <c r="G400" i="26"/>
  <c r="H399" i="26"/>
  <c r="G399" i="26"/>
  <c r="H398" i="26"/>
  <c r="G398" i="26"/>
  <c r="H397" i="26"/>
  <c r="G397" i="26"/>
  <c r="H396" i="26"/>
  <c r="G396" i="26"/>
  <c r="G395" i="26"/>
  <c r="H394" i="26"/>
  <c r="G394" i="26"/>
  <c r="H393" i="26"/>
  <c r="G393" i="26"/>
  <c r="H392" i="26"/>
  <c r="G392" i="26"/>
  <c r="H391" i="26"/>
  <c r="G391" i="26"/>
  <c r="H390" i="26"/>
  <c r="G390" i="26"/>
  <c r="H389" i="26"/>
  <c r="G389" i="26"/>
  <c r="H388" i="26"/>
  <c r="G388" i="26"/>
  <c r="H387" i="26"/>
  <c r="G387" i="26"/>
  <c r="H386" i="26"/>
  <c r="G386" i="26"/>
  <c r="G385" i="26"/>
  <c r="H383" i="26"/>
  <c r="G383" i="26"/>
  <c r="H382" i="26"/>
  <c r="G382" i="26"/>
  <c r="H381" i="26"/>
  <c r="G381" i="26"/>
  <c r="H380" i="26"/>
  <c r="G380" i="26"/>
  <c r="H379" i="26"/>
  <c r="G379" i="26"/>
  <c r="H378" i="26"/>
  <c r="G378" i="26"/>
  <c r="H377" i="26"/>
  <c r="G377" i="26"/>
  <c r="H376" i="26"/>
  <c r="G376" i="26"/>
  <c r="H375" i="26"/>
  <c r="G375" i="26"/>
  <c r="H374" i="26"/>
  <c r="G374" i="26"/>
  <c r="H373" i="26"/>
  <c r="G373" i="26"/>
  <c r="H372" i="26"/>
  <c r="G372" i="26"/>
  <c r="H371" i="26"/>
  <c r="G371" i="26"/>
  <c r="H370" i="26"/>
  <c r="G370" i="26"/>
  <c r="H369" i="26"/>
  <c r="G369" i="26"/>
  <c r="H368" i="26"/>
  <c r="G368" i="26"/>
  <c r="H367" i="26"/>
  <c r="G367" i="26"/>
  <c r="H366" i="26"/>
  <c r="G366" i="26"/>
  <c r="H365" i="26"/>
  <c r="G365" i="26"/>
  <c r="H364" i="26"/>
  <c r="G364" i="26"/>
  <c r="H363" i="26"/>
  <c r="G363" i="26"/>
  <c r="H362" i="26"/>
  <c r="G362" i="26"/>
  <c r="H361" i="26"/>
  <c r="G361" i="26"/>
  <c r="H360" i="26"/>
  <c r="G360" i="26"/>
  <c r="H359" i="26"/>
  <c r="G359" i="26"/>
  <c r="H358" i="26"/>
  <c r="G358" i="26"/>
  <c r="H355" i="26"/>
  <c r="G355" i="26"/>
  <c r="H354" i="26"/>
  <c r="G354" i="26"/>
  <c r="H353" i="26"/>
  <c r="G353" i="26"/>
  <c r="H352" i="26"/>
  <c r="G352" i="26"/>
  <c r="H351" i="26"/>
  <c r="G351" i="26"/>
  <c r="H350" i="26"/>
  <c r="G350" i="26"/>
  <c r="H349" i="26"/>
  <c r="G349" i="26"/>
  <c r="H348" i="26"/>
  <c r="G348" i="26"/>
  <c r="H347" i="26"/>
  <c r="G347" i="26"/>
  <c r="H346" i="26"/>
  <c r="G346" i="26"/>
  <c r="H345" i="26"/>
  <c r="G345" i="26"/>
  <c r="H344" i="26"/>
  <c r="G344" i="26"/>
  <c r="H343" i="26"/>
  <c r="G343" i="26"/>
  <c r="H342" i="26"/>
  <c r="G342" i="26"/>
  <c r="H341" i="26"/>
  <c r="G341" i="26"/>
  <c r="H340" i="26"/>
  <c r="G340" i="26"/>
  <c r="H339" i="26"/>
  <c r="G339" i="26"/>
  <c r="H338" i="26"/>
  <c r="G338" i="26"/>
  <c r="H337" i="26"/>
  <c r="G337" i="26"/>
  <c r="H336" i="26"/>
  <c r="G336" i="26"/>
  <c r="H335" i="26"/>
  <c r="G335" i="26"/>
  <c r="H334" i="26"/>
  <c r="G334" i="26"/>
  <c r="H333" i="26"/>
  <c r="G333" i="26"/>
  <c r="H332" i="26"/>
  <c r="G332" i="26"/>
  <c r="H331" i="26"/>
  <c r="G331" i="26"/>
  <c r="H330" i="26"/>
  <c r="G330" i="26"/>
  <c r="H329" i="26"/>
  <c r="G329" i="26"/>
  <c r="H328" i="26"/>
  <c r="G328" i="26"/>
  <c r="H327" i="26"/>
  <c r="G327" i="26"/>
  <c r="H326" i="26"/>
  <c r="G326" i="26"/>
  <c r="H325" i="26"/>
  <c r="G325" i="26"/>
  <c r="H324" i="26"/>
  <c r="G324" i="26"/>
  <c r="H323" i="26"/>
  <c r="G323" i="26"/>
  <c r="H322" i="26"/>
  <c r="G322" i="26"/>
  <c r="H321" i="26"/>
  <c r="G321" i="26"/>
  <c r="H320" i="26"/>
  <c r="G320" i="26"/>
  <c r="H319" i="26"/>
  <c r="G319" i="26"/>
  <c r="H318" i="26"/>
  <c r="G318" i="26"/>
  <c r="H317" i="26"/>
  <c r="G317" i="26"/>
  <c r="H316" i="26"/>
  <c r="G316" i="26"/>
  <c r="H315" i="26"/>
  <c r="G315" i="26"/>
  <c r="H314" i="26"/>
  <c r="G314" i="26"/>
  <c r="H313" i="26"/>
  <c r="G313" i="26"/>
  <c r="H312" i="26"/>
  <c r="G312" i="26"/>
  <c r="H311" i="26"/>
  <c r="G311" i="26"/>
  <c r="H309" i="26"/>
  <c r="G309" i="26"/>
  <c r="H307" i="26"/>
  <c r="G307" i="26"/>
  <c r="H306" i="26"/>
  <c r="G306" i="26"/>
  <c r="H305" i="26"/>
  <c r="G305" i="26"/>
  <c r="H304" i="26"/>
  <c r="G304" i="26"/>
  <c r="H303" i="26"/>
  <c r="G303" i="26"/>
  <c r="H302" i="26"/>
  <c r="G302" i="26"/>
  <c r="H300" i="26"/>
  <c r="G300" i="26"/>
  <c r="H298" i="26"/>
  <c r="G298" i="26"/>
  <c r="H297" i="26"/>
  <c r="G297" i="26"/>
  <c r="H296" i="26"/>
  <c r="G296" i="26"/>
  <c r="H295" i="26"/>
  <c r="G295" i="26"/>
  <c r="H294" i="26"/>
  <c r="G294" i="26"/>
  <c r="H293" i="26"/>
  <c r="G293" i="26"/>
  <c r="H292" i="26"/>
  <c r="G292" i="26"/>
  <c r="H291" i="26"/>
  <c r="G291" i="26"/>
  <c r="H290" i="26"/>
  <c r="G290" i="26"/>
  <c r="H289" i="26"/>
  <c r="G289" i="26"/>
  <c r="H288" i="26"/>
  <c r="G288" i="26"/>
  <c r="H287" i="26"/>
  <c r="G287" i="26"/>
  <c r="H286" i="26"/>
  <c r="G286" i="26"/>
  <c r="H285" i="26"/>
  <c r="G285" i="26"/>
  <c r="H284" i="26"/>
  <c r="G284" i="26"/>
  <c r="H283" i="26"/>
  <c r="G283" i="26"/>
  <c r="H282" i="26"/>
  <c r="G282" i="26"/>
  <c r="H281" i="26"/>
  <c r="G281" i="26"/>
  <c r="H280" i="26"/>
  <c r="G280" i="26"/>
  <c r="H279" i="26"/>
  <c r="G279" i="26"/>
  <c r="H278" i="26"/>
  <c r="G278" i="26"/>
  <c r="H277" i="26"/>
  <c r="G277" i="26"/>
  <c r="H276" i="26"/>
  <c r="G276" i="26"/>
  <c r="H275" i="26"/>
  <c r="G275" i="26"/>
  <c r="H274" i="26"/>
  <c r="G274" i="26"/>
  <c r="H273" i="26"/>
  <c r="G273" i="26"/>
  <c r="H272" i="26"/>
  <c r="G272" i="26"/>
  <c r="H271" i="26"/>
  <c r="G271" i="26"/>
  <c r="H270" i="26"/>
  <c r="G270" i="26"/>
  <c r="H269" i="26"/>
  <c r="G269" i="26"/>
  <c r="H268" i="26"/>
  <c r="G268" i="26"/>
  <c r="H267" i="26"/>
  <c r="G267" i="26"/>
  <c r="H266" i="26"/>
  <c r="G266" i="26"/>
  <c r="H265" i="26"/>
  <c r="G265" i="26"/>
  <c r="H264" i="26"/>
  <c r="G264" i="26"/>
  <c r="H263" i="26"/>
  <c r="G263" i="26"/>
  <c r="H262" i="26"/>
  <c r="G262" i="26"/>
  <c r="H261" i="26"/>
  <c r="G261" i="26"/>
  <c r="H259" i="26"/>
  <c r="G259" i="26"/>
  <c r="H258" i="26"/>
  <c r="G258" i="26"/>
  <c r="H257" i="26"/>
  <c r="G257" i="26"/>
  <c r="H256" i="26"/>
  <c r="G256" i="26"/>
  <c r="H255" i="26"/>
  <c r="G255" i="26"/>
  <c r="H254" i="26"/>
  <c r="G254" i="26"/>
  <c r="H252" i="26"/>
  <c r="G252" i="26"/>
  <c r="H251" i="26"/>
  <c r="G251" i="26"/>
  <c r="H250" i="26"/>
  <c r="G250" i="26"/>
  <c r="H249" i="26"/>
  <c r="G249" i="26"/>
  <c r="H248" i="26"/>
  <c r="G248" i="26"/>
  <c r="H247" i="26"/>
  <c r="G247" i="26"/>
  <c r="H246" i="26"/>
  <c r="G246" i="26"/>
  <c r="H245" i="26"/>
  <c r="G245" i="26"/>
  <c r="H244" i="26"/>
  <c r="G244" i="26"/>
  <c r="H243" i="26"/>
  <c r="G243" i="26"/>
  <c r="H242" i="26"/>
  <c r="G242" i="26"/>
  <c r="H241" i="26"/>
  <c r="G241" i="26"/>
  <c r="H240" i="26"/>
  <c r="G240" i="26"/>
  <c r="H239" i="26"/>
  <c r="G239" i="26"/>
  <c r="H238" i="26"/>
  <c r="G238" i="26"/>
  <c r="H237" i="26"/>
  <c r="G237" i="26"/>
  <c r="H236" i="26"/>
  <c r="G236" i="26"/>
  <c r="H235" i="26"/>
  <c r="G235" i="26"/>
  <c r="H234" i="26"/>
  <c r="G234" i="26"/>
  <c r="H233" i="26"/>
  <c r="G233" i="26"/>
  <c r="H232" i="26"/>
  <c r="G232" i="26"/>
  <c r="H231" i="26"/>
  <c r="G231" i="26"/>
  <c r="H230" i="26"/>
  <c r="G230" i="26"/>
  <c r="H229" i="26"/>
  <c r="G229" i="26"/>
  <c r="H228" i="26"/>
  <c r="G228" i="26"/>
  <c r="H227" i="26"/>
  <c r="G227" i="26"/>
  <c r="H226" i="26"/>
  <c r="G226" i="26"/>
  <c r="H225" i="26"/>
  <c r="G225" i="26"/>
  <c r="H224" i="26"/>
  <c r="G224" i="26"/>
  <c r="H223" i="26"/>
  <c r="G223" i="26"/>
  <c r="H222" i="26"/>
  <c r="G222" i="26"/>
  <c r="H221" i="26"/>
  <c r="G221" i="26"/>
  <c r="H220" i="26"/>
  <c r="G220" i="26"/>
  <c r="H219" i="26"/>
  <c r="G219" i="26"/>
  <c r="H218" i="26"/>
  <c r="G218" i="26"/>
  <c r="H217" i="26"/>
  <c r="G217" i="26"/>
  <c r="H216" i="26"/>
  <c r="G216" i="26"/>
  <c r="H215" i="26"/>
  <c r="G215" i="26"/>
  <c r="H214" i="26"/>
  <c r="G214" i="26"/>
  <c r="H212" i="26"/>
  <c r="G212" i="26"/>
  <c r="H210" i="26"/>
  <c r="G210" i="26"/>
  <c r="H209" i="26"/>
  <c r="G209" i="26"/>
  <c r="H208" i="26"/>
  <c r="G208" i="26"/>
  <c r="H207" i="26"/>
  <c r="G207" i="26"/>
  <c r="H206" i="26"/>
  <c r="G206" i="26"/>
  <c r="H205" i="26"/>
  <c r="G205" i="26"/>
  <c r="H203" i="26"/>
  <c r="G203" i="26"/>
  <c r="H201" i="26"/>
  <c r="G201" i="26"/>
  <c r="H200" i="26"/>
  <c r="G200" i="26"/>
  <c r="H199" i="26"/>
  <c r="G199" i="26"/>
  <c r="H198" i="26"/>
  <c r="G198" i="26"/>
  <c r="H197" i="26"/>
  <c r="G197" i="26"/>
  <c r="H196" i="26"/>
  <c r="G196" i="26"/>
  <c r="H195" i="26"/>
  <c r="G195" i="26"/>
  <c r="H194" i="26"/>
  <c r="G194" i="26"/>
  <c r="H193" i="26"/>
  <c r="G193" i="26"/>
  <c r="H192" i="26"/>
  <c r="G192" i="26"/>
  <c r="H190" i="26"/>
  <c r="G190" i="26"/>
  <c r="H189" i="26"/>
  <c r="G189" i="26"/>
  <c r="H188" i="26"/>
  <c r="G188" i="26"/>
  <c r="H187" i="26"/>
  <c r="G187" i="26"/>
  <c r="H186" i="26"/>
  <c r="G186" i="26"/>
  <c r="H185" i="26"/>
  <c r="G185" i="26"/>
  <c r="H184" i="26"/>
  <c r="G184" i="26"/>
  <c r="H183" i="26"/>
  <c r="G183" i="26"/>
  <c r="H182" i="26"/>
  <c r="H181" i="26"/>
  <c r="G181" i="26"/>
  <c r="H180" i="26"/>
  <c r="G180" i="26"/>
  <c r="H179" i="26"/>
  <c r="G179" i="26"/>
  <c r="H178" i="26"/>
  <c r="G178" i="26"/>
  <c r="H177" i="26"/>
  <c r="G177" i="26"/>
  <c r="H176" i="26"/>
  <c r="G176" i="26"/>
  <c r="H175" i="26"/>
  <c r="G175" i="26"/>
  <c r="H174" i="26"/>
  <c r="G174" i="26"/>
  <c r="H173" i="26"/>
  <c r="G173" i="26"/>
  <c r="H172" i="26"/>
  <c r="G172" i="26"/>
  <c r="H171" i="26"/>
  <c r="G171" i="26"/>
  <c r="H170" i="26"/>
  <c r="G170" i="26"/>
  <c r="H169" i="26"/>
  <c r="G169" i="26"/>
  <c r="H168" i="26"/>
  <c r="G168" i="26"/>
  <c r="H167" i="26"/>
  <c r="G167" i="26"/>
  <c r="H166" i="26"/>
  <c r="G166" i="26"/>
  <c r="H165" i="26"/>
  <c r="G165" i="26"/>
  <c r="H164" i="26"/>
  <c r="G164" i="26"/>
  <c r="H162" i="26"/>
  <c r="G162" i="26"/>
  <c r="H161" i="26"/>
  <c r="G161" i="26"/>
  <c r="H160" i="26"/>
  <c r="G160" i="26"/>
  <c r="H159" i="26"/>
  <c r="G159" i="26"/>
  <c r="H158" i="26"/>
  <c r="G158" i="26"/>
  <c r="H157" i="26"/>
  <c r="G157" i="26"/>
  <c r="H156" i="26"/>
  <c r="G156" i="26"/>
  <c r="H155" i="26"/>
  <c r="G155" i="26"/>
  <c r="H154" i="26"/>
  <c r="G154" i="26"/>
  <c r="H153" i="26"/>
  <c r="G153" i="26"/>
  <c r="H152" i="26"/>
  <c r="G152" i="26"/>
  <c r="H151" i="26"/>
  <c r="G151" i="26"/>
  <c r="H150" i="26"/>
  <c r="G150" i="26"/>
  <c r="H149" i="26"/>
  <c r="G149" i="26"/>
  <c r="H148" i="26"/>
  <c r="G148" i="26"/>
  <c r="H147" i="26"/>
  <c r="G147" i="26"/>
  <c r="H146" i="26"/>
  <c r="G146" i="26"/>
  <c r="H145" i="26"/>
  <c r="G145" i="26"/>
  <c r="H144" i="26"/>
  <c r="G144" i="26"/>
  <c r="H142" i="26"/>
  <c r="G142" i="26"/>
  <c r="H141" i="26"/>
  <c r="G141" i="26"/>
  <c r="H140" i="26"/>
  <c r="G140" i="26"/>
  <c r="H139" i="26"/>
  <c r="G139" i="26"/>
  <c r="H138" i="26"/>
  <c r="G138" i="26"/>
  <c r="H137" i="26"/>
  <c r="G137" i="26"/>
  <c r="H136" i="26"/>
  <c r="G136" i="26"/>
  <c r="H135" i="26"/>
  <c r="G135" i="26"/>
  <c r="H134" i="26"/>
  <c r="G134" i="26"/>
  <c r="H133" i="26"/>
  <c r="G133" i="26"/>
  <c r="H132" i="26"/>
  <c r="G132" i="26"/>
  <c r="H131" i="26"/>
  <c r="G131" i="26"/>
  <c r="H130" i="26"/>
  <c r="G130" i="26"/>
  <c r="H129" i="26"/>
  <c r="G129" i="26"/>
  <c r="H128" i="26"/>
  <c r="G128" i="26"/>
  <c r="H127" i="26"/>
  <c r="G127" i="26"/>
  <c r="H126" i="26"/>
  <c r="G126" i="26"/>
  <c r="H125" i="26"/>
  <c r="G125" i="26"/>
  <c r="H124" i="26"/>
  <c r="G124" i="26"/>
  <c r="H123" i="26"/>
  <c r="G123" i="26"/>
  <c r="H122" i="26"/>
  <c r="G122" i="26"/>
  <c r="H121" i="26"/>
  <c r="G121" i="26"/>
  <c r="H120" i="26"/>
  <c r="G120" i="26"/>
  <c r="H119" i="26"/>
  <c r="G119" i="26"/>
  <c r="H118" i="26"/>
  <c r="G118" i="26"/>
  <c r="H117" i="26"/>
  <c r="G117" i="26"/>
  <c r="H116" i="26"/>
  <c r="G116" i="26"/>
  <c r="H114" i="26"/>
  <c r="G114" i="26"/>
  <c r="H113" i="26"/>
  <c r="G113" i="26"/>
  <c r="H112" i="26"/>
  <c r="G112" i="26"/>
  <c r="H111" i="26"/>
  <c r="G111" i="26"/>
  <c r="H110" i="26"/>
  <c r="G110" i="26"/>
  <c r="H109" i="26"/>
  <c r="G109" i="26"/>
  <c r="H107" i="26"/>
  <c r="G107" i="26"/>
  <c r="H106" i="26"/>
  <c r="G106" i="26"/>
  <c r="H105" i="26"/>
  <c r="G105" i="26"/>
  <c r="H104" i="26"/>
  <c r="G104" i="26"/>
  <c r="H103" i="26"/>
  <c r="G103" i="26"/>
  <c r="H102" i="26"/>
  <c r="G102" i="26"/>
  <c r="H101" i="26"/>
  <c r="G101" i="26"/>
  <c r="H100" i="26"/>
  <c r="G100" i="26"/>
  <c r="H99" i="26"/>
  <c r="G99" i="26"/>
  <c r="H98" i="26"/>
  <c r="G98" i="26"/>
  <c r="H97" i="26"/>
  <c r="G97" i="26"/>
  <c r="H96" i="26"/>
  <c r="G96" i="26"/>
  <c r="H94" i="26"/>
  <c r="G94" i="26"/>
  <c r="H93" i="26"/>
  <c r="G93" i="26"/>
  <c r="H92" i="26"/>
  <c r="G92" i="26"/>
  <c r="H91" i="26"/>
  <c r="G91" i="26"/>
  <c r="H90" i="26"/>
  <c r="G90" i="26"/>
  <c r="H89" i="26"/>
  <c r="G89" i="26"/>
  <c r="H88" i="26"/>
  <c r="G88" i="26"/>
  <c r="H87" i="26"/>
  <c r="G87" i="26"/>
  <c r="H86" i="26"/>
  <c r="G86" i="26"/>
  <c r="H85" i="26"/>
  <c r="G85" i="26"/>
  <c r="H84" i="26"/>
  <c r="G84" i="26"/>
  <c r="H83" i="26"/>
  <c r="G83" i="26"/>
  <c r="H82" i="26"/>
  <c r="G82" i="26"/>
  <c r="H81" i="26"/>
  <c r="G81" i="26"/>
  <c r="H80" i="26"/>
  <c r="G80" i="26"/>
  <c r="H79" i="26"/>
  <c r="G79" i="26"/>
  <c r="H78" i="26"/>
  <c r="G78" i="26"/>
  <c r="H77" i="26"/>
  <c r="G77" i="26"/>
  <c r="H76" i="26"/>
  <c r="G76" i="26"/>
  <c r="H75" i="26"/>
  <c r="G75" i="26"/>
  <c r="H74" i="26"/>
  <c r="G74" i="26"/>
  <c r="H73" i="26"/>
  <c r="G73" i="26"/>
  <c r="H72" i="26"/>
  <c r="G72" i="26"/>
  <c r="H71" i="26"/>
  <c r="G71" i="26"/>
  <c r="H70" i="26"/>
  <c r="G70" i="26"/>
  <c r="H69" i="26"/>
  <c r="G69" i="26"/>
  <c r="H68" i="26"/>
  <c r="G68" i="26"/>
  <c r="H66" i="26"/>
  <c r="G66" i="26"/>
  <c r="H65" i="26"/>
  <c r="G65" i="26"/>
  <c r="H64" i="26"/>
  <c r="G64" i="26"/>
  <c r="H63" i="26"/>
  <c r="G63" i="26"/>
  <c r="H62" i="26"/>
  <c r="G62" i="26"/>
  <c r="H61" i="26"/>
  <c r="G61" i="26"/>
  <c r="H59" i="26"/>
  <c r="G59" i="26"/>
  <c r="H58" i="26"/>
  <c r="G58" i="26"/>
  <c r="H57" i="26"/>
  <c r="G57" i="26"/>
  <c r="H56" i="26"/>
  <c r="G56" i="26"/>
  <c r="H55" i="26"/>
  <c r="G55" i="26"/>
  <c r="H54" i="26"/>
  <c r="G54" i="26"/>
  <c r="H53" i="26"/>
  <c r="G53" i="26"/>
  <c r="H52" i="26"/>
  <c r="G52" i="26"/>
  <c r="H51" i="26"/>
  <c r="H50" i="26"/>
  <c r="H49" i="26"/>
  <c r="H48" i="26"/>
  <c r="H46" i="26"/>
  <c r="H45" i="26"/>
  <c r="H44" i="26"/>
  <c r="H43" i="26"/>
  <c r="H42" i="26"/>
  <c r="H41" i="26"/>
  <c r="H40" i="26"/>
  <c r="H39" i="26"/>
  <c r="H38" i="26"/>
  <c r="H37" i="26"/>
  <c r="H36" i="26"/>
  <c r="H35" i="26"/>
  <c r="H34" i="26"/>
  <c r="H33" i="26"/>
  <c r="H32" i="26"/>
  <c r="H31" i="26"/>
  <c r="H30" i="26"/>
  <c r="H29" i="26"/>
  <c r="H28" i="26"/>
  <c r="H27" i="26"/>
  <c r="H26" i="26"/>
  <c r="H25" i="26"/>
  <c r="H24" i="26"/>
  <c r="H23" i="26"/>
  <c r="H21" i="26"/>
  <c r="H20" i="26"/>
  <c r="H18" i="26"/>
  <c r="H17" i="26"/>
  <c r="H16" i="26"/>
  <c r="H15" i="26"/>
  <c r="H14" i="26"/>
  <c r="H13" i="26"/>
  <c r="H10" i="26"/>
  <c r="H9" i="26"/>
  <c r="H8" i="26"/>
  <c r="H6" i="26"/>
  <c r="H5" i="26"/>
  <c r="H4" i="26"/>
  <c r="G4" i="26"/>
  <c r="G51" i="26"/>
  <c r="G50" i="26"/>
  <c r="G49" i="26"/>
  <c r="G48" i="26"/>
  <c r="G46" i="26"/>
  <c r="G45" i="26"/>
  <c r="G44" i="26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E22" i="26"/>
  <c r="G22" i="26" s="1"/>
  <c r="G21" i="26"/>
  <c r="G20" i="26"/>
  <c r="G18" i="26"/>
  <c r="G17" i="26"/>
  <c r="G16" i="26"/>
  <c r="G15" i="26"/>
  <c r="G14" i="26"/>
  <c r="G13" i="26"/>
  <c r="G10" i="26"/>
  <c r="G9" i="26"/>
  <c r="G8" i="26"/>
  <c r="G7" i="26"/>
  <c r="G6" i="26"/>
  <c r="G5" i="26"/>
  <c r="G726" i="26" l="1"/>
  <c r="G67" i="26"/>
  <c r="G260" i="26"/>
  <c r="H356" i="26"/>
  <c r="G115" i="26"/>
  <c r="G740" i="26"/>
  <c r="G748" i="26"/>
  <c r="H730" i="26"/>
  <c r="G741" i="26"/>
  <c r="H741" i="26"/>
  <c r="H739" i="26"/>
  <c r="G739" i="26"/>
  <c r="H740" i="26"/>
  <c r="H738" i="26"/>
  <c r="G738" i="26"/>
  <c r="H737" i="26"/>
  <c r="G737" i="26"/>
  <c r="G736" i="26"/>
  <c r="H597" i="26"/>
  <c r="G12" i="26"/>
  <c r="G204" i="26"/>
  <c r="H108" i="26"/>
  <c r="G143" i="26"/>
  <c r="G384" i="26"/>
  <c r="H213" i="26"/>
  <c r="H308" i="26"/>
  <c r="G645" i="26"/>
  <c r="H727" i="26"/>
  <c r="H115" i="26"/>
  <c r="H191" i="26"/>
  <c r="G733" i="26"/>
  <c r="H211" i="26"/>
  <c r="H405" i="26"/>
  <c r="G202" i="26"/>
  <c r="H726" i="26"/>
  <c r="H301" i="26"/>
  <c r="H204" i="26"/>
  <c r="H47" i="26"/>
  <c r="H12" i="26"/>
  <c r="H748" i="26"/>
  <c r="G406" i="26"/>
  <c r="H743" i="26"/>
  <c r="H67" i="26"/>
  <c r="H728" i="26"/>
  <c r="H163" i="26"/>
  <c r="H19" i="26"/>
  <c r="G108" i="26"/>
  <c r="H453" i="26"/>
  <c r="H732" i="26"/>
  <c r="G745" i="26"/>
  <c r="H746" i="26"/>
  <c r="G693" i="26"/>
  <c r="G60" i="26"/>
  <c r="G727" i="26"/>
  <c r="G211" i="26"/>
  <c r="H549" i="26"/>
  <c r="G730" i="26"/>
  <c r="H645" i="26"/>
  <c r="H310" i="26"/>
  <c r="G357" i="26"/>
  <c r="F750" i="26"/>
  <c r="G405" i="26"/>
  <c r="H501" i="26"/>
  <c r="H395" i="26"/>
  <c r="H744" i="26"/>
  <c r="G95" i="26"/>
  <c r="H673" i="26"/>
  <c r="H299" i="26"/>
  <c r="E750" i="26"/>
  <c r="G742" i="26"/>
  <c r="G253" i="26"/>
  <c r="G11" i="26"/>
  <c r="G47" i="26"/>
  <c r="H384" i="26"/>
  <c r="H22" i="26"/>
  <c r="H11" i="26"/>
  <c r="H7" i="26"/>
  <c r="J54" i="19"/>
  <c r="J54" i="18"/>
  <c r="J54" i="16"/>
  <c r="K10" i="10"/>
  <c r="J54" i="9"/>
  <c r="J13" i="21"/>
  <c r="J29" i="21"/>
  <c r="J29" i="23"/>
  <c r="J29" i="24"/>
  <c r="Z47" i="9"/>
  <c r="AA47" i="9" s="1"/>
  <c r="Z49" i="10"/>
  <c r="AA49" i="10" s="1"/>
  <c r="Z50" i="10"/>
  <c r="AA50" i="10" s="1"/>
  <c r="Z50" i="11"/>
  <c r="AA50" i="11" s="1"/>
  <c r="Z49" i="11"/>
  <c r="J13" i="22"/>
  <c r="J29" i="22"/>
  <c r="Z49" i="12"/>
  <c r="Z50" i="12"/>
  <c r="AA50" i="12" s="1"/>
  <c r="Z49" i="8"/>
  <c r="AA49" i="8" s="1"/>
  <c r="Z50" i="8"/>
  <c r="AA50" i="8" s="1"/>
  <c r="J29" i="15"/>
  <c r="P23" i="15"/>
  <c r="U13" i="25"/>
  <c r="P58" i="10"/>
  <c r="J58" i="11"/>
  <c r="L58" i="11" s="1"/>
  <c r="K58" i="11"/>
  <c r="P58" i="11" s="1"/>
  <c r="Y58" i="24"/>
  <c r="Y58" i="23"/>
  <c r="Y58" i="22"/>
  <c r="Y58" i="21"/>
  <c r="Y58" i="19"/>
  <c r="Y58" i="18"/>
  <c r="Z58" i="18"/>
  <c r="AA58" i="18" s="1"/>
  <c r="Y58" i="16"/>
  <c r="Y58" i="15"/>
  <c r="Y58" i="11"/>
  <c r="Y58" i="10"/>
  <c r="Y59" i="9"/>
  <c r="Y58" i="14"/>
  <c r="J58" i="10"/>
  <c r="K58" i="10"/>
  <c r="T58" i="25"/>
  <c r="X58" i="24"/>
  <c r="W58" i="24"/>
  <c r="V58" i="24"/>
  <c r="U58" i="24"/>
  <c r="Z58" i="24" s="1"/>
  <c r="AA58" i="24" s="1"/>
  <c r="K58" i="24"/>
  <c r="J58" i="24"/>
  <c r="X58" i="23"/>
  <c r="W58" i="23"/>
  <c r="V58" i="23"/>
  <c r="U58" i="23"/>
  <c r="Z58" i="23" s="1"/>
  <c r="AA58" i="23" s="1"/>
  <c r="K58" i="23"/>
  <c r="J58" i="23"/>
  <c r="X58" i="22"/>
  <c r="W58" i="22"/>
  <c r="V58" i="22"/>
  <c r="U58" i="22"/>
  <c r="Z58" i="22" s="1"/>
  <c r="AA58" i="22" s="1"/>
  <c r="K58" i="22"/>
  <c r="J58" i="22"/>
  <c r="L58" i="22" s="1"/>
  <c r="X58" i="21"/>
  <c r="W58" i="21"/>
  <c r="V58" i="21"/>
  <c r="U58" i="21"/>
  <c r="K58" i="21"/>
  <c r="J58" i="21"/>
  <c r="X58" i="19"/>
  <c r="W58" i="19"/>
  <c r="V58" i="19"/>
  <c r="U58" i="19"/>
  <c r="K58" i="19"/>
  <c r="J58" i="19"/>
  <c r="L58" i="19" s="1"/>
  <c r="X58" i="18"/>
  <c r="W58" i="18"/>
  <c r="V58" i="18"/>
  <c r="U58" i="18"/>
  <c r="K58" i="18"/>
  <c r="J58" i="18"/>
  <c r="X58" i="16"/>
  <c r="W58" i="16"/>
  <c r="V58" i="16"/>
  <c r="U58" i="16"/>
  <c r="Z58" i="16" s="1"/>
  <c r="AA58" i="16" s="1"/>
  <c r="K58" i="16"/>
  <c r="P58" i="16" s="1"/>
  <c r="J58" i="16"/>
  <c r="AA34" i="19"/>
  <c r="AA33" i="19"/>
  <c r="AA55" i="16"/>
  <c r="AA20" i="16"/>
  <c r="AA18" i="15"/>
  <c r="AA14" i="15"/>
  <c r="AA49" i="11"/>
  <c r="AA32" i="11"/>
  <c r="AA28" i="11"/>
  <c r="AA24" i="11"/>
  <c r="AA46" i="14"/>
  <c r="AA44" i="14"/>
  <c r="AA37" i="14"/>
  <c r="AA13" i="14"/>
  <c r="AA55" i="13"/>
  <c r="AA35" i="13"/>
  <c r="AA34" i="13"/>
  <c r="AA53" i="12"/>
  <c r="AA49" i="12"/>
  <c r="AA28" i="12"/>
  <c r="AA24" i="12"/>
  <c r="AA17" i="12"/>
  <c r="AA14" i="12"/>
  <c r="Y57" i="25"/>
  <c r="X57" i="25"/>
  <c r="W57" i="25"/>
  <c r="V57" i="25"/>
  <c r="U57" i="25"/>
  <c r="Y56" i="25"/>
  <c r="X56" i="25"/>
  <c r="W56" i="25"/>
  <c r="V56" i="25"/>
  <c r="U56" i="25"/>
  <c r="Y55" i="25"/>
  <c r="X55" i="25"/>
  <c r="W55" i="25"/>
  <c r="V55" i="25"/>
  <c r="U55" i="25"/>
  <c r="Y54" i="25"/>
  <c r="X54" i="25"/>
  <c r="W54" i="25"/>
  <c r="V54" i="25"/>
  <c r="U54" i="25"/>
  <c r="Y53" i="25"/>
  <c r="X53" i="25"/>
  <c r="W53" i="25"/>
  <c r="V53" i="25"/>
  <c r="U53" i="25"/>
  <c r="Y52" i="25"/>
  <c r="X52" i="25"/>
  <c r="W52" i="25"/>
  <c r="V52" i="25"/>
  <c r="U52" i="25"/>
  <c r="Y51" i="25"/>
  <c r="X51" i="25"/>
  <c r="W51" i="25"/>
  <c r="V51" i="25"/>
  <c r="U51" i="25"/>
  <c r="Y50" i="25"/>
  <c r="X50" i="25"/>
  <c r="W50" i="25"/>
  <c r="V50" i="25"/>
  <c r="U50" i="25"/>
  <c r="Y49" i="25"/>
  <c r="X49" i="25"/>
  <c r="W49" i="25"/>
  <c r="V49" i="25"/>
  <c r="U49" i="25"/>
  <c r="Y48" i="25"/>
  <c r="X48" i="25"/>
  <c r="W48" i="25"/>
  <c r="V48" i="25"/>
  <c r="U48" i="25"/>
  <c r="Y47" i="25"/>
  <c r="X47" i="25"/>
  <c r="W47" i="25"/>
  <c r="V47" i="25"/>
  <c r="U47" i="25"/>
  <c r="Y46" i="25"/>
  <c r="X46" i="25"/>
  <c r="W46" i="25"/>
  <c r="V46" i="25"/>
  <c r="U46" i="25"/>
  <c r="Y45" i="25"/>
  <c r="X45" i="25"/>
  <c r="W45" i="25"/>
  <c r="V45" i="25"/>
  <c r="U45" i="25"/>
  <c r="Y44" i="25"/>
  <c r="X44" i="25"/>
  <c r="W44" i="25"/>
  <c r="V44" i="25"/>
  <c r="U44" i="25"/>
  <c r="Y43" i="25"/>
  <c r="X43" i="25"/>
  <c r="W43" i="25"/>
  <c r="V43" i="25"/>
  <c r="U43" i="25"/>
  <c r="Y42" i="25"/>
  <c r="X42" i="25"/>
  <c r="W42" i="25"/>
  <c r="V42" i="25"/>
  <c r="U42" i="25"/>
  <c r="Y41" i="25"/>
  <c r="X41" i="25"/>
  <c r="W41" i="25"/>
  <c r="V41" i="25"/>
  <c r="U41" i="25"/>
  <c r="Y40" i="25"/>
  <c r="X40" i="25"/>
  <c r="W40" i="25"/>
  <c r="V40" i="25"/>
  <c r="U40" i="25"/>
  <c r="Y39" i="25"/>
  <c r="X39" i="25"/>
  <c r="W39" i="25"/>
  <c r="V39" i="25"/>
  <c r="U39" i="25"/>
  <c r="Y38" i="25"/>
  <c r="X38" i="25"/>
  <c r="W38" i="25"/>
  <c r="V38" i="25"/>
  <c r="U38" i="25"/>
  <c r="Y37" i="25"/>
  <c r="X37" i="25"/>
  <c r="W37" i="25"/>
  <c r="V37" i="25"/>
  <c r="U37" i="25"/>
  <c r="Y36" i="25"/>
  <c r="X36" i="25"/>
  <c r="W36" i="25"/>
  <c r="V36" i="25"/>
  <c r="U36" i="25"/>
  <c r="Y35" i="25"/>
  <c r="X35" i="25"/>
  <c r="W35" i="25"/>
  <c r="V35" i="25"/>
  <c r="U35" i="25"/>
  <c r="Y34" i="25"/>
  <c r="X34" i="25"/>
  <c r="W34" i="25"/>
  <c r="V34" i="25"/>
  <c r="U34" i="25"/>
  <c r="Y33" i="25"/>
  <c r="X33" i="25"/>
  <c r="W33" i="25"/>
  <c r="V33" i="25"/>
  <c r="U33" i="25"/>
  <c r="Y32" i="25"/>
  <c r="X32" i="25"/>
  <c r="W32" i="25"/>
  <c r="V32" i="25"/>
  <c r="U32" i="25"/>
  <c r="Y31" i="25"/>
  <c r="X31" i="25"/>
  <c r="W31" i="25"/>
  <c r="V31" i="25"/>
  <c r="U31" i="25"/>
  <c r="Y30" i="25"/>
  <c r="X30" i="25"/>
  <c r="W30" i="25"/>
  <c r="V30" i="25"/>
  <c r="U30" i="25"/>
  <c r="Y29" i="25"/>
  <c r="X29" i="25"/>
  <c r="W29" i="25"/>
  <c r="V29" i="25"/>
  <c r="U29" i="25"/>
  <c r="Y28" i="25"/>
  <c r="X28" i="25"/>
  <c r="W28" i="25"/>
  <c r="V28" i="25"/>
  <c r="U28" i="25"/>
  <c r="Y27" i="25"/>
  <c r="X27" i="25"/>
  <c r="W27" i="25"/>
  <c r="V27" i="25"/>
  <c r="U27" i="25"/>
  <c r="Y26" i="25"/>
  <c r="X26" i="25"/>
  <c r="W26" i="25"/>
  <c r="V26" i="25"/>
  <c r="U26" i="25"/>
  <c r="Y25" i="25"/>
  <c r="X25" i="25"/>
  <c r="W25" i="25"/>
  <c r="V25" i="25"/>
  <c r="U25" i="25"/>
  <c r="Y24" i="25"/>
  <c r="X24" i="25"/>
  <c r="W24" i="25"/>
  <c r="V24" i="25"/>
  <c r="U24" i="25"/>
  <c r="Y23" i="25"/>
  <c r="X23" i="25"/>
  <c r="W23" i="25"/>
  <c r="V23" i="25"/>
  <c r="U23" i="25"/>
  <c r="Y22" i="25"/>
  <c r="X22" i="25"/>
  <c r="W22" i="25"/>
  <c r="V22" i="25"/>
  <c r="U22" i="25"/>
  <c r="Y21" i="25"/>
  <c r="X21" i="25"/>
  <c r="W21" i="25"/>
  <c r="V21" i="25"/>
  <c r="U21" i="25"/>
  <c r="Y20" i="25"/>
  <c r="X20" i="25"/>
  <c r="W20" i="25"/>
  <c r="V20" i="25"/>
  <c r="U20" i="25"/>
  <c r="Y19" i="25"/>
  <c r="X19" i="25"/>
  <c r="W19" i="25"/>
  <c r="V19" i="25"/>
  <c r="U19" i="25"/>
  <c r="Y18" i="25"/>
  <c r="X18" i="25"/>
  <c r="W18" i="25"/>
  <c r="V18" i="25"/>
  <c r="U18" i="25"/>
  <c r="Y17" i="25"/>
  <c r="X17" i="25"/>
  <c r="W17" i="25"/>
  <c r="V17" i="25"/>
  <c r="U17" i="25"/>
  <c r="Y16" i="25"/>
  <c r="X16" i="25"/>
  <c r="W16" i="25"/>
  <c r="V16" i="25"/>
  <c r="U16" i="25"/>
  <c r="Y15" i="25"/>
  <c r="X15" i="25"/>
  <c r="W15" i="25"/>
  <c r="V15" i="25"/>
  <c r="U15" i="25"/>
  <c r="Y14" i="25"/>
  <c r="X14" i="25"/>
  <c r="W14" i="25"/>
  <c r="V14" i="25"/>
  <c r="U14" i="25"/>
  <c r="Y13" i="25"/>
  <c r="X13" i="25"/>
  <c r="W13" i="25"/>
  <c r="V13" i="25"/>
  <c r="Y12" i="25"/>
  <c r="X12" i="25"/>
  <c r="W12" i="25"/>
  <c r="V12" i="25"/>
  <c r="U12" i="25"/>
  <c r="Y11" i="25"/>
  <c r="X11" i="25"/>
  <c r="W11" i="25"/>
  <c r="V11" i="25"/>
  <c r="U11" i="25"/>
  <c r="Y10" i="25"/>
  <c r="X10" i="25"/>
  <c r="W10" i="25"/>
  <c r="V10" i="25"/>
  <c r="K57" i="25"/>
  <c r="J57" i="25"/>
  <c r="K56" i="25"/>
  <c r="J56" i="25"/>
  <c r="K55" i="25"/>
  <c r="J55" i="25"/>
  <c r="K54" i="25"/>
  <c r="J54" i="25"/>
  <c r="K53" i="25"/>
  <c r="J53" i="25"/>
  <c r="K52" i="25"/>
  <c r="J52" i="25"/>
  <c r="K51" i="25"/>
  <c r="J51" i="25"/>
  <c r="K50" i="25"/>
  <c r="J50" i="25"/>
  <c r="K49" i="25"/>
  <c r="J49" i="25"/>
  <c r="K48" i="25"/>
  <c r="J48" i="25"/>
  <c r="K47" i="25"/>
  <c r="J47" i="25"/>
  <c r="K46" i="25"/>
  <c r="J46" i="25"/>
  <c r="K45" i="25"/>
  <c r="J45" i="25"/>
  <c r="K44" i="25"/>
  <c r="J44" i="25"/>
  <c r="K43" i="25"/>
  <c r="J43" i="25"/>
  <c r="K42" i="25"/>
  <c r="J42" i="25"/>
  <c r="K41" i="25"/>
  <c r="J41" i="25"/>
  <c r="K40" i="25"/>
  <c r="J40" i="25"/>
  <c r="K39" i="25"/>
  <c r="J39" i="25"/>
  <c r="K38" i="25"/>
  <c r="J38" i="25"/>
  <c r="K37" i="25"/>
  <c r="J37" i="25"/>
  <c r="K36" i="25"/>
  <c r="J36" i="25"/>
  <c r="K35" i="25"/>
  <c r="J35" i="25"/>
  <c r="K34" i="25"/>
  <c r="J34" i="25"/>
  <c r="K33" i="25"/>
  <c r="J33" i="25"/>
  <c r="K32" i="25"/>
  <c r="J32" i="25"/>
  <c r="K31" i="25"/>
  <c r="J31" i="25"/>
  <c r="K30" i="25"/>
  <c r="J30" i="25"/>
  <c r="K29" i="25"/>
  <c r="J29" i="25"/>
  <c r="K28" i="25"/>
  <c r="J28" i="25"/>
  <c r="K27" i="25"/>
  <c r="J27" i="25"/>
  <c r="K26" i="25"/>
  <c r="J26" i="25"/>
  <c r="K25" i="25"/>
  <c r="J25" i="25"/>
  <c r="K24" i="25"/>
  <c r="J24" i="25"/>
  <c r="K23" i="25"/>
  <c r="J23" i="25"/>
  <c r="K22" i="25"/>
  <c r="J22" i="25"/>
  <c r="K21" i="25"/>
  <c r="J21" i="25"/>
  <c r="K20" i="25"/>
  <c r="J20" i="25"/>
  <c r="K19" i="25"/>
  <c r="J19" i="25"/>
  <c r="K18" i="25"/>
  <c r="J18" i="25"/>
  <c r="K17" i="25"/>
  <c r="J17" i="25"/>
  <c r="K16" i="25"/>
  <c r="J16" i="25"/>
  <c r="K15" i="25"/>
  <c r="J15" i="25"/>
  <c r="K14" i="25"/>
  <c r="J14" i="25"/>
  <c r="K13" i="25"/>
  <c r="J13" i="25"/>
  <c r="K12" i="25"/>
  <c r="J12" i="25"/>
  <c r="K11" i="25"/>
  <c r="J11" i="25"/>
  <c r="K10" i="25"/>
  <c r="Z12" i="9"/>
  <c r="AA12" i="9" s="1"/>
  <c r="P12" i="9"/>
  <c r="L12" i="9"/>
  <c r="Z12" i="14"/>
  <c r="AA12" i="14" s="1"/>
  <c r="P12" i="14"/>
  <c r="L12" i="14"/>
  <c r="Z12" i="13"/>
  <c r="AA12" i="13" s="1"/>
  <c r="AB12" i="13" s="1"/>
  <c r="P12" i="13"/>
  <c r="L12" i="13"/>
  <c r="Z12" i="12"/>
  <c r="AA12" i="12" s="1"/>
  <c r="P12" i="12"/>
  <c r="L12" i="12"/>
  <c r="Z12" i="10"/>
  <c r="AA12" i="10" s="1"/>
  <c r="P12" i="10"/>
  <c r="L12" i="10"/>
  <c r="Z12" i="11"/>
  <c r="AA12" i="11" s="1"/>
  <c r="P12" i="11"/>
  <c r="L12" i="11"/>
  <c r="Z12" i="15"/>
  <c r="AA12" i="15" s="1"/>
  <c r="AB12" i="15" s="1"/>
  <c r="P12" i="15"/>
  <c r="L12" i="15"/>
  <c r="Z12" i="8"/>
  <c r="AA12" i="8" s="1"/>
  <c r="P12" i="8"/>
  <c r="L12" i="8"/>
  <c r="U10" i="25"/>
  <c r="J10" i="25"/>
  <c r="S57" i="25"/>
  <c r="T57" i="25" s="1"/>
  <c r="S56" i="25"/>
  <c r="T56" i="25" s="1"/>
  <c r="S55" i="25"/>
  <c r="T55" i="25" s="1"/>
  <c r="S54" i="25"/>
  <c r="T54" i="25" s="1"/>
  <c r="S53" i="25"/>
  <c r="T53" i="25" s="1"/>
  <c r="S52" i="25"/>
  <c r="T52" i="25" s="1"/>
  <c r="S51" i="25"/>
  <c r="T51" i="25" s="1"/>
  <c r="S48" i="25"/>
  <c r="T48" i="25" s="1"/>
  <c r="S47" i="25"/>
  <c r="T47" i="25" s="1"/>
  <c r="S46" i="25"/>
  <c r="T46" i="25" s="1"/>
  <c r="S45" i="25"/>
  <c r="T45" i="25" s="1"/>
  <c r="S44" i="25"/>
  <c r="T44" i="25" s="1"/>
  <c r="S43" i="25"/>
  <c r="T43" i="25" s="1"/>
  <c r="S42" i="25"/>
  <c r="T42" i="25" s="1"/>
  <c r="S41" i="25"/>
  <c r="T41" i="25" s="1"/>
  <c r="S40" i="25"/>
  <c r="T40" i="25" s="1"/>
  <c r="S39" i="25"/>
  <c r="T39" i="25" s="1"/>
  <c r="S38" i="25"/>
  <c r="T38" i="25" s="1"/>
  <c r="S37" i="25"/>
  <c r="T37" i="25" s="1"/>
  <c r="S36" i="25"/>
  <c r="T36" i="25" s="1"/>
  <c r="S35" i="25"/>
  <c r="T35" i="25" s="1"/>
  <c r="S34" i="25"/>
  <c r="T34" i="25" s="1"/>
  <c r="S33" i="25"/>
  <c r="T33" i="25" s="1"/>
  <c r="S32" i="25"/>
  <c r="T32" i="25" s="1"/>
  <c r="S31" i="25"/>
  <c r="T31" i="25" s="1"/>
  <c r="S30" i="25"/>
  <c r="T30" i="25" s="1"/>
  <c r="S29" i="25"/>
  <c r="T29" i="25" s="1"/>
  <c r="S28" i="25"/>
  <c r="T28" i="25" s="1"/>
  <c r="S27" i="25"/>
  <c r="T27" i="25" s="1"/>
  <c r="S26" i="25"/>
  <c r="T26" i="25" s="1"/>
  <c r="S25" i="25"/>
  <c r="T25" i="25" s="1"/>
  <c r="S24" i="25"/>
  <c r="T24" i="25" s="1"/>
  <c r="S23" i="25"/>
  <c r="T23" i="25" s="1"/>
  <c r="S22" i="25"/>
  <c r="T22" i="25" s="1"/>
  <c r="S21" i="25"/>
  <c r="T21" i="25" s="1"/>
  <c r="S20" i="25"/>
  <c r="T20" i="25" s="1"/>
  <c r="S19" i="25"/>
  <c r="T19" i="25" s="1"/>
  <c r="S18" i="25"/>
  <c r="T18" i="25" s="1"/>
  <c r="S17" i="25"/>
  <c r="T17" i="25" s="1"/>
  <c r="T16" i="25"/>
  <c r="S16" i="25"/>
  <c r="S15" i="25"/>
  <c r="T15" i="25" s="1"/>
  <c r="S14" i="25"/>
  <c r="T14" i="25" s="1"/>
  <c r="S13" i="25"/>
  <c r="T13" i="25" s="1"/>
  <c r="S12" i="25"/>
  <c r="T12" i="25" s="1"/>
  <c r="T11" i="25"/>
  <c r="S11" i="25"/>
  <c r="S10" i="25"/>
  <c r="T10" i="25" s="1"/>
  <c r="Z57" i="24"/>
  <c r="AA57" i="24" s="1"/>
  <c r="S57" i="24"/>
  <c r="T57" i="24" s="1"/>
  <c r="P57" i="24"/>
  <c r="L57" i="24"/>
  <c r="Z56" i="24"/>
  <c r="AA56" i="24" s="1"/>
  <c r="S56" i="24"/>
  <c r="T56" i="24" s="1"/>
  <c r="P56" i="24"/>
  <c r="L56" i="24"/>
  <c r="Z55" i="24"/>
  <c r="AA55" i="24" s="1"/>
  <c r="S55" i="24"/>
  <c r="T55" i="24" s="1"/>
  <c r="P55" i="24"/>
  <c r="L55" i="24"/>
  <c r="Z54" i="24"/>
  <c r="AA54" i="24" s="1"/>
  <c r="S54" i="24"/>
  <c r="T54" i="24" s="1"/>
  <c r="P54" i="24"/>
  <c r="L54" i="24"/>
  <c r="Z53" i="24"/>
  <c r="AA53" i="24" s="1"/>
  <c r="S53" i="24"/>
  <c r="T53" i="24" s="1"/>
  <c r="P53" i="24"/>
  <c r="L53" i="24"/>
  <c r="Z52" i="24"/>
  <c r="AA52" i="24" s="1"/>
  <c r="S52" i="24"/>
  <c r="T52" i="24" s="1"/>
  <c r="P52" i="24"/>
  <c r="L52" i="24"/>
  <c r="Z51" i="24"/>
  <c r="AA51" i="24" s="1"/>
  <c r="S51" i="24"/>
  <c r="T51" i="24" s="1"/>
  <c r="P51" i="24"/>
  <c r="L51" i="24"/>
  <c r="Z50" i="24"/>
  <c r="AA50" i="24" s="1"/>
  <c r="P50" i="24"/>
  <c r="L50" i="24"/>
  <c r="Z49" i="24"/>
  <c r="AA49" i="24" s="1"/>
  <c r="P49" i="24"/>
  <c r="L49" i="24"/>
  <c r="Z48" i="24"/>
  <c r="AA48" i="24" s="1"/>
  <c r="S48" i="24"/>
  <c r="T48" i="24" s="1"/>
  <c r="P48" i="24"/>
  <c r="L48" i="24"/>
  <c r="Z47" i="24"/>
  <c r="AA47" i="24" s="1"/>
  <c r="S47" i="24"/>
  <c r="T47" i="24" s="1"/>
  <c r="P47" i="24"/>
  <c r="L47" i="24"/>
  <c r="Z46" i="24"/>
  <c r="AA46" i="24" s="1"/>
  <c r="S46" i="24"/>
  <c r="T46" i="24" s="1"/>
  <c r="P46" i="24"/>
  <c r="L46" i="24"/>
  <c r="N46" i="24" s="1"/>
  <c r="Z45" i="24"/>
  <c r="AA45" i="24" s="1"/>
  <c r="S45" i="24"/>
  <c r="T45" i="24" s="1"/>
  <c r="P45" i="24"/>
  <c r="L45" i="24"/>
  <c r="Z44" i="24"/>
  <c r="AA44" i="24" s="1"/>
  <c r="S44" i="24"/>
  <c r="T44" i="24" s="1"/>
  <c r="P44" i="24"/>
  <c r="L44" i="24"/>
  <c r="Z43" i="24"/>
  <c r="AA43" i="24" s="1"/>
  <c r="S43" i="24"/>
  <c r="T43" i="24" s="1"/>
  <c r="P43" i="24"/>
  <c r="L43" i="24"/>
  <c r="Z42" i="24"/>
  <c r="AA42" i="24" s="1"/>
  <c r="S42" i="24"/>
  <c r="T42" i="24" s="1"/>
  <c r="P42" i="24"/>
  <c r="L42" i="24"/>
  <c r="Z41" i="24"/>
  <c r="AA41" i="24" s="1"/>
  <c r="S41" i="24"/>
  <c r="T41" i="24" s="1"/>
  <c r="P41" i="24"/>
  <c r="L41" i="24"/>
  <c r="Z40" i="24"/>
  <c r="AA40" i="24" s="1"/>
  <c r="S40" i="24"/>
  <c r="T40" i="24" s="1"/>
  <c r="P40" i="24"/>
  <c r="L40" i="24"/>
  <c r="Z39" i="24"/>
  <c r="AA39" i="24" s="1"/>
  <c r="S39" i="24"/>
  <c r="T39" i="24" s="1"/>
  <c r="P39" i="24"/>
  <c r="L39" i="24"/>
  <c r="Z38" i="24"/>
  <c r="AA38" i="24" s="1"/>
  <c r="S38" i="24"/>
  <c r="T38" i="24" s="1"/>
  <c r="P38" i="24"/>
  <c r="L38" i="24"/>
  <c r="Z37" i="24"/>
  <c r="AA37" i="24" s="1"/>
  <c r="S37" i="24"/>
  <c r="T37" i="24" s="1"/>
  <c r="P37" i="24"/>
  <c r="L37" i="24"/>
  <c r="Z36" i="24"/>
  <c r="AA36" i="24" s="1"/>
  <c r="S36" i="24"/>
  <c r="T36" i="24" s="1"/>
  <c r="P36" i="24"/>
  <c r="L36" i="24"/>
  <c r="Z35" i="24"/>
  <c r="AA35" i="24" s="1"/>
  <c r="S35" i="24"/>
  <c r="T35" i="24" s="1"/>
  <c r="P35" i="24"/>
  <c r="L35" i="24"/>
  <c r="Z34" i="24"/>
  <c r="AA34" i="24" s="1"/>
  <c r="S34" i="24"/>
  <c r="T34" i="24" s="1"/>
  <c r="P34" i="24"/>
  <c r="L34" i="24"/>
  <c r="Z33" i="24"/>
  <c r="AA33" i="24" s="1"/>
  <c r="S33" i="24"/>
  <c r="T33" i="24" s="1"/>
  <c r="P33" i="24"/>
  <c r="L33" i="24"/>
  <c r="Z32" i="24"/>
  <c r="AA32" i="24" s="1"/>
  <c r="S32" i="24"/>
  <c r="T32" i="24" s="1"/>
  <c r="P32" i="24"/>
  <c r="L32" i="24"/>
  <c r="Z31" i="24"/>
  <c r="AA31" i="24" s="1"/>
  <c r="S31" i="24"/>
  <c r="T31" i="24" s="1"/>
  <c r="P31" i="24"/>
  <c r="L31" i="24"/>
  <c r="Z30" i="24"/>
  <c r="S30" i="24"/>
  <c r="T30" i="24" s="1"/>
  <c r="P30" i="24"/>
  <c r="L30" i="24"/>
  <c r="Z29" i="24"/>
  <c r="AA29" i="24" s="1"/>
  <c r="S29" i="24"/>
  <c r="T29" i="24" s="1"/>
  <c r="P29" i="24"/>
  <c r="Z28" i="24"/>
  <c r="AA28" i="24" s="1"/>
  <c r="S28" i="24"/>
  <c r="T28" i="24" s="1"/>
  <c r="P28" i="24"/>
  <c r="L28" i="24"/>
  <c r="Z27" i="24"/>
  <c r="AA27" i="24" s="1"/>
  <c r="S27" i="24"/>
  <c r="T27" i="24" s="1"/>
  <c r="P27" i="24"/>
  <c r="L27" i="24"/>
  <c r="Z26" i="24"/>
  <c r="AA26" i="24" s="1"/>
  <c r="S26" i="24"/>
  <c r="T26" i="24" s="1"/>
  <c r="P26" i="24"/>
  <c r="L26" i="24"/>
  <c r="Z25" i="24"/>
  <c r="AA25" i="24" s="1"/>
  <c r="S25" i="24"/>
  <c r="T25" i="24" s="1"/>
  <c r="P25" i="24"/>
  <c r="L25" i="24"/>
  <c r="Z24" i="24"/>
  <c r="AA24" i="24" s="1"/>
  <c r="S24" i="24"/>
  <c r="T24" i="24" s="1"/>
  <c r="P24" i="24"/>
  <c r="L24" i="24"/>
  <c r="Z23" i="24"/>
  <c r="AA23" i="24" s="1"/>
  <c r="S23" i="24"/>
  <c r="T23" i="24" s="1"/>
  <c r="P23" i="24"/>
  <c r="L23" i="24"/>
  <c r="Z22" i="24"/>
  <c r="AA22" i="24" s="1"/>
  <c r="S22" i="24"/>
  <c r="T22" i="24" s="1"/>
  <c r="P22" i="24"/>
  <c r="L22" i="24"/>
  <c r="Z21" i="24"/>
  <c r="AA21" i="24" s="1"/>
  <c r="S21" i="24"/>
  <c r="T21" i="24" s="1"/>
  <c r="P21" i="24"/>
  <c r="L21" i="24"/>
  <c r="Z20" i="24"/>
  <c r="AA20" i="24" s="1"/>
  <c r="S20" i="24"/>
  <c r="T20" i="24" s="1"/>
  <c r="P20" i="24"/>
  <c r="L20" i="24"/>
  <c r="Z19" i="24"/>
  <c r="S19" i="24"/>
  <c r="T19" i="24" s="1"/>
  <c r="P19" i="24"/>
  <c r="Z18" i="24"/>
  <c r="AA18" i="24" s="1"/>
  <c r="S18" i="24"/>
  <c r="T18" i="24" s="1"/>
  <c r="P18" i="24"/>
  <c r="L18" i="24"/>
  <c r="Z17" i="24"/>
  <c r="AA17" i="24" s="1"/>
  <c r="S17" i="24"/>
  <c r="T17" i="24" s="1"/>
  <c r="P17" i="24"/>
  <c r="L17" i="24"/>
  <c r="Z16" i="24"/>
  <c r="AA16" i="24" s="1"/>
  <c r="S16" i="24"/>
  <c r="T16" i="24" s="1"/>
  <c r="P16" i="24"/>
  <c r="L16" i="24"/>
  <c r="Z15" i="24"/>
  <c r="AA15" i="24" s="1"/>
  <c r="S15" i="24"/>
  <c r="T15" i="24" s="1"/>
  <c r="P15" i="24"/>
  <c r="L15" i="24"/>
  <c r="Z14" i="24"/>
  <c r="AA14" i="24" s="1"/>
  <c r="S14" i="24"/>
  <c r="T14" i="24" s="1"/>
  <c r="P14" i="24"/>
  <c r="L14" i="24"/>
  <c r="Z13" i="24"/>
  <c r="AA13" i="24" s="1"/>
  <c r="S13" i="24"/>
  <c r="T13" i="24" s="1"/>
  <c r="P13" i="24"/>
  <c r="L13" i="24"/>
  <c r="Z12" i="24"/>
  <c r="AA12" i="24" s="1"/>
  <c r="S12" i="24"/>
  <c r="T12" i="24" s="1"/>
  <c r="P12" i="24"/>
  <c r="L12" i="24"/>
  <c r="Z11" i="24"/>
  <c r="AA11" i="24" s="1"/>
  <c r="S11" i="24"/>
  <c r="T11" i="24" s="1"/>
  <c r="P11" i="24"/>
  <c r="L11" i="24"/>
  <c r="Z10" i="24"/>
  <c r="AA10" i="24" s="1"/>
  <c r="S10" i="24"/>
  <c r="T10" i="24" s="1"/>
  <c r="P10" i="24"/>
  <c r="L10" i="24"/>
  <c r="Z57" i="23"/>
  <c r="AA57" i="23" s="1"/>
  <c r="S57" i="23"/>
  <c r="T57" i="23" s="1"/>
  <c r="P57" i="23"/>
  <c r="L57" i="23"/>
  <c r="Z56" i="23"/>
  <c r="AA56" i="23" s="1"/>
  <c r="AB56" i="23" s="1"/>
  <c r="S56" i="23"/>
  <c r="T56" i="23" s="1"/>
  <c r="P56" i="23"/>
  <c r="L56" i="23"/>
  <c r="Z55" i="23"/>
  <c r="AA55" i="23" s="1"/>
  <c r="S55" i="23"/>
  <c r="T55" i="23" s="1"/>
  <c r="P55" i="23"/>
  <c r="L55" i="23"/>
  <c r="Z54" i="23"/>
  <c r="S54" i="23"/>
  <c r="T54" i="23" s="1"/>
  <c r="P54" i="23"/>
  <c r="L54" i="23"/>
  <c r="Z53" i="23"/>
  <c r="AA53" i="23" s="1"/>
  <c r="S53" i="23"/>
  <c r="T53" i="23" s="1"/>
  <c r="P53" i="23"/>
  <c r="L53" i="23"/>
  <c r="Z52" i="23"/>
  <c r="AA52" i="23" s="1"/>
  <c r="S52" i="23"/>
  <c r="T52" i="23" s="1"/>
  <c r="P52" i="23"/>
  <c r="L52" i="23"/>
  <c r="Z51" i="23"/>
  <c r="AA51" i="23" s="1"/>
  <c r="S51" i="23"/>
  <c r="T51" i="23" s="1"/>
  <c r="P51" i="23"/>
  <c r="L51" i="23"/>
  <c r="Z50" i="23"/>
  <c r="P50" i="23"/>
  <c r="L50" i="23"/>
  <c r="Z49" i="23"/>
  <c r="P49" i="23"/>
  <c r="L49" i="23"/>
  <c r="Z48" i="23"/>
  <c r="AA48" i="23" s="1"/>
  <c r="S48" i="23"/>
  <c r="T48" i="23" s="1"/>
  <c r="P48" i="23"/>
  <c r="L48" i="23"/>
  <c r="Z47" i="23"/>
  <c r="AA47" i="23" s="1"/>
  <c r="T47" i="23"/>
  <c r="S47" i="23"/>
  <c r="P47" i="23"/>
  <c r="L47" i="23"/>
  <c r="Z46" i="23"/>
  <c r="AA46" i="23" s="1"/>
  <c r="T46" i="23"/>
  <c r="S46" i="23"/>
  <c r="P46" i="23"/>
  <c r="L46" i="23"/>
  <c r="N46" i="23" s="1"/>
  <c r="Z45" i="23"/>
  <c r="AA45" i="23" s="1"/>
  <c r="S45" i="23"/>
  <c r="T45" i="23" s="1"/>
  <c r="P45" i="23"/>
  <c r="L45" i="23"/>
  <c r="Z44" i="23"/>
  <c r="AA44" i="23" s="1"/>
  <c r="S44" i="23"/>
  <c r="T44" i="23" s="1"/>
  <c r="P44" i="23"/>
  <c r="L44" i="23"/>
  <c r="Z43" i="23"/>
  <c r="AA43" i="23" s="1"/>
  <c r="S43" i="23"/>
  <c r="T43" i="23" s="1"/>
  <c r="P43" i="23"/>
  <c r="L43" i="23"/>
  <c r="Z42" i="23"/>
  <c r="AA42" i="23" s="1"/>
  <c r="S42" i="23"/>
  <c r="T42" i="23" s="1"/>
  <c r="P42" i="23"/>
  <c r="L42" i="23"/>
  <c r="Z41" i="23"/>
  <c r="AA41" i="23" s="1"/>
  <c r="T41" i="23"/>
  <c r="S41" i="23"/>
  <c r="P41" i="23"/>
  <c r="L41" i="23"/>
  <c r="Z40" i="23"/>
  <c r="AA40" i="23" s="1"/>
  <c r="S40" i="23"/>
  <c r="T40" i="23" s="1"/>
  <c r="P40" i="23"/>
  <c r="L40" i="23"/>
  <c r="Z39" i="23"/>
  <c r="AA39" i="23" s="1"/>
  <c r="S39" i="23"/>
  <c r="T39" i="23" s="1"/>
  <c r="P39" i="23"/>
  <c r="L39" i="23"/>
  <c r="Z38" i="23"/>
  <c r="AA38" i="23" s="1"/>
  <c r="S38" i="23"/>
  <c r="T38" i="23" s="1"/>
  <c r="P38" i="23"/>
  <c r="L38" i="23"/>
  <c r="Z37" i="23"/>
  <c r="AA37" i="23" s="1"/>
  <c r="S37" i="23"/>
  <c r="T37" i="23" s="1"/>
  <c r="P37" i="23"/>
  <c r="L37" i="23"/>
  <c r="Z36" i="23"/>
  <c r="AA36" i="23" s="1"/>
  <c r="S36" i="23"/>
  <c r="T36" i="23" s="1"/>
  <c r="P36" i="23"/>
  <c r="L36" i="23"/>
  <c r="Z35" i="23"/>
  <c r="AA35" i="23" s="1"/>
  <c r="S35" i="23"/>
  <c r="T35" i="23" s="1"/>
  <c r="P35" i="23"/>
  <c r="L35" i="23"/>
  <c r="Z34" i="23"/>
  <c r="AA34" i="23" s="1"/>
  <c r="S34" i="23"/>
  <c r="T34" i="23" s="1"/>
  <c r="P34" i="23"/>
  <c r="L34" i="23"/>
  <c r="Z33" i="23"/>
  <c r="S33" i="23"/>
  <c r="T33" i="23" s="1"/>
  <c r="P33" i="23"/>
  <c r="L33" i="23"/>
  <c r="Z32" i="23"/>
  <c r="AA32" i="23" s="1"/>
  <c r="S32" i="23"/>
  <c r="T32" i="23" s="1"/>
  <c r="P32" i="23"/>
  <c r="L32" i="23"/>
  <c r="Z31" i="23"/>
  <c r="AA31" i="23" s="1"/>
  <c r="S31" i="23"/>
  <c r="T31" i="23" s="1"/>
  <c r="P31" i="23"/>
  <c r="L31" i="23"/>
  <c r="Z30" i="23"/>
  <c r="S30" i="23"/>
  <c r="T30" i="23" s="1"/>
  <c r="P30" i="23"/>
  <c r="L30" i="23"/>
  <c r="Z29" i="23"/>
  <c r="AA29" i="23" s="1"/>
  <c r="T29" i="23"/>
  <c r="S29" i="23"/>
  <c r="P29" i="23"/>
  <c r="L29" i="23"/>
  <c r="Z28" i="23"/>
  <c r="AA28" i="23" s="1"/>
  <c r="S28" i="23"/>
  <c r="T28" i="23" s="1"/>
  <c r="P28" i="23"/>
  <c r="L28" i="23"/>
  <c r="Z27" i="23"/>
  <c r="AA27" i="23" s="1"/>
  <c r="S27" i="23"/>
  <c r="T27" i="23" s="1"/>
  <c r="P27" i="23"/>
  <c r="L27" i="23"/>
  <c r="Z26" i="23"/>
  <c r="AA26" i="23" s="1"/>
  <c r="S26" i="23"/>
  <c r="T26" i="23" s="1"/>
  <c r="P26" i="23"/>
  <c r="L26" i="23"/>
  <c r="Z25" i="23"/>
  <c r="AA25" i="23" s="1"/>
  <c r="S25" i="23"/>
  <c r="T25" i="23" s="1"/>
  <c r="P25" i="23"/>
  <c r="L25" i="23"/>
  <c r="Z24" i="23"/>
  <c r="AA24" i="23" s="1"/>
  <c r="T24" i="23"/>
  <c r="S24" i="23"/>
  <c r="P24" i="23"/>
  <c r="L24" i="23"/>
  <c r="Z23" i="23"/>
  <c r="AA23" i="23" s="1"/>
  <c r="T23" i="23"/>
  <c r="S23" i="23"/>
  <c r="P23" i="23"/>
  <c r="L23" i="23"/>
  <c r="Z22" i="23"/>
  <c r="AA22" i="23" s="1"/>
  <c r="T22" i="23"/>
  <c r="S22" i="23"/>
  <c r="P22" i="23"/>
  <c r="L22" i="23"/>
  <c r="Z21" i="23"/>
  <c r="AA21" i="23" s="1"/>
  <c r="S21" i="23"/>
  <c r="T21" i="23" s="1"/>
  <c r="P21" i="23"/>
  <c r="L21" i="23"/>
  <c r="Z20" i="23"/>
  <c r="AA20" i="23" s="1"/>
  <c r="S20" i="23"/>
  <c r="T20" i="23" s="1"/>
  <c r="P20" i="23"/>
  <c r="L20" i="23"/>
  <c r="Z19" i="23"/>
  <c r="AA19" i="23" s="1"/>
  <c r="S19" i="23"/>
  <c r="T19" i="23" s="1"/>
  <c r="P19" i="23"/>
  <c r="Z18" i="23"/>
  <c r="AA18" i="23" s="1"/>
  <c r="S18" i="23"/>
  <c r="T18" i="23" s="1"/>
  <c r="P18" i="23"/>
  <c r="L18" i="23"/>
  <c r="Z17" i="23"/>
  <c r="AA17" i="23" s="1"/>
  <c r="S17" i="23"/>
  <c r="T17" i="23" s="1"/>
  <c r="P17" i="23"/>
  <c r="L17" i="23"/>
  <c r="Z16" i="23"/>
  <c r="AA16" i="23" s="1"/>
  <c r="S16" i="23"/>
  <c r="T16" i="23" s="1"/>
  <c r="P16" i="23"/>
  <c r="L16" i="23"/>
  <c r="Z15" i="23"/>
  <c r="AA15" i="23" s="1"/>
  <c r="S15" i="23"/>
  <c r="T15" i="23" s="1"/>
  <c r="P15" i="23"/>
  <c r="L15" i="23"/>
  <c r="Z14" i="23"/>
  <c r="AA14" i="23" s="1"/>
  <c r="S14" i="23"/>
  <c r="T14" i="23" s="1"/>
  <c r="P14" i="23"/>
  <c r="L14" i="23"/>
  <c r="Z13" i="23"/>
  <c r="AA13" i="23" s="1"/>
  <c r="T13" i="23"/>
  <c r="S13" i="23"/>
  <c r="P13" i="23"/>
  <c r="L13" i="23"/>
  <c r="Z12" i="23"/>
  <c r="AA12" i="23" s="1"/>
  <c r="S12" i="23"/>
  <c r="T12" i="23" s="1"/>
  <c r="P12" i="23"/>
  <c r="L12" i="23"/>
  <c r="Z11" i="23"/>
  <c r="AA11" i="23" s="1"/>
  <c r="S11" i="23"/>
  <c r="T11" i="23" s="1"/>
  <c r="P11" i="23"/>
  <c r="L11" i="23"/>
  <c r="Z10" i="23"/>
  <c r="AA10" i="23" s="1"/>
  <c r="S10" i="23"/>
  <c r="T10" i="23" s="1"/>
  <c r="P10" i="23"/>
  <c r="L10" i="23"/>
  <c r="Z57" i="22"/>
  <c r="AA57" i="22" s="1"/>
  <c r="S57" i="22"/>
  <c r="T57" i="22" s="1"/>
  <c r="P57" i="22"/>
  <c r="L57" i="22"/>
  <c r="Z56" i="22"/>
  <c r="AA56" i="22" s="1"/>
  <c r="S56" i="22"/>
  <c r="T56" i="22" s="1"/>
  <c r="P56" i="22"/>
  <c r="L56" i="22"/>
  <c r="Z55" i="22"/>
  <c r="AA55" i="22" s="1"/>
  <c r="T55" i="22"/>
  <c r="S55" i="22"/>
  <c r="P55" i="22"/>
  <c r="L55" i="22"/>
  <c r="Z54" i="22"/>
  <c r="AA54" i="22" s="1"/>
  <c r="S54" i="22"/>
  <c r="T54" i="22" s="1"/>
  <c r="P54" i="22"/>
  <c r="L54" i="22"/>
  <c r="Z53" i="22"/>
  <c r="AA53" i="22" s="1"/>
  <c r="T53" i="22"/>
  <c r="S53" i="22"/>
  <c r="P53" i="22"/>
  <c r="L53" i="22"/>
  <c r="Z52" i="22"/>
  <c r="AA52" i="22" s="1"/>
  <c r="S52" i="22"/>
  <c r="T52" i="22" s="1"/>
  <c r="P52" i="22"/>
  <c r="L52" i="22"/>
  <c r="Z51" i="22"/>
  <c r="AA51" i="22" s="1"/>
  <c r="T51" i="22"/>
  <c r="S51" i="22"/>
  <c r="P51" i="22"/>
  <c r="L51" i="22"/>
  <c r="Z50" i="22"/>
  <c r="P50" i="22"/>
  <c r="L50" i="22"/>
  <c r="Z49" i="22"/>
  <c r="AA49" i="22" s="1"/>
  <c r="P49" i="22"/>
  <c r="L49" i="22"/>
  <c r="Z48" i="22"/>
  <c r="AA48" i="22" s="1"/>
  <c r="S48" i="22"/>
  <c r="T48" i="22" s="1"/>
  <c r="P48" i="22"/>
  <c r="L48" i="22"/>
  <c r="Z47" i="22"/>
  <c r="AA47" i="22" s="1"/>
  <c r="T47" i="22"/>
  <c r="S47" i="22"/>
  <c r="P47" i="22"/>
  <c r="L47" i="22"/>
  <c r="Z46" i="22"/>
  <c r="AA46" i="22" s="1"/>
  <c r="S46" i="22"/>
  <c r="T46" i="22" s="1"/>
  <c r="P46" i="22"/>
  <c r="L46" i="22"/>
  <c r="N46" i="22" s="1"/>
  <c r="Z45" i="22"/>
  <c r="AA45" i="22" s="1"/>
  <c r="S45" i="22"/>
  <c r="T45" i="22" s="1"/>
  <c r="P45" i="22"/>
  <c r="L45" i="22"/>
  <c r="Z44" i="22"/>
  <c r="AA44" i="22" s="1"/>
  <c r="S44" i="22"/>
  <c r="T44" i="22" s="1"/>
  <c r="P44" i="22"/>
  <c r="L44" i="22"/>
  <c r="Z43" i="22"/>
  <c r="AA43" i="22" s="1"/>
  <c r="S43" i="22"/>
  <c r="T43" i="22" s="1"/>
  <c r="P43" i="22"/>
  <c r="L43" i="22"/>
  <c r="Z42" i="22"/>
  <c r="AA42" i="22" s="1"/>
  <c r="S42" i="22"/>
  <c r="T42" i="22" s="1"/>
  <c r="P42" i="22"/>
  <c r="L42" i="22"/>
  <c r="Z41" i="22"/>
  <c r="AA41" i="22" s="1"/>
  <c r="S41" i="22"/>
  <c r="T41" i="22" s="1"/>
  <c r="P41" i="22"/>
  <c r="L41" i="22"/>
  <c r="Z40" i="22"/>
  <c r="AA40" i="22" s="1"/>
  <c r="S40" i="22"/>
  <c r="T40" i="22" s="1"/>
  <c r="P40" i="22"/>
  <c r="L40" i="22"/>
  <c r="Z39" i="22"/>
  <c r="AA39" i="22" s="1"/>
  <c r="S39" i="22"/>
  <c r="T39" i="22" s="1"/>
  <c r="P39" i="22"/>
  <c r="L39" i="22"/>
  <c r="Z38" i="22"/>
  <c r="AA38" i="22" s="1"/>
  <c r="T38" i="22"/>
  <c r="S38" i="22"/>
  <c r="P38" i="22"/>
  <c r="L38" i="22"/>
  <c r="Z37" i="22"/>
  <c r="S37" i="22"/>
  <c r="T37" i="22" s="1"/>
  <c r="P37" i="22"/>
  <c r="L37" i="22"/>
  <c r="Z36" i="22"/>
  <c r="AA36" i="22" s="1"/>
  <c r="S36" i="22"/>
  <c r="T36" i="22" s="1"/>
  <c r="P36" i="22"/>
  <c r="L36" i="22"/>
  <c r="Z35" i="22"/>
  <c r="AA35" i="22" s="1"/>
  <c r="S35" i="22"/>
  <c r="T35" i="22" s="1"/>
  <c r="P35" i="22"/>
  <c r="L35" i="22"/>
  <c r="Z34" i="22"/>
  <c r="AA34" i="22" s="1"/>
  <c r="S34" i="22"/>
  <c r="T34" i="22" s="1"/>
  <c r="P34" i="22"/>
  <c r="L34" i="22"/>
  <c r="Z33" i="22"/>
  <c r="AA33" i="22" s="1"/>
  <c r="S33" i="22"/>
  <c r="T33" i="22" s="1"/>
  <c r="P33" i="22"/>
  <c r="L33" i="22"/>
  <c r="Z32" i="22"/>
  <c r="AA32" i="22" s="1"/>
  <c r="T32" i="22"/>
  <c r="S32" i="22"/>
  <c r="P32" i="22"/>
  <c r="L32" i="22"/>
  <c r="Z31" i="22"/>
  <c r="AA31" i="22" s="1"/>
  <c r="S31" i="22"/>
  <c r="T31" i="22" s="1"/>
  <c r="P31" i="22"/>
  <c r="L31" i="22"/>
  <c r="Z30" i="22"/>
  <c r="AA30" i="22" s="1"/>
  <c r="S30" i="22"/>
  <c r="T30" i="22" s="1"/>
  <c r="P30" i="22"/>
  <c r="L30" i="22"/>
  <c r="Z29" i="22"/>
  <c r="AA29" i="22" s="1"/>
  <c r="S29" i="22"/>
  <c r="T29" i="22" s="1"/>
  <c r="L29" i="22"/>
  <c r="P29" i="22"/>
  <c r="Z28" i="22"/>
  <c r="AA28" i="22" s="1"/>
  <c r="S28" i="22"/>
  <c r="T28" i="22" s="1"/>
  <c r="P28" i="22"/>
  <c r="L28" i="22"/>
  <c r="Z27" i="22"/>
  <c r="AA27" i="22" s="1"/>
  <c r="S27" i="22"/>
  <c r="T27" i="22" s="1"/>
  <c r="P27" i="22"/>
  <c r="L27" i="22"/>
  <c r="Z26" i="22"/>
  <c r="AA26" i="22" s="1"/>
  <c r="S26" i="22"/>
  <c r="T26" i="22" s="1"/>
  <c r="P26" i="22"/>
  <c r="L26" i="22"/>
  <c r="Z25" i="22"/>
  <c r="AA25" i="22" s="1"/>
  <c r="T25" i="22"/>
  <c r="S25" i="22"/>
  <c r="P25" i="22"/>
  <c r="L25" i="22"/>
  <c r="Z24" i="22"/>
  <c r="AA24" i="22" s="1"/>
  <c r="S24" i="22"/>
  <c r="T24" i="22" s="1"/>
  <c r="P24" i="22"/>
  <c r="L24" i="22"/>
  <c r="Z23" i="22"/>
  <c r="AA23" i="22" s="1"/>
  <c r="T23" i="22"/>
  <c r="S23" i="22"/>
  <c r="P23" i="22"/>
  <c r="L23" i="22"/>
  <c r="Z22" i="22"/>
  <c r="AA22" i="22" s="1"/>
  <c r="S22" i="22"/>
  <c r="T22" i="22" s="1"/>
  <c r="P22" i="22"/>
  <c r="L22" i="22"/>
  <c r="Z21" i="22"/>
  <c r="AA21" i="22" s="1"/>
  <c r="T21" i="22"/>
  <c r="S21" i="22"/>
  <c r="P21" i="22"/>
  <c r="L21" i="22"/>
  <c r="Z20" i="22"/>
  <c r="AA20" i="22" s="1"/>
  <c r="S20" i="22"/>
  <c r="T20" i="22" s="1"/>
  <c r="P20" i="22"/>
  <c r="L20" i="22"/>
  <c r="Z19" i="22"/>
  <c r="AA19" i="22" s="1"/>
  <c r="S19" i="22"/>
  <c r="T19" i="22" s="1"/>
  <c r="P19" i="22"/>
  <c r="Z18" i="22"/>
  <c r="AA18" i="22" s="1"/>
  <c r="S18" i="22"/>
  <c r="T18" i="22" s="1"/>
  <c r="P18" i="22"/>
  <c r="L18" i="22"/>
  <c r="Z17" i="22"/>
  <c r="AA17" i="22" s="1"/>
  <c r="S17" i="22"/>
  <c r="T17" i="22" s="1"/>
  <c r="P17" i="22"/>
  <c r="L17" i="22"/>
  <c r="Z16" i="22"/>
  <c r="AA16" i="22" s="1"/>
  <c r="S16" i="22"/>
  <c r="T16" i="22" s="1"/>
  <c r="P16" i="22"/>
  <c r="L16" i="22"/>
  <c r="Z15" i="22"/>
  <c r="AA15" i="22" s="1"/>
  <c r="S15" i="22"/>
  <c r="T15" i="22" s="1"/>
  <c r="P15" i="22"/>
  <c r="L15" i="22"/>
  <c r="Z14" i="22"/>
  <c r="AA14" i="22" s="1"/>
  <c r="S14" i="22"/>
  <c r="T14" i="22" s="1"/>
  <c r="P14" i="22"/>
  <c r="L14" i="22"/>
  <c r="Z13" i="22"/>
  <c r="AA13" i="22" s="1"/>
  <c r="S13" i="22"/>
  <c r="T13" i="22" s="1"/>
  <c r="P13" i="22"/>
  <c r="L13" i="22"/>
  <c r="Z12" i="22"/>
  <c r="AA12" i="22" s="1"/>
  <c r="S12" i="22"/>
  <c r="T12" i="22" s="1"/>
  <c r="P12" i="22"/>
  <c r="L12" i="22"/>
  <c r="Z11" i="22"/>
  <c r="AA11" i="22" s="1"/>
  <c r="S11" i="22"/>
  <c r="T11" i="22" s="1"/>
  <c r="P11" i="22"/>
  <c r="L11" i="22"/>
  <c r="Z10" i="22"/>
  <c r="AA10" i="22" s="1"/>
  <c r="S10" i="22"/>
  <c r="T10" i="22" s="1"/>
  <c r="P10" i="22"/>
  <c r="L10" i="22"/>
  <c r="Z57" i="21"/>
  <c r="AA57" i="21" s="1"/>
  <c r="S57" i="21"/>
  <c r="T57" i="21" s="1"/>
  <c r="P57" i="21"/>
  <c r="L57" i="21"/>
  <c r="Z56" i="21"/>
  <c r="AA56" i="21" s="1"/>
  <c r="S56" i="21"/>
  <c r="T56" i="21" s="1"/>
  <c r="P56" i="21"/>
  <c r="L56" i="21"/>
  <c r="Z55" i="21"/>
  <c r="AA55" i="21" s="1"/>
  <c r="S55" i="21"/>
  <c r="T55" i="21" s="1"/>
  <c r="P55" i="21"/>
  <c r="L55" i="21"/>
  <c r="Z54" i="21"/>
  <c r="AA54" i="21" s="1"/>
  <c r="S54" i="21"/>
  <c r="T54" i="21" s="1"/>
  <c r="P54" i="21"/>
  <c r="L54" i="21"/>
  <c r="Z53" i="21"/>
  <c r="AA53" i="21" s="1"/>
  <c r="S53" i="21"/>
  <c r="T53" i="21" s="1"/>
  <c r="P53" i="21"/>
  <c r="L53" i="21"/>
  <c r="Z52" i="21"/>
  <c r="AA52" i="21" s="1"/>
  <c r="S52" i="21"/>
  <c r="T52" i="21" s="1"/>
  <c r="P52" i="21"/>
  <c r="L52" i="21"/>
  <c r="Z51" i="21"/>
  <c r="AA51" i="21" s="1"/>
  <c r="S51" i="21"/>
  <c r="T51" i="21" s="1"/>
  <c r="P51" i="21"/>
  <c r="L51" i="21"/>
  <c r="Z50" i="21"/>
  <c r="AA50" i="21" s="1"/>
  <c r="P50" i="21"/>
  <c r="L50" i="21"/>
  <c r="Z49" i="21"/>
  <c r="AA49" i="21" s="1"/>
  <c r="P49" i="21"/>
  <c r="L49" i="21"/>
  <c r="Z48" i="21"/>
  <c r="AA48" i="21" s="1"/>
  <c r="S48" i="21"/>
  <c r="T48" i="21" s="1"/>
  <c r="P48" i="21"/>
  <c r="L48" i="21"/>
  <c r="Z47" i="21"/>
  <c r="AA47" i="21" s="1"/>
  <c r="S47" i="21"/>
  <c r="T47" i="21" s="1"/>
  <c r="P47" i="21"/>
  <c r="L47" i="21"/>
  <c r="Z46" i="21"/>
  <c r="AA46" i="21" s="1"/>
  <c r="S46" i="21"/>
  <c r="T46" i="21" s="1"/>
  <c r="P46" i="21"/>
  <c r="L46" i="21"/>
  <c r="N46" i="21" s="1"/>
  <c r="Z45" i="21"/>
  <c r="AA45" i="21" s="1"/>
  <c r="S45" i="21"/>
  <c r="T45" i="21" s="1"/>
  <c r="P45" i="21"/>
  <c r="L45" i="21"/>
  <c r="Z44" i="21"/>
  <c r="S44" i="21"/>
  <c r="T44" i="21" s="1"/>
  <c r="P44" i="21"/>
  <c r="L44" i="21"/>
  <c r="Z43" i="21"/>
  <c r="AA43" i="21" s="1"/>
  <c r="S43" i="21"/>
  <c r="T43" i="21" s="1"/>
  <c r="P43" i="21"/>
  <c r="L43" i="21"/>
  <c r="Z42" i="21"/>
  <c r="AA42" i="21" s="1"/>
  <c r="S42" i="21"/>
  <c r="T42" i="21" s="1"/>
  <c r="P42" i="21"/>
  <c r="L42" i="21"/>
  <c r="Z41" i="21"/>
  <c r="AA41" i="21" s="1"/>
  <c r="S41" i="21"/>
  <c r="T41" i="21" s="1"/>
  <c r="P41" i="21"/>
  <c r="L41" i="21"/>
  <c r="Z40" i="21"/>
  <c r="AA40" i="21" s="1"/>
  <c r="S40" i="21"/>
  <c r="T40" i="21" s="1"/>
  <c r="P40" i="21"/>
  <c r="L40" i="21"/>
  <c r="Z39" i="21"/>
  <c r="AA39" i="21" s="1"/>
  <c r="S39" i="21"/>
  <c r="T39" i="21" s="1"/>
  <c r="P39" i="21"/>
  <c r="L39" i="21"/>
  <c r="Z38" i="21"/>
  <c r="AA38" i="21" s="1"/>
  <c r="S38" i="21"/>
  <c r="T38" i="21" s="1"/>
  <c r="P38" i="21"/>
  <c r="L38" i="21"/>
  <c r="Z37" i="21"/>
  <c r="AA37" i="21" s="1"/>
  <c r="S37" i="21"/>
  <c r="T37" i="21" s="1"/>
  <c r="P37" i="21"/>
  <c r="L37" i="21"/>
  <c r="Z36" i="21"/>
  <c r="AA36" i="21" s="1"/>
  <c r="S36" i="21"/>
  <c r="T36" i="21" s="1"/>
  <c r="P36" i="21"/>
  <c r="L36" i="21"/>
  <c r="Z35" i="21"/>
  <c r="AA35" i="21" s="1"/>
  <c r="S35" i="21"/>
  <c r="T35" i="21" s="1"/>
  <c r="P35" i="21"/>
  <c r="L35" i="21"/>
  <c r="Z34" i="21"/>
  <c r="AA34" i="21" s="1"/>
  <c r="S34" i="21"/>
  <c r="T34" i="21" s="1"/>
  <c r="P34" i="21"/>
  <c r="L34" i="21"/>
  <c r="Z33" i="21"/>
  <c r="AA33" i="21" s="1"/>
  <c r="S33" i="21"/>
  <c r="T33" i="21" s="1"/>
  <c r="P33" i="21"/>
  <c r="L33" i="21"/>
  <c r="Z32" i="21"/>
  <c r="AA32" i="21" s="1"/>
  <c r="S32" i="21"/>
  <c r="T32" i="21" s="1"/>
  <c r="P32" i="21"/>
  <c r="L32" i="21"/>
  <c r="Z31" i="21"/>
  <c r="AA31" i="21" s="1"/>
  <c r="S31" i="21"/>
  <c r="T31" i="21" s="1"/>
  <c r="P31" i="21"/>
  <c r="L31" i="21"/>
  <c r="Z30" i="21"/>
  <c r="AA30" i="21" s="1"/>
  <c r="S30" i="21"/>
  <c r="T30" i="21" s="1"/>
  <c r="P30" i="21"/>
  <c r="L30" i="21"/>
  <c r="Z29" i="21"/>
  <c r="AA29" i="21" s="1"/>
  <c r="S29" i="21"/>
  <c r="T29" i="21" s="1"/>
  <c r="P29" i="21"/>
  <c r="L29" i="21"/>
  <c r="Z28" i="21"/>
  <c r="AA28" i="21" s="1"/>
  <c r="S28" i="21"/>
  <c r="T28" i="21" s="1"/>
  <c r="P28" i="21"/>
  <c r="L28" i="21"/>
  <c r="Z27" i="21"/>
  <c r="AA27" i="21" s="1"/>
  <c r="S27" i="21"/>
  <c r="T27" i="21" s="1"/>
  <c r="P27" i="21"/>
  <c r="L27" i="21"/>
  <c r="Z26" i="21"/>
  <c r="AA26" i="21" s="1"/>
  <c r="S26" i="21"/>
  <c r="T26" i="21" s="1"/>
  <c r="P26" i="21"/>
  <c r="L26" i="21"/>
  <c r="Z25" i="21"/>
  <c r="AA25" i="21" s="1"/>
  <c r="S25" i="21"/>
  <c r="T25" i="21" s="1"/>
  <c r="P25" i="21"/>
  <c r="L25" i="21"/>
  <c r="Z24" i="21"/>
  <c r="AA24" i="21" s="1"/>
  <c r="S24" i="21"/>
  <c r="T24" i="21" s="1"/>
  <c r="P24" i="21"/>
  <c r="L24" i="21"/>
  <c r="Z23" i="21"/>
  <c r="AA23" i="21" s="1"/>
  <c r="S23" i="21"/>
  <c r="T23" i="21" s="1"/>
  <c r="P23" i="21"/>
  <c r="L23" i="21"/>
  <c r="Z22" i="21"/>
  <c r="AA22" i="21" s="1"/>
  <c r="S22" i="21"/>
  <c r="T22" i="21" s="1"/>
  <c r="P22" i="21"/>
  <c r="L22" i="21"/>
  <c r="Z21" i="21"/>
  <c r="AA21" i="21" s="1"/>
  <c r="S21" i="21"/>
  <c r="T21" i="21" s="1"/>
  <c r="P21" i="21"/>
  <c r="L21" i="21"/>
  <c r="Z20" i="21"/>
  <c r="AA20" i="21" s="1"/>
  <c r="S20" i="21"/>
  <c r="T20" i="21" s="1"/>
  <c r="P20" i="21"/>
  <c r="L20" i="21"/>
  <c r="Z19" i="21"/>
  <c r="AA19" i="21" s="1"/>
  <c r="S19" i="21"/>
  <c r="T19" i="21" s="1"/>
  <c r="P19" i="21"/>
  <c r="Z18" i="21"/>
  <c r="AA18" i="21" s="1"/>
  <c r="S18" i="21"/>
  <c r="T18" i="21" s="1"/>
  <c r="P18" i="21"/>
  <c r="L18" i="21"/>
  <c r="Z17" i="21"/>
  <c r="AA17" i="21" s="1"/>
  <c r="S17" i="21"/>
  <c r="T17" i="21" s="1"/>
  <c r="P17" i="21"/>
  <c r="L17" i="21"/>
  <c r="Z16" i="21"/>
  <c r="AA16" i="21" s="1"/>
  <c r="S16" i="21"/>
  <c r="T16" i="21" s="1"/>
  <c r="P16" i="21"/>
  <c r="L16" i="21"/>
  <c r="Z15" i="21"/>
  <c r="AA15" i="21" s="1"/>
  <c r="S15" i="21"/>
  <c r="T15" i="21" s="1"/>
  <c r="P15" i="21"/>
  <c r="L15" i="21"/>
  <c r="Z14" i="21"/>
  <c r="AA14" i="21" s="1"/>
  <c r="S14" i="21"/>
  <c r="T14" i="21" s="1"/>
  <c r="P14" i="21"/>
  <c r="L14" i="21"/>
  <c r="Z13" i="21"/>
  <c r="AA13" i="21" s="1"/>
  <c r="S13" i="21"/>
  <c r="T13" i="21" s="1"/>
  <c r="P13" i="21"/>
  <c r="L13" i="21"/>
  <c r="Z12" i="21"/>
  <c r="AA12" i="21" s="1"/>
  <c r="S12" i="21"/>
  <c r="T12" i="21" s="1"/>
  <c r="P12" i="21"/>
  <c r="L12" i="21"/>
  <c r="Z11" i="21"/>
  <c r="AA11" i="21" s="1"/>
  <c r="S11" i="21"/>
  <c r="T11" i="21" s="1"/>
  <c r="P11" i="21"/>
  <c r="L11" i="21"/>
  <c r="Z10" i="21"/>
  <c r="AA10" i="21" s="1"/>
  <c r="S10" i="21"/>
  <c r="T10" i="21" s="1"/>
  <c r="P10" i="21"/>
  <c r="L10" i="21"/>
  <c r="V58" i="15"/>
  <c r="W58" i="15"/>
  <c r="X58" i="15"/>
  <c r="U58" i="15"/>
  <c r="Z58" i="15" s="1"/>
  <c r="AA58" i="15" s="1"/>
  <c r="K58" i="15"/>
  <c r="J58" i="15"/>
  <c r="Z11" i="15"/>
  <c r="AA11" i="15" s="1"/>
  <c r="Z13" i="15"/>
  <c r="AA13" i="15" s="1"/>
  <c r="Z14" i="15"/>
  <c r="Z15" i="15"/>
  <c r="AA15" i="15" s="1"/>
  <c r="Z16" i="15"/>
  <c r="AA16" i="15" s="1"/>
  <c r="Z17" i="15"/>
  <c r="AA17" i="15" s="1"/>
  <c r="Z18" i="15"/>
  <c r="Z19" i="15"/>
  <c r="AA19" i="15" s="1"/>
  <c r="Z20" i="15"/>
  <c r="AA20" i="15" s="1"/>
  <c r="Z21" i="15"/>
  <c r="AA21" i="15" s="1"/>
  <c r="Z22" i="15"/>
  <c r="AA22" i="15" s="1"/>
  <c r="Z23" i="15"/>
  <c r="AA23" i="15" s="1"/>
  <c r="Z24" i="15"/>
  <c r="AA24" i="15" s="1"/>
  <c r="Z25" i="15"/>
  <c r="AA25" i="15" s="1"/>
  <c r="Z26" i="15"/>
  <c r="AA26" i="15" s="1"/>
  <c r="Z27" i="15"/>
  <c r="AA27" i="15" s="1"/>
  <c r="Z28" i="15"/>
  <c r="AA28" i="15" s="1"/>
  <c r="Z29" i="15"/>
  <c r="AA29" i="15" s="1"/>
  <c r="Z30" i="15"/>
  <c r="AA30" i="15" s="1"/>
  <c r="Z31" i="15"/>
  <c r="AA31" i="15" s="1"/>
  <c r="Z32" i="15"/>
  <c r="AA32" i="15" s="1"/>
  <c r="Z33" i="15"/>
  <c r="AA33" i="15" s="1"/>
  <c r="Z34" i="15"/>
  <c r="AA34" i="15" s="1"/>
  <c r="Z35" i="15"/>
  <c r="AA35" i="15" s="1"/>
  <c r="Z36" i="15"/>
  <c r="AA36" i="15" s="1"/>
  <c r="Z37" i="15"/>
  <c r="AA37" i="15" s="1"/>
  <c r="Z38" i="15"/>
  <c r="AA38" i="15" s="1"/>
  <c r="Z39" i="15"/>
  <c r="AA39" i="15" s="1"/>
  <c r="Z40" i="15"/>
  <c r="AA40" i="15" s="1"/>
  <c r="Z41" i="15"/>
  <c r="AA41" i="15" s="1"/>
  <c r="Z42" i="15"/>
  <c r="AA42" i="15" s="1"/>
  <c r="Z43" i="15"/>
  <c r="AA43" i="15" s="1"/>
  <c r="Z44" i="15"/>
  <c r="AA44" i="15" s="1"/>
  <c r="Z45" i="15"/>
  <c r="AA45" i="15" s="1"/>
  <c r="Z46" i="15"/>
  <c r="AA46" i="15" s="1"/>
  <c r="Z47" i="15"/>
  <c r="AA47" i="15" s="1"/>
  <c r="Z48" i="15"/>
  <c r="AA48" i="15" s="1"/>
  <c r="Z49" i="15"/>
  <c r="AA49" i="15" s="1"/>
  <c r="Z50" i="15"/>
  <c r="AA50" i="15" s="1"/>
  <c r="Z51" i="15"/>
  <c r="AA51" i="15" s="1"/>
  <c r="Z52" i="15"/>
  <c r="AA52" i="15" s="1"/>
  <c r="Z53" i="15"/>
  <c r="AA53" i="15" s="1"/>
  <c r="Z54" i="15"/>
  <c r="AA54" i="15" s="1"/>
  <c r="Z55" i="15"/>
  <c r="AA55" i="15" s="1"/>
  <c r="Z56" i="15"/>
  <c r="AA56" i="15" s="1"/>
  <c r="Z57" i="15"/>
  <c r="AA57" i="15" s="1"/>
  <c r="Z10" i="15"/>
  <c r="AA10" i="15" s="1"/>
  <c r="V58" i="14"/>
  <c r="W58" i="14"/>
  <c r="X58" i="14"/>
  <c r="U58" i="14"/>
  <c r="K58" i="14"/>
  <c r="J58" i="14"/>
  <c r="L58" i="14" s="1"/>
  <c r="Z56" i="14"/>
  <c r="AA56" i="14" s="1"/>
  <c r="Z55" i="14"/>
  <c r="AA55" i="14" s="1"/>
  <c r="Z53" i="14"/>
  <c r="AA53" i="14" s="1"/>
  <c r="Z50" i="14"/>
  <c r="AA50" i="14" s="1"/>
  <c r="Z49" i="14"/>
  <c r="AA49" i="14" s="1"/>
  <c r="Z48" i="14"/>
  <c r="AA48" i="14" s="1"/>
  <c r="Z47" i="14"/>
  <c r="AA47" i="14" s="1"/>
  <c r="Z46" i="14"/>
  <c r="Z45" i="14"/>
  <c r="AA45" i="14" s="1"/>
  <c r="Z44" i="14"/>
  <c r="Z42" i="14"/>
  <c r="AA42" i="14" s="1"/>
  <c r="Z39" i="14"/>
  <c r="AA39" i="14" s="1"/>
  <c r="Z37" i="14"/>
  <c r="Z35" i="14"/>
  <c r="AA35" i="14" s="1"/>
  <c r="Z34" i="14"/>
  <c r="AA34" i="14" s="1"/>
  <c r="Z32" i="14"/>
  <c r="AA32" i="14" s="1"/>
  <c r="Z28" i="14"/>
  <c r="AA28" i="14" s="1"/>
  <c r="Z24" i="14"/>
  <c r="AA24" i="14" s="1"/>
  <c r="Z17" i="14"/>
  <c r="AA17" i="14" s="1"/>
  <c r="Z14" i="14"/>
  <c r="AA14" i="14" s="1"/>
  <c r="Z13" i="14"/>
  <c r="Z10" i="14"/>
  <c r="AA10" i="14" s="1"/>
  <c r="V58" i="13"/>
  <c r="W58" i="13"/>
  <c r="X58" i="13"/>
  <c r="Y58" i="13"/>
  <c r="U58" i="13"/>
  <c r="Z56" i="13"/>
  <c r="AA56" i="13" s="1"/>
  <c r="Z55" i="13"/>
  <c r="Z53" i="13"/>
  <c r="AA53" i="13" s="1"/>
  <c r="Z50" i="13"/>
  <c r="AA50" i="13" s="1"/>
  <c r="Z49" i="13"/>
  <c r="AA49" i="13" s="1"/>
  <c r="Z48" i="13"/>
  <c r="AA48" i="13" s="1"/>
  <c r="Z47" i="13"/>
  <c r="AA47" i="13" s="1"/>
  <c r="Z46" i="13"/>
  <c r="AA46" i="13" s="1"/>
  <c r="Z45" i="13"/>
  <c r="AA45" i="13" s="1"/>
  <c r="Z44" i="13"/>
  <c r="AA44" i="13" s="1"/>
  <c r="Z42" i="13"/>
  <c r="AA42" i="13" s="1"/>
  <c r="Z39" i="13"/>
  <c r="AA39" i="13" s="1"/>
  <c r="Z37" i="13"/>
  <c r="AA37" i="13" s="1"/>
  <c r="Z35" i="13"/>
  <c r="Z34" i="13"/>
  <c r="Z32" i="13"/>
  <c r="AA32" i="13" s="1"/>
  <c r="Z28" i="13"/>
  <c r="AA28" i="13" s="1"/>
  <c r="Z24" i="13"/>
  <c r="AA24" i="13" s="1"/>
  <c r="Z17" i="13"/>
  <c r="AA17" i="13" s="1"/>
  <c r="Z14" i="13"/>
  <c r="AA14" i="13" s="1"/>
  <c r="Z13" i="13"/>
  <c r="AA13" i="13" s="1"/>
  <c r="Z10" i="13"/>
  <c r="AA10" i="13" s="1"/>
  <c r="V58" i="12"/>
  <c r="W58" i="12"/>
  <c r="X58" i="12"/>
  <c r="Y58" i="12"/>
  <c r="U58" i="12"/>
  <c r="K58" i="12"/>
  <c r="Z55" i="12"/>
  <c r="AA55" i="12" s="1"/>
  <c r="Z53" i="12"/>
  <c r="Z39" i="12"/>
  <c r="AA39" i="12" s="1"/>
  <c r="Z37" i="12"/>
  <c r="AA37" i="12" s="1"/>
  <c r="Z35" i="12"/>
  <c r="AA35" i="12" s="1"/>
  <c r="Z34" i="12"/>
  <c r="AA34" i="12" s="1"/>
  <c r="Z32" i="12"/>
  <c r="AA32" i="12" s="1"/>
  <c r="Z28" i="12"/>
  <c r="Z24" i="12"/>
  <c r="Z17" i="12"/>
  <c r="Z14" i="12"/>
  <c r="Z13" i="12"/>
  <c r="AA13" i="12" s="1"/>
  <c r="Z10" i="12"/>
  <c r="AA10" i="12" s="1"/>
  <c r="V58" i="8"/>
  <c r="W58" i="8"/>
  <c r="X58" i="8"/>
  <c r="Y58" i="8"/>
  <c r="U58" i="8"/>
  <c r="K58" i="8"/>
  <c r="Z39" i="8"/>
  <c r="AA39" i="8" s="1"/>
  <c r="Z56" i="8"/>
  <c r="AA56" i="8" s="1"/>
  <c r="Z55" i="8"/>
  <c r="AA55" i="8" s="1"/>
  <c r="Z53" i="8"/>
  <c r="AA53" i="8" s="1"/>
  <c r="Z37" i="8"/>
  <c r="AA37" i="8" s="1"/>
  <c r="Z35" i="8"/>
  <c r="AA35" i="8" s="1"/>
  <c r="Z34" i="8"/>
  <c r="AA34" i="8" s="1"/>
  <c r="Z32" i="8"/>
  <c r="AA32" i="8" s="1"/>
  <c r="Z28" i="8"/>
  <c r="AA28" i="8" s="1"/>
  <c r="Z24" i="8"/>
  <c r="AA24" i="8" s="1"/>
  <c r="Z17" i="8"/>
  <c r="AA17" i="8" s="1"/>
  <c r="Z14" i="8"/>
  <c r="AA14" i="8" s="1"/>
  <c r="Z13" i="8"/>
  <c r="AA13" i="8" s="1"/>
  <c r="Z10" i="8"/>
  <c r="AA10" i="8" s="1"/>
  <c r="Z56" i="19"/>
  <c r="AA56" i="19" s="1"/>
  <c r="Z55" i="19"/>
  <c r="AA55" i="19" s="1"/>
  <c r="Z54" i="19"/>
  <c r="AA54" i="19" s="1"/>
  <c r="Z50" i="19"/>
  <c r="AA50" i="19" s="1"/>
  <c r="Z49" i="19"/>
  <c r="AA49" i="19" s="1"/>
  <c r="Z48" i="19"/>
  <c r="AA48" i="19" s="1"/>
  <c r="Z47" i="19"/>
  <c r="AA47" i="19" s="1"/>
  <c r="Z46" i="19"/>
  <c r="AA46" i="19" s="1"/>
  <c r="Z45" i="19"/>
  <c r="AA45" i="19" s="1"/>
  <c r="Z44" i="19"/>
  <c r="AA44" i="19" s="1"/>
  <c r="Z42" i="19"/>
  <c r="AA42" i="19" s="1"/>
  <c r="Z37" i="19"/>
  <c r="AA37" i="19" s="1"/>
  <c r="Z36" i="19"/>
  <c r="AA36" i="19" s="1"/>
  <c r="Z34" i="19"/>
  <c r="Z33" i="19"/>
  <c r="Z30" i="19"/>
  <c r="AA30" i="19" s="1"/>
  <c r="Z29" i="19"/>
  <c r="AA29" i="19" s="1"/>
  <c r="Z26" i="19"/>
  <c r="AA26" i="19" s="1"/>
  <c r="Z24" i="19"/>
  <c r="AA24" i="19" s="1"/>
  <c r="Z22" i="19"/>
  <c r="AA22" i="19" s="1"/>
  <c r="Z20" i="19"/>
  <c r="AA20" i="19" s="1"/>
  <c r="Z19" i="19"/>
  <c r="AA19" i="19" s="1"/>
  <c r="Z13" i="19"/>
  <c r="AA13" i="19" s="1"/>
  <c r="Z12" i="19"/>
  <c r="AA12" i="19" s="1"/>
  <c r="Z11" i="19"/>
  <c r="AA11" i="19" s="1"/>
  <c r="Z56" i="18"/>
  <c r="AA56" i="18" s="1"/>
  <c r="Z55" i="18"/>
  <c r="Z54" i="18"/>
  <c r="AA54" i="18" s="1"/>
  <c r="Z50" i="18"/>
  <c r="AA50" i="18" s="1"/>
  <c r="Z49" i="18"/>
  <c r="AA49" i="18" s="1"/>
  <c r="Z48" i="18"/>
  <c r="AA48" i="18" s="1"/>
  <c r="Z47" i="18"/>
  <c r="AA47" i="18" s="1"/>
  <c r="Z46" i="18"/>
  <c r="AA46" i="18" s="1"/>
  <c r="Z45" i="18"/>
  <c r="AA45" i="18" s="1"/>
  <c r="Z44" i="18"/>
  <c r="AA44" i="18" s="1"/>
  <c r="Z42" i="18"/>
  <c r="AA42" i="18" s="1"/>
  <c r="Z37" i="18"/>
  <c r="AA37" i="18" s="1"/>
  <c r="Z36" i="18"/>
  <c r="AA36" i="18" s="1"/>
  <c r="Z34" i="18"/>
  <c r="AA34" i="18" s="1"/>
  <c r="Z33" i="18"/>
  <c r="AA33" i="18" s="1"/>
  <c r="Z30" i="18"/>
  <c r="AA30" i="18" s="1"/>
  <c r="Z29" i="18"/>
  <c r="AA29" i="18" s="1"/>
  <c r="Z26" i="18"/>
  <c r="AA26" i="18" s="1"/>
  <c r="Z24" i="18"/>
  <c r="AA24" i="18" s="1"/>
  <c r="Z22" i="18"/>
  <c r="AA22" i="18" s="1"/>
  <c r="Z20" i="18"/>
  <c r="AA20" i="18" s="1"/>
  <c r="Z19" i="18"/>
  <c r="AA19" i="18" s="1"/>
  <c r="Z13" i="18"/>
  <c r="AA13" i="18" s="1"/>
  <c r="Z12" i="18"/>
  <c r="AA12" i="18" s="1"/>
  <c r="Z11" i="18"/>
  <c r="AA11" i="18" s="1"/>
  <c r="Z11" i="16"/>
  <c r="AA11" i="16" s="1"/>
  <c r="Z56" i="16"/>
  <c r="AA56" i="16" s="1"/>
  <c r="Z55" i="16"/>
  <c r="Z54" i="16"/>
  <c r="AA54" i="16" s="1"/>
  <c r="Z53" i="16"/>
  <c r="AA53" i="16" s="1"/>
  <c r="Z50" i="16"/>
  <c r="AA50" i="16" s="1"/>
  <c r="Z49" i="16"/>
  <c r="AA49" i="16" s="1"/>
  <c r="Z48" i="16"/>
  <c r="AA48" i="16" s="1"/>
  <c r="Z47" i="16"/>
  <c r="AA47" i="16" s="1"/>
  <c r="Z46" i="16"/>
  <c r="AA46" i="16" s="1"/>
  <c r="Z45" i="16"/>
  <c r="AA45" i="16" s="1"/>
  <c r="Z44" i="16"/>
  <c r="AA44" i="16" s="1"/>
  <c r="Z42" i="16"/>
  <c r="AA42" i="16" s="1"/>
  <c r="Z39" i="16"/>
  <c r="AA39" i="16" s="1"/>
  <c r="Z37" i="16"/>
  <c r="AA37" i="16" s="1"/>
  <c r="Z36" i="16"/>
  <c r="AA36" i="16" s="1"/>
  <c r="Z35" i="16"/>
  <c r="AA35" i="16" s="1"/>
  <c r="Z34" i="16"/>
  <c r="AA34" i="16" s="1"/>
  <c r="Z33" i="16"/>
  <c r="AA33" i="16" s="1"/>
  <c r="Z32" i="16"/>
  <c r="AA32" i="16" s="1"/>
  <c r="Z30" i="16"/>
  <c r="AA30" i="16" s="1"/>
  <c r="Z29" i="16"/>
  <c r="AA29" i="16" s="1"/>
  <c r="Z28" i="16"/>
  <c r="AA28" i="16" s="1"/>
  <c r="Z26" i="16"/>
  <c r="AA26" i="16" s="1"/>
  <c r="Z24" i="16"/>
  <c r="AA24" i="16" s="1"/>
  <c r="Z22" i="16"/>
  <c r="AA22" i="16" s="1"/>
  <c r="Z20" i="16"/>
  <c r="Z19" i="16"/>
  <c r="AA19" i="16" s="1"/>
  <c r="Z17" i="16"/>
  <c r="AA17" i="16" s="1"/>
  <c r="Z14" i="16"/>
  <c r="AA14" i="16" s="1"/>
  <c r="Z13" i="16"/>
  <c r="AA13" i="16" s="1"/>
  <c r="Z12" i="16"/>
  <c r="AA12" i="16" s="1"/>
  <c r="Z56" i="11"/>
  <c r="AA56" i="11" s="1"/>
  <c r="Z55" i="11"/>
  <c r="AA55" i="11" s="1"/>
  <c r="Z53" i="11"/>
  <c r="AA53" i="11" s="1"/>
  <c r="Z39" i="11"/>
  <c r="AA39" i="11" s="1"/>
  <c r="Z37" i="11"/>
  <c r="AA37" i="11" s="1"/>
  <c r="Z35" i="11"/>
  <c r="AA35" i="11" s="1"/>
  <c r="Z34" i="11"/>
  <c r="AA34" i="11" s="1"/>
  <c r="Z32" i="11"/>
  <c r="Z28" i="11"/>
  <c r="Z24" i="11"/>
  <c r="Z17" i="11"/>
  <c r="AA17" i="11" s="1"/>
  <c r="Z14" i="11"/>
  <c r="AA14" i="11" s="1"/>
  <c r="Z13" i="11"/>
  <c r="AA13" i="11" s="1"/>
  <c r="Z10" i="11"/>
  <c r="AA10" i="11" s="1"/>
  <c r="Z56" i="10"/>
  <c r="AA56" i="10" s="1"/>
  <c r="Z55" i="10"/>
  <c r="AA55" i="10" s="1"/>
  <c r="Z53" i="10"/>
  <c r="AA53" i="10" s="1"/>
  <c r="Z39" i="10"/>
  <c r="AA39" i="10" s="1"/>
  <c r="Z37" i="10"/>
  <c r="AA37" i="10" s="1"/>
  <c r="Z35" i="10"/>
  <c r="AA35" i="10" s="1"/>
  <c r="Z34" i="10"/>
  <c r="AA34" i="10" s="1"/>
  <c r="Z32" i="10"/>
  <c r="AA32" i="10" s="1"/>
  <c r="Z28" i="10"/>
  <c r="AA28" i="10" s="1"/>
  <c r="Z24" i="10"/>
  <c r="AA24" i="10" s="1"/>
  <c r="Z17" i="10"/>
  <c r="AA17" i="10" s="1"/>
  <c r="Z14" i="10"/>
  <c r="AA14" i="10" s="1"/>
  <c r="Z13" i="10"/>
  <c r="AA13" i="10" s="1"/>
  <c r="Z10" i="10"/>
  <c r="AA10" i="10" s="1"/>
  <c r="H750" i="26" l="1"/>
  <c r="G750" i="26"/>
  <c r="L58" i="18"/>
  <c r="P58" i="23"/>
  <c r="T58" i="22"/>
  <c r="AB49" i="21"/>
  <c r="P58" i="21"/>
  <c r="AB38" i="21"/>
  <c r="Z58" i="21"/>
  <c r="AA58" i="21" s="1"/>
  <c r="AB55" i="21"/>
  <c r="AB56" i="21"/>
  <c r="AB19" i="21"/>
  <c r="AB42" i="21"/>
  <c r="AB55" i="24"/>
  <c r="L58" i="24"/>
  <c r="Z58" i="8"/>
  <c r="AA58" i="8" s="1"/>
  <c r="AB12" i="12"/>
  <c r="Z58" i="14"/>
  <c r="AA58" i="14" s="1"/>
  <c r="AB12" i="14"/>
  <c r="AB12" i="9"/>
  <c r="L58" i="10"/>
  <c r="AB12" i="11"/>
  <c r="W58" i="25"/>
  <c r="Z37" i="25"/>
  <c r="AA37" i="25" s="1"/>
  <c r="Z58" i="19"/>
  <c r="AA58" i="19" s="1"/>
  <c r="V58" i="25"/>
  <c r="K58" i="25"/>
  <c r="AB11" i="22"/>
  <c r="Y58" i="25"/>
  <c r="T58" i="21"/>
  <c r="AB51" i="21"/>
  <c r="T58" i="24"/>
  <c r="X58" i="25"/>
  <c r="AA44" i="21"/>
  <c r="AB44" i="21" s="1"/>
  <c r="T58" i="23"/>
  <c r="J58" i="25"/>
  <c r="AB41" i="21"/>
  <c r="AB52" i="21"/>
  <c r="AB13" i="24"/>
  <c r="U58" i="25"/>
  <c r="AB12" i="10"/>
  <c r="AB30" i="21"/>
  <c r="AB12" i="8"/>
  <c r="AB17" i="21"/>
  <c r="AB25" i="21"/>
  <c r="P58" i="18"/>
  <c r="L58" i="21"/>
  <c r="L58" i="23"/>
  <c r="L58" i="16"/>
  <c r="AB20" i="23"/>
  <c r="AB31" i="22"/>
  <c r="AB42" i="22"/>
  <c r="Z52" i="25"/>
  <c r="AA52" i="25" s="1"/>
  <c r="P58" i="19"/>
  <c r="AB29" i="21"/>
  <c r="AB50" i="21"/>
  <c r="Z58" i="12"/>
  <c r="AA58" i="12" s="1"/>
  <c r="AB45" i="21"/>
  <c r="AB37" i="23"/>
  <c r="Z45" i="25"/>
  <c r="AA45" i="25" s="1"/>
  <c r="P58" i="22"/>
  <c r="P58" i="24"/>
  <c r="AB37" i="21"/>
  <c r="AB39" i="24"/>
  <c r="AB54" i="24"/>
  <c r="AB20" i="24"/>
  <c r="AB45" i="24"/>
  <c r="AB37" i="24"/>
  <c r="AB48" i="24"/>
  <c r="AB15" i="24"/>
  <c r="AB26" i="24"/>
  <c r="AB11" i="24"/>
  <c r="AB43" i="24"/>
  <c r="AA30" i="24"/>
  <c r="AB30" i="24" s="1"/>
  <c r="AB21" i="24"/>
  <c r="AB49" i="24"/>
  <c r="AA19" i="24"/>
  <c r="AB33" i="24"/>
  <c r="AB38" i="24"/>
  <c r="AB46" i="24"/>
  <c r="AB35" i="24"/>
  <c r="AB27" i="24"/>
  <c r="AB56" i="24"/>
  <c r="AB14" i="24"/>
  <c r="AB36" i="24"/>
  <c r="AB50" i="24"/>
  <c r="AB25" i="24"/>
  <c r="AB44" i="24"/>
  <c r="AB34" i="24"/>
  <c r="AB47" i="24"/>
  <c r="AB51" i="24"/>
  <c r="AB22" i="24"/>
  <c r="AB42" i="24"/>
  <c r="AB13" i="23"/>
  <c r="AB16" i="23"/>
  <c r="AB31" i="23"/>
  <c r="AB53" i="23"/>
  <c r="AB15" i="23"/>
  <c r="AB26" i="23"/>
  <c r="AA49" i="23"/>
  <c r="AB49" i="23" s="1"/>
  <c r="AA50" i="23"/>
  <c r="AB50" i="23" s="1"/>
  <c r="AA33" i="23"/>
  <c r="AB33" i="23" s="1"/>
  <c r="AB14" i="23"/>
  <c r="AB12" i="23"/>
  <c r="AB51" i="23"/>
  <c r="AB57" i="23"/>
  <c r="AA30" i="23"/>
  <c r="AB30" i="23" s="1"/>
  <c r="AA54" i="23"/>
  <c r="AB54" i="23" s="1"/>
  <c r="AB36" i="23"/>
  <c r="AB43" i="23"/>
  <c r="AB55" i="23"/>
  <c r="AB52" i="23"/>
  <c r="AB25" i="23"/>
  <c r="AB39" i="23"/>
  <c r="AB44" i="23"/>
  <c r="AB18" i="23"/>
  <c r="AB11" i="23"/>
  <c r="AB24" i="23"/>
  <c r="AB27" i="23"/>
  <c r="AB38" i="23"/>
  <c r="AB17" i="23"/>
  <c r="AB15" i="22"/>
  <c r="AB26" i="22"/>
  <c r="AB29" i="22"/>
  <c r="AB14" i="22"/>
  <c r="AB49" i="22"/>
  <c r="AB39" i="22"/>
  <c r="AB53" i="22"/>
  <c r="AB38" i="22"/>
  <c r="AB57" i="22"/>
  <c r="AB55" i="22"/>
  <c r="AB10" i="22"/>
  <c r="AB18" i="22"/>
  <c r="AB40" i="22"/>
  <c r="AB16" i="22"/>
  <c r="AB21" i="22"/>
  <c r="AA37" i="22"/>
  <c r="AB37" i="22" s="1"/>
  <c r="AB13" i="22"/>
  <c r="AB19" i="22"/>
  <c r="AA50" i="22"/>
  <c r="AB50" i="22" s="1"/>
  <c r="AB30" i="22"/>
  <c r="AB44" i="22"/>
  <c r="AB54" i="22"/>
  <c r="AB17" i="22"/>
  <c r="AB25" i="22"/>
  <c r="AB41" i="22"/>
  <c r="AB52" i="22"/>
  <c r="AB28" i="22"/>
  <c r="AB33" i="22"/>
  <c r="AB20" i="22"/>
  <c r="AB56" i="22"/>
  <c r="AB47" i="22"/>
  <c r="AB45" i="22"/>
  <c r="AB51" i="22"/>
  <c r="AB27" i="22"/>
  <c r="AB20" i="21"/>
  <c r="AB15" i="21"/>
  <c r="AB13" i="21"/>
  <c r="AB18" i="21"/>
  <c r="AB34" i="21"/>
  <c r="AB28" i="21"/>
  <c r="AB26" i="21"/>
  <c r="AB33" i="21"/>
  <c r="AB11" i="21"/>
  <c r="AB31" i="21"/>
  <c r="AB27" i="21"/>
  <c r="AB21" i="21"/>
  <c r="AB16" i="21"/>
  <c r="AB46" i="21"/>
  <c r="AB47" i="21"/>
  <c r="AB39" i="21"/>
  <c r="AB53" i="21"/>
  <c r="AB12" i="21"/>
  <c r="AB24" i="21"/>
  <c r="AB36" i="21"/>
  <c r="AB57" i="21"/>
  <c r="AB40" i="21"/>
  <c r="AB54" i="21"/>
  <c r="AB23" i="21"/>
  <c r="AB32" i="21"/>
  <c r="AB12" i="24"/>
  <c r="AB53" i="24"/>
  <c r="AB28" i="24"/>
  <c r="AB41" i="24"/>
  <c r="AB24" i="24"/>
  <c r="AB40" i="24"/>
  <c r="AB52" i="24"/>
  <c r="AB17" i="24"/>
  <c r="AB19" i="23"/>
  <c r="AB21" i="23"/>
  <c r="AB47" i="23"/>
  <c r="AB40" i="23"/>
  <c r="AB29" i="23"/>
  <c r="AB35" i="23"/>
  <c r="AB42" i="23"/>
  <c r="AB45" i="23"/>
  <c r="AB22" i="23"/>
  <c r="AB46" i="23"/>
  <c r="AB23" i="23"/>
  <c r="AB28" i="23"/>
  <c r="AB34" i="23"/>
  <c r="AB41" i="23"/>
  <c r="AB24" i="22"/>
  <c r="AB32" i="22"/>
  <c r="AB22" i="22"/>
  <c r="AB48" i="22"/>
  <c r="AB43" i="22"/>
  <c r="AB12" i="22"/>
  <c r="AB36" i="22"/>
  <c r="AB23" i="22"/>
  <c r="AB46" i="22"/>
  <c r="AB34" i="22"/>
  <c r="AB35" i="21"/>
  <c r="AB22" i="21"/>
  <c r="AB48" i="21"/>
  <c r="Z49" i="25"/>
  <c r="AA49" i="25" s="1"/>
  <c r="Z58" i="13"/>
  <c r="AA58" i="13" s="1"/>
  <c r="L33" i="25"/>
  <c r="L50" i="25"/>
  <c r="Z12" i="25"/>
  <c r="AA12" i="25" s="1"/>
  <c r="P36" i="25"/>
  <c r="P54" i="25"/>
  <c r="Z28" i="25"/>
  <c r="AA28" i="25" s="1"/>
  <c r="P30" i="25"/>
  <c r="L42" i="25"/>
  <c r="Z21" i="25"/>
  <c r="AA21" i="25" s="1"/>
  <c r="Z33" i="25"/>
  <c r="AA33" i="25" s="1"/>
  <c r="L24" i="25"/>
  <c r="P48" i="25"/>
  <c r="Z35" i="25"/>
  <c r="AA35" i="25" s="1"/>
  <c r="Z29" i="25"/>
  <c r="AA29" i="25" s="1"/>
  <c r="P18" i="25"/>
  <c r="Z18" i="25"/>
  <c r="AA18" i="25" s="1"/>
  <c r="P44" i="25"/>
  <c r="P50" i="25"/>
  <c r="Z24" i="25"/>
  <c r="AA24" i="25" s="1"/>
  <c r="Z36" i="25"/>
  <c r="AA36" i="25" s="1"/>
  <c r="Z44" i="25"/>
  <c r="AA44" i="25" s="1"/>
  <c r="Z48" i="25"/>
  <c r="AA48" i="25" s="1"/>
  <c r="P15" i="25"/>
  <c r="P21" i="25"/>
  <c r="P33" i="25"/>
  <c r="L39" i="25"/>
  <c r="P45" i="25"/>
  <c r="P51" i="25"/>
  <c r="Z15" i="25"/>
  <c r="AA15" i="25" s="1"/>
  <c r="P56" i="25"/>
  <c r="P14" i="25"/>
  <c r="P55" i="25"/>
  <c r="P39" i="25"/>
  <c r="L55" i="25"/>
  <c r="L14" i="25"/>
  <c r="P20" i="25"/>
  <c r="P26" i="25"/>
  <c r="P32" i="25"/>
  <c r="P38" i="25"/>
  <c r="P11" i="25"/>
  <c r="P17" i="25"/>
  <c r="P35" i="25"/>
  <c r="P41" i="25"/>
  <c r="P47" i="25"/>
  <c r="P53" i="25"/>
  <c r="Z30" i="25"/>
  <c r="AA30" i="25" s="1"/>
  <c r="Z42" i="25"/>
  <c r="AA42" i="25" s="1"/>
  <c r="Z54" i="25"/>
  <c r="AA54" i="25" s="1"/>
  <c r="L51" i="25"/>
  <c r="P16" i="25"/>
  <c r="P22" i="25"/>
  <c r="P28" i="25"/>
  <c r="P34" i="25"/>
  <c r="L40" i="25"/>
  <c r="P46" i="25"/>
  <c r="P52" i="25"/>
  <c r="Z51" i="25"/>
  <c r="AA51" i="25" s="1"/>
  <c r="Z56" i="25"/>
  <c r="AA56" i="25" s="1"/>
  <c r="P19" i="25"/>
  <c r="P25" i="25"/>
  <c r="Z11" i="25"/>
  <c r="AA11" i="25" s="1"/>
  <c r="Z47" i="25"/>
  <c r="AA47" i="25" s="1"/>
  <c r="L30" i="25"/>
  <c r="Z39" i="25"/>
  <c r="AA39" i="25" s="1"/>
  <c r="L45" i="25"/>
  <c r="L11" i="25"/>
  <c r="L17" i="25"/>
  <c r="L23" i="25"/>
  <c r="L29" i="25"/>
  <c r="L35" i="25"/>
  <c r="L41" i="25"/>
  <c r="L53" i="25"/>
  <c r="P24" i="25"/>
  <c r="L48" i="25"/>
  <c r="L36" i="25"/>
  <c r="P43" i="25"/>
  <c r="P13" i="25"/>
  <c r="L37" i="25"/>
  <c r="L15" i="25"/>
  <c r="P42" i="25"/>
  <c r="P31" i="25"/>
  <c r="L21" i="25"/>
  <c r="Z17" i="25"/>
  <c r="AA17" i="25" s="1"/>
  <c r="Z22" i="25"/>
  <c r="AA22" i="25" s="1"/>
  <c r="Z31" i="25"/>
  <c r="AA31" i="25" s="1"/>
  <c r="Z34" i="25"/>
  <c r="AA34" i="25" s="1"/>
  <c r="Z38" i="25"/>
  <c r="AA38" i="25" s="1"/>
  <c r="Z41" i="25"/>
  <c r="AA41" i="25" s="1"/>
  <c r="Z43" i="25"/>
  <c r="AA43" i="25" s="1"/>
  <c r="Z46" i="25"/>
  <c r="AA46" i="25" s="1"/>
  <c r="Z50" i="25"/>
  <c r="AA50" i="25" s="1"/>
  <c r="Z53" i="25"/>
  <c r="AA53" i="25" s="1"/>
  <c r="Z19" i="25"/>
  <c r="AA19" i="25" s="1"/>
  <c r="Z27" i="25"/>
  <c r="AA27" i="25" s="1"/>
  <c r="Z55" i="25"/>
  <c r="AA55" i="25" s="1"/>
  <c r="Z20" i="25"/>
  <c r="AA20" i="25" s="1"/>
  <c r="L54" i="25"/>
  <c r="L47" i="25"/>
  <c r="L18" i="25"/>
  <c r="P23" i="25"/>
  <c r="L25" i="25"/>
  <c r="Z16" i="25"/>
  <c r="AA16" i="25" s="1"/>
  <c r="Z23" i="25"/>
  <c r="AA23" i="25" s="1"/>
  <c r="Z25" i="25"/>
  <c r="AA25" i="25" s="1"/>
  <c r="Z40" i="25"/>
  <c r="AA40" i="25" s="1"/>
  <c r="Z13" i="25"/>
  <c r="AA13" i="25" s="1"/>
  <c r="P37" i="25"/>
  <c r="Z32" i="25"/>
  <c r="AA32" i="25" s="1"/>
  <c r="L58" i="15"/>
  <c r="L20" i="25"/>
  <c r="L32" i="25"/>
  <c r="L38" i="25"/>
  <c r="L56" i="25"/>
  <c r="Z26" i="25"/>
  <c r="AA26" i="25" s="1"/>
  <c r="L16" i="25"/>
  <c r="L22" i="25"/>
  <c r="L28" i="25"/>
  <c r="L34" i="25"/>
  <c r="P40" i="25"/>
  <c r="L46" i="25"/>
  <c r="N46" i="25" s="1"/>
  <c r="L52" i="25"/>
  <c r="Z10" i="25"/>
  <c r="AA10" i="25" s="1"/>
  <c r="Z14" i="25"/>
  <c r="AA14" i="25" s="1"/>
  <c r="L26" i="25"/>
  <c r="L43" i="25"/>
  <c r="L13" i="25"/>
  <c r="L44" i="25"/>
  <c r="L31" i="25"/>
  <c r="P29" i="25"/>
  <c r="AB10" i="24"/>
  <c r="AB31" i="24"/>
  <c r="AB57" i="24"/>
  <c r="AB18" i="24"/>
  <c r="AB23" i="24"/>
  <c r="AB29" i="24"/>
  <c r="AB16" i="24"/>
  <c r="AB32" i="24"/>
  <c r="L29" i="24"/>
  <c r="AB10" i="23"/>
  <c r="AB48" i="23"/>
  <c r="AB32" i="23"/>
  <c r="AB35" i="22"/>
  <c r="AB43" i="21"/>
  <c r="AB10" i="21"/>
  <c r="AB14" i="21"/>
  <c r="P58" i="15"/>
  <c r="P58" i="14"/>
  <c r="Z10" i="9"/>
  <c r="AA10" i="9" s="1"/>
  <c r="L47" i="9"/>
  <c r="P47" i="9"/>
  <c r="K50" i="11"/>
  <c r="J50" i="10"/>
  <c r="J50" i="11"/>
  <c r="Z57" i="9"/>
  <c r="AA57" i="9" s="1"/>
  <c r="S57" i="9"/>
  <c r="T57" i="9" s="1"/>
  <c r="P57" i="9"/>
  <c r="L57" i="9"/>
  <c r="Z56" i="9"/>
  <c r="AA56" i="9" s="1"/>
  <c r="S56" i="9"/>
  <c r="T56" i="9" s="1"/>
  <c r="P56" i="9"/>
  <c r="L56" i="9"/>
  <c r="Z54" i="9"/>
  <c r="AA54" i="9" s="1"/>
  <c r="S54" i="9"/>
  <c r="T54" i="9" s="1"/>
  <c r="P54" i="9"/>
  <c r="L54" i="9"/>
  <c r="Z51" i="9"/>
  <c r="AA51" i="9" s="1"/>
  <c r="S51" i="9"/>
  <c r="T51" i="9" s="1"/>
  <c r="P51" i="9"/>
  <c r="L51" i="9"/>
  <c r="Z50" i="9"/>
  <c r="AA50" i="9" s="1"/>
  <c r="S50" i="9"/>
  <c r="T50" i="9" s="1"/>
  <c r="P50" i="9"/>
  <c r="L50" i="9"/>
  <c r="Z49" i="9"/>
  <c r="AA49" i="9" s="1"/>
  <c r="S49" i="9"/>
  <c r="T49" i="9" s="1"/>
  <c r="P49" i="9"/>
  <c r="L49" i="9"/>
  <c r="Z48" i="9"/>
  <c r="AA48" i="9" s="1"/>
  <c r="S48" i="9"/>
  <c r="T48" i="9" s="1"/>
  <c r="P48" i="9"/>
  <c r="L48" i="9"/>
  <c r="P58" i="25" l="1"/>
  <c r="AB37" i="25"/>
  <c r="Z58" i="25"/>
  <c r="AA58" i="25" s="1"/>
  <c r="L58" i="25"/>
  <c r="AB45" i="25"/>
  <c r="AB52" i="25"/>
  <c r="AB58" i="22"/>
  <c r="AB19" i="24"/>
  <c r="AB58" i="24"/>
  <c r="AB58" i="21"/>
  <c r="L49" i="25"/>
  <c r="AB46" i="25"/>
  <c r="P49" i="25"/>
  <c r="AB49" i="25" s="1"/>
  <c r="AB35" i="25"/>
  <c r="AB36" i="25"/>
  <c r="AB28" i="25"/>
  <c r="AB29" i="25"/>
  <c r="AB21" i="25"/>
  <c r="AB33" i="25"/>
  <c r="AB54" i="25"/>
  <c r="AB30" i="25"/>
  <c r="AB48" i="25"/>
  <c r="AB18" i="25"/>
  <c r="AB44" i="25"/>
  <c r="AB51" i="25"/>
  <c r="AB15" i="25"/>
  <c r="AB50" i="25"/>
  <c r="AB24" i="25"/>
  <c r="AB56" i="25"/>
  <c r="AB53" i="25"/>
  <c r="AB11" i="25"/>
  <c r="AB55" i="25"/>
  <c r="AB17" i="25"/>
  <c r="AB32" i="25"/>
  <c r="AB41" i="25"/>
  <c r="AB39" i="25"/>
  <c r="AB31" i="25"/>
  <c r="AB47" i="25"/>
  <c r="AB42" i="25"/>
  <c r="AB26" i="25"/>
  <c r="AB38" i="25"/>
  <c r="AB34" i="25"/>
  <c r="AB20" i="25"/>
  <c r="AB16" i="25"/>
  <c r="AB22" i="25"/>
  <c r="AB25" i="25"/>
  <c r="AB19" i="25"/>
  <c r="AB40" i="25"/>
  <c r="AB23" i="25"/>
  <c r="AB43" i="25"/>
  <c r="AB13" i="25"/>
  <c r="AB14" i="25"/>
  <c r="AB58" i="23"/>
  <c r="AB54" i="9"/>
  <c r="AB56" i="9"/>
  <c r="AB51" i="9"/>
  <c r="AB49" i="9"/>
  <c r="AB48" i="9"/>
  <c r="AB50" i="9"/>
  <c r="AB57" i="9"/>
  <c r="J29" i="19" l="1"/>
  <c r="L29" i="19" s="1"/>
  <c r="J29" i="16"/>
  <c r="J29" i="18"/>
  <c r="P12" i="18"/>
  <c r="AB12" i="18" s="1"/>
  <c r="Z57" i="19"/>
  <c r="AA57" i="19" s="1"/>
  <c r="S57" i="19"/>
  <c r="T57" i="19" s="1"/>
  <c r="P57" i="19"/>
  <c r="L57" i="19"/>
  <c r="S56" i="19"/>
  <c r="T56" i="19" s="1"/>
  <c r="P56" i="19"/>
  <c r="AB56" i="19" s="1"/>
  <c r="L56" i="19"/>
  <c r="S55" i="19"/>
  <c r="T55" i="19" s="1"/>
  <c r="P55" i="19"/>
  <c r="AB55" i="19" s="1"/>
  <c r="L55" i="19"/>
  <c r="S54" i="19"/>
  <c r="T54" i="19" s="1"/>
  <c r="P54" i="19"/>
  <c r="AB54" i="19" s="1"/>
  <c r="L54" i="19"/>
  <c r="Z53" i="19"/>
  <c r="AA53" i="19" s="1"/>
  <c r="S53" i="19"/>
  <c r="T53" i="19" s="1"/>
  <c r="P53" i="19"/>
  <c r="L53" i="19"/>
  <c r="Z52" i="19"/>
  <c r="AA52" i="19" s="1"/>
  <c r="S52" i="19"/>
  <c r="T52" i="19" s="1"/>
  <c r="P52" i="19"/>
  <c r="L52" i="19"/>
  <c r="Z51" i="19"/>
  <c r="AA51" i="19" s="1"/>
  <c r="S51" i="19"/>
  <c r="T51" i="19" s="1"/>
  <c r="P51" i="19"/>
  <c r="L51" i="19"/>
  <c r="P50" i="19"/>
  <c r="AB50" i="19" s="1"/>
  <c r="L50" i="19"/>
  <c r="P49" i="19"/>
  <c r="AB49" i="19" s="1"/>
  <c r="L49" i="19"/>
  <c r="S48" i="19"/>
  <c r="T48" i="19" s="1"/>
  <c r="P48" i="19"/>
  <c r="AB48" i="19" s="1"/>
  <c r="L48" i="19"/>
  <c r="S47" i="19"/>
  <c r="T47" i="19" s="1"/>
  <c r="P47" i="19"/>
  <c r="AB47" i="19" s="1"/>
  <c r="L47" i="19"/>
  <c r="S46" i="19"/>
  <c r="T46" i="19" s="1"/>
  <c r="P46" i="19"/>
  <c r="AB46" i="19" s="1"/>
  <c r="L46" i="19"/>
  <c r="N46" i="19" s="1"/>
  <c r="S45" i="19"/>
  <c r="T45" i="19" s="1"/>
  <c r="P45" i="19"/>
  <c r="AB45" i="19" s="1"/>
  <c r="L45" i="19"/>
  <c r="S44" i="19"/>
  <c r="T44" i="19" s="1"/>
  <c r="P44" i="19"/>
  <c r="AB44" i="19" s="1"/>
  <c r="L44" i="19"/>
  <c r="Z43" i="19"/>
  <c r="AA43" i="19" s="1"/>
  <c r="S43" i="19"/>
  <c r="T43" i="19" s="1"/>
  <c r="P43" i="19"/>
  <c r="L43" i="19"/>
  <c r="S42" i="19"/>
  <c r="T42" i="19" s="1"/>
  <c r="P42" i="19"/>
  <c r="AB42" i="19" s="1"/>
  <c r="L42" i="19"/>
  <c r="Z41" i="19"/>
  <c r="AA41" i="19" s="1"/>
  <c r="S41" i="19"/>
  <c r="T41" i="19" s="1"/>
  <c r="P41" i="19"/>
  <c r="L41" i="19"/>
  <c r="Z40" i="19"/>
  <c r="AA40" i="19" s="1"/>
  <c r="S40" i="19"/>
  <c r="T40" i="19" s="1"/>
  <c r="P40" i="19"/>
  <c r="L40" i="19"/>
  <c r="Z39" i="19"/>
  <c r="AA39" i="19" s="1"/>
  <c r="S39" i="19"/>
  <c r="T39" i="19" s="1"/>
  <c r="P39" i="19"/>
  <c r="L39" i="19"/>
  <c r="Z38" i="19"/>
  <c r="AA38" i="19" s="1"/>
  <c r="S38" i="19"/>
  <c r="T38" i="19" s="1"/>
  <c r="P38" i="19"/>
  <c r="L38" i="19"/>
  <c r="S37" i="19"/>
  <c r="T37" i="19" s="1"/>
  <c r="P37" i="19"/>
  <c r="AB37" i="19" s="1"/>
  <c r="L37" i="19"/>
  <c r="S36" i="19"/>
  <c r="T36" i="19" s="1"/>
  <c r="P36" i="19"/>
  <c r="AB36" i="19" s="1"/>
  <c r="L36" i="19"/>
  <c r="Z35" i="19"/>
  <c r="AA35" i="19" s="1"/>
  <c r="S35" i="19"/>
  <c r="T35" i="19" s="1"/>
  <c r="P35" i="19"/>
  <c r="L35" i="19"/>
  <c r="S34" i="19"/>
  <c r="T34" i="19" s="1"/>
  <c r="P34" i="19"/>
  <c r="AB34" i="19" s="1"/>
  <c r="L34" i="19"/>
  <c r="S33" i="19"/>
  <c r="T33" i="19" s="1"/>
  <c r="P33" i="19"/>
  <c r="AB33" i="19" s="1"/>
  <c r="L33" i="19"/>
  <c r="Z32" i="19"/>
  <c r="AA32" i="19" s="1"/>
  <c r="S32" i="19"/>
  <c r="T32" i="19" s="1"/>
  <c r="P32" i="19"/>
  <c r="L32" i="19"/>
  <c r="Z31" i="19"/>
  <c r="AA31" i="19" s="1"/>
  <c r="S31" i="19"/>
  <c r="T31" i="19" s="1"/>
  <c r="P31" i="19"/>
  <c r="L31" i="19"/>
  <c r="S30" i="19"/>
  <c r="T30" i="19" s="1"/>
  <c r="P30" i="19"/>
  <c r="AB30" i="19" s="1"/>
  <c r="L30" i="19"/>
  <c r="S29" i="19"/>
  <c r="T29" i="19" s="1"/>
  <c r="Z28" i="19"/>
  <c r="AA28" i="19" s="1"/>
  <c r="S28" i="19"/>
  <c r="T28" i="19" s="1"/>
  <c r="P28" i="19"/>
  <c r="L28" i="19"/>
  <c r="Z27" i="19"/>
  <c r="AA27" i="19" s="1"/>
  <c r="S27" i="19"/>
  <c r="T27" i="19" s="1"/>
  <c r="P27" i="19"/>
  <c r="L27" i="19"/>
  <c r="S26" i="19"/>
  <c r="T26" i="19" s="1"/>
  <c r="P26" i="19"/>
  <c r="AB26" i="19" s="1"/>
  <c r="L26" i="19"/>
  <c r="Z25" i="19"/>
  <c r="AA25" i="19" s="1"/>
  <c r="S25" i="19"/>
  <c r="T25" i="19" s="1"/>
  <c r="P25" i="19"/>
  <c r="L25" i="19"/>
  <c r="S24" i="19"/>
  <c r="T24" i="19" s="1"/>
  <c r="P24" i="19"/>
  <c r="AB24" i="19" s="1"/>
  <c r="L24" i="19"/>
  <c r="Z23" i="19"/>
  <c r="AA23" i="19" s="1"/>
  <c r="S23" i="19"/>
  <c r="T23" i="19" s="1"/>
  <c r="P23" i="19"/>
  <c r="L23" i="19"/>
  <c r="S22" i="19"/>
  <c r="T22" i="19" s="1"/>
  <c r="P22" i="19"/>
  <c r="AB22" i="19" s="1"/>
  <c r="L22" i="19"/>
  <c r="Z21" i="19"/>
  <c r="AA21" i="19" s="1"/>
  <c r="S21" i="19"/>
  <c r="T21" i="19" s="1"/>
  <c r="P21" i="19"/>
  <c r="L21" i="19"/>
  <c r="S20" i="19"/>
  <c r="T20" i="19" s="1"/>
  <c r="P20" i="19"/>
  <c r="AB20" i="19" s="1"/>
  <c r="L20" i="19"/>
  <c r="S19" i="19"/>
  <c r="T19" i="19" s="1"/>
  <c r="P19" i="19"/>
  <c r="AB19" i="19" s="1"/>
  <c r="Z18" i="19"/>
  <c r="AA18" i="19" s="1"/>
  <c r="S18" i="19"/>
  <c r="T18" i="19" s="1"/>
  <c r="P18" i="19"/>
  <c r="L18" i="19"/>
  <c r="Z17" i="19"/>
  <c r="AA17" i="19" s="1"/>
  <c r="S17" i="19"/>
  <c r="T17" i="19" s="1"/>
  <c r="P17" i="19"/>
  <c r="L17" i="19"/>
  <c r="Z16" i="19"/>
  <c r="AA16" i="19" s="1"/>
  <c r="S16" i="19"/>
  <c r="T16" i="19" s="1"/>
  <c r="P16" i="19"/>
  <c r="L16" i="19"/>
  <c r="Z15" i="19"/>
  <c r="AA15" i="19" s="1"/>
  <c r="S15" i="19"/>
  <c r="T15" i="19" s="1"/>
  <c r="P15" i="19"/>
  <c r="L15" i="19"/>
  <c r="Z14" i="19"/>
  <c r="AA14" i="19" s="1"/>
  <c r="S14" i="19"/>
  <c r="T14" i="19" s="1"/>
  <c r="P14" i="19"/>
  <c r="L14" i="19"/>
  <c r="S13" i="19"/>
  <c r="T13" i="19" s="1"/>
  <c r="P13" i="19"/>
  <c r="AB13" i="19" s="1"/>
  <c r="S12" i="19"/>
  <c r="T12" i="19" s="1"/>
  <c r="P12" i="19"/>
  <c r="AB12" i="19" s="1"/>
  <c r="L12" i="19"/>
  <c r="S11" i="19"/>
  <c r="T11" i="19" s="1"/>
  <c r="P11" i="19"/>
  <c r="AB11" i="19" s="1"/>
  <c r="L11" i="19"/>
  <c r="Z10" i="19"/>
  <c r="AA10" i="19" s="1"/>
  <c r="S10" i="19"/>
  <c r="T10" i="19" s="1"/>
  <c r="P10" i="19"/>
  <c r="L10" i="19"/>
  <c r="Z57" i="18"/>
  <c r="AA57" i="18" s="1"/>
  <c r="S57" i="18"/>
  <c r="T57" i="18" s="1"/>
  <c r="P57" i="18"/>
  <c r="L57" i="18"/>
  <c r="S56" i="18"/>
  <c r="T56" i="18" s="1"/>
  <c r="P56" i="18"/>
  <c r="AB56" i="18" s="1"/>
  <c r="L56" i="18"/>
  <c r="S55" i="18"/>
  <c r="T55" i="18" s="1"/>
  <c r="P55" i="18"/>
  <c r="AB55" i="18" s="1"/>
  <c r="L55" i="18"/>
  <c r="S54" i="18"/>
  <c r="T54" i="18" s="1"/>
  <c r="P54" i="18"/>
  <c r="AB54" i="18" s="1"/>
  <c r="L54" i="18"/>
  <c r="Z53" i="18"/>
  <c r="AA53" i="18" s="1"/>
  <c r="S53" i="18"/>
  <c r="T53" i="18" s="1"/>
  <c r="P53" i="18"/>
  <c r="L53" i="18"/>
  <c r="Z52" i="18"/>
  <c r="AA52" i="18" s="1"/>
  <c r="S52" i="18"/>
  <c r="T52" i="18" s="1"/>
  <c r="P52" i="18"/>
  <c r="L52" i="18"/>
  <c r="Z51" i="18"/>
  <c r="AA51" i="18" s="1"/>
  <c r="S51" i="18"/>
  <c r="T51" i="18" s="1"/>
  <c r="P51" i="18"/>
  <c r="L51" i="18"/>
  <c r="P50" i="18"/>
  <c r="AB50" i="18" s="1"/>
  <c r="L50" i="18"/>
  <c r="P49" i="18"/>
  <c r="AB49" i="18" s="1"/>
  <c r="L49" i="18"/>
  <c r="S48" i="18"/>
  <c r="T48" i="18" s="1"/>
  <c r="P48" i="18"/>
  <c r="AB48" i="18" s="1"/>
  <c r="L48" i="18"/>
  <c r="S47" i="18"/>
  <c r="T47" i="18" s="1"/>
  <c r="P47" i="18"/>
  <c r="AB47" i="18" s="1"/>
  <c r="L47" i="18"/>
  <c r="S46" i="18"/>
  <c r="T46" i="18" s="1"/>
  <c r="P46" i="18"/>
  <c r="AB46" i="18" s="1"/>
  <c r="L46" i="18"/>
  <c r="N46" i="18" s="1"/>
  <c r="S45" i="18"/>
  <c r="T45" i="18" s="1"/>
  <c r="P45" i="18"/>
  <c r="AB45" i="18" s="1"/>
  <c r="L45" i="18"/>
  <c r="S44" i="18"/>
  <c r="T44" i="18" s="1"/>
  <c r="P44" i="18"/>
  <c r="AB44" i="18" s="1"/>
  <c r="L44" i="18"/>
  <c r="Z43" i="18"/>
  <c r="AA43" i="18" s="1"/>
  <c r="S43" i="18"/>
  <c r="T43" i="18" s="1"/>
  <c r="P43" i="18"/>
  <c r="L43" i="18"/>
  <c r="S42" i="18"/>
  <c r="T42" i="18" s="1"/>
  <c r="P42" i="18"/>
  <c r="AB42" i="18" s="1"/>
  <c r="L42" i="18"/>
  <c r="Z41" i="18"/>
  <c r="AA41" i="18" s="1"/>
  <c r="S41" i="18"/>
  <c r="T41" i="18" s="1"/>
  <c r="P41" i="18"/>
  <c r="L41" i="18"/>
  <c r="Z40" i="18"/>
  <c r="AA40" i="18" s="1"/>
  <c r="S40" i="18"/>
  <c r="T40" i="18" s="1"/>
  <c r="P40" i="18"/>
  <c r="L40" i="18"/>
  <c r="Z39" i="18"/>
  <c r="AA39" i="18" s="1"/>
  <c r="S39" i="18"/>
  <c r="T39" i="18" s="1"/>
  <c r="P39" i="18"/>
  <c r="L39" i="18"/>
  <c r="Z38" i="18"/>
  <c r="AA38" i="18" s="1"/>
  <c r="S38" i="18"/>
  <c r="T38" i="18" s="1"/>
  <c r="P38" i="18"/>
  <c r="L38" i="18"/>
  <c r="S37" i="18"/>
  <c r="T37" i="18" s="1"/>
  <c r="P37" i="18"/>
  <c r="AB37" i="18" s="1"/>
  <c r="L37" i="18"/>
  <c r="S36" i="18"/>
  <c r="T36" i="18" s="1"/>
  <c r="P36" i="18"/>
  <c r="AB36" i="18" s="1"/>
  <c r="L36" i="18"/>
  <c r="Z35" i="18"/>
  <c r="AA35" i="18" s="1"/>
  <c r="S35" i="18"/>
  <c r="T35" i="18" s="1"/>
  <c r="P35" i="18"/>
  <c r="L35" i="18"/>
  <c r="S34" i="18"/>
  <c r="T34" i="18" s="1"/>
  <c r="P34" i="18"/>
  <c r="AB34" i="18" s="1"/>
  <c r="L34" i="18"/>
  <c r="S33" i="18"/>
  <c r="T33" i="18" s="1"/>
  <c r="P33" i="18"/>
  <c r="AB33" i="18" s="1"/>
  <c r="L33" i="18"/>
  <c r="Z32" i="18"/>
  <c r="AA32" i="18" s="1"/>
  <c r="S32" i="18"/>
  <c r="T32" i="18" s="1"/>
  <c r="P32" i="18"/>
  <c r="L32" i="18"/>
  <c r="Z31" i="18"/>
  <c r="AA31" i="18" s="1"/>
  <c r="S31" i="18"/>
  <c r="T31" i="18" s="1"/>
  <c r="P31" i="18"/>
  <c r="L31" i="18"/>
  <c r="S30" i="18"/>
  <c r="T30" i="18" s="1"/>
  <c r="P30" i="18"/>
  <c r="AB30" i="18" s="1"/>
  <c r="L30" i="18"/>
  <c r="S29" i="18"/>
  <c r="T29" i="18" s="1"/>
  <c r="P29" i="18"/>
  <c r="AB29" i="18" s="1"/>
  <c r="L29" i="18"/>
  <c r="Z28" i="18"/>
  <c r="AA28" i="18" s="1"/>
  <c r="S28" i="18"/>
  <c r="T28" i="18" s="1"/>
  <c r="P28" i="18"/>
  <c r="L28" i="18"/>
  <c r="Z27" i="18"/>
  <c r="AA27" i="18" s="1"/>
  <c r="S27" i="18"/>
  <c r="T27" i="18" s="1"/>
  <c r="P27" i="18"/>
  <c r="L27" i="18"/>
  <c r="S26" i="18"/>
  <c r="T26" i="18" s="1"/>
  <c r="P26" i="18"/>
  <c r="AB26" i="18" s="1"/>
  <c r="L26" i="18"/>
  <c r="Z25" i="18"/>
  <c r="AA25" i="18" s="1"/>
  <c r="S25" i="18"/>
  <c r="T25" i="18" s="1"/>
  <c r="P25" i="18"/>
  <c r="L25" i="18"/>
  <c r="S24" i="18"/>
  <c r="T24" i="18" s="1"/>
  <c r="P24" i="18"/>
  <c r="AB24" i="18" s="1"/>
  <c r="L24" i="18"/>
  <c r="Z23" i="18"/>
  <c r="AA23" i="18" s="1"/>
  <c r="S23" i="18"/>
  <c r="T23" i="18" s="1"/>
  <c r="P23" i="18"/>
  <c r="L23" i="18"/>
  <c r="S22" i="18"/>
  <c r="T22" i="18" s="1"/>
  <c r="P22" i="18"/>
  <c r="AB22" i="18" s="1"/>
  <c r="L22" i="18"/>
  <c r="Z21" i="18"/>
  <c r="AA21" i="18" s="1"/>
  <c r="S21" i="18"/>
  <c r="T21" i="18" s="1"/>
  <c r="P21" i="18"/>
  <c r="L21" i="18"/>
  <c r="S20" i="18"/>
  <c r="T20" i="18" s="1"/>
  <c r="P20" i="18"/>
  <c r="AB20" i="18" s="1"/>
  <c r="L20" i="18"/>
  <c r="S19" i="18"/>
  <c r="T19" i="18" s="1"/>
  <c r="P19" i="18"/>
  <c r="AB19" i="18" s="1"/>
  <c r="Z18" i="18"/>
  <c r="AA18" i="18" s="1"/>
  <c r="S18" i="18"/>
  <c r="T18" i="18" s="1"/>
  <c r="P18" i="18"/>
  <c r="L18" i="18"/>
  <c r="Z17" i="18"/>
  <c r="AA17" i="18" s="1"/>
  <c r="S17" i="18"/>
  <c r="T17" i="18" s="1"/>
  <c r="P17" i="18"/>
  <c r="L17" i="18"/>
  <c r="Z16" i="18"/>
  <c r="AA16" i="18" s="1"/>
  <c r="S16" i="18"/>
  <c r="T16" i="18" s="1"/>
  <c r="P16" i="18"/>
  <c r="L16" i="18"/>
  <c r="Z15" i="18"/>
  <c r="AA15" i="18" s="1"/>
  <c r="S15" i="18"/>
  <c r="T15" i="18" s="1"/>
  <c r="P15" i="18"/>
  <c r="L15" i="18"/>
  <c r="Z14" i="18"/>
  <c r="AA14" i="18" s="1"/>
  <c r="S14" i="18"/>
  <c r="T14" i="18" s="1"/>
  <c r="P14" i="18"/>
  <c r="L14" i="18"/>
  <c r="S13" i="18"/>
  <c r="T13" i="18" s="1"/>
  <c r="P13" i="18"/>
  <c r="AB13" i="18" s="1"/>
  <c r="L13" i="18"/>
  <c r="S12" i="18"/>
  <c r="T12" i="18" s="1"/>
  <c r="S11" i="18"/>
  <c r="T11" i="18" s="1"/>
  <c r="P11" i="18"/>
  <c r="AB11" i="18" s="1"/>
  <c r="L11" i="18"/>
  <c r="Z10" i="18"/>
  <c r="AA10" i="18" s="1"/>
  <c r="S10" i="18"/>
  <c r="T10" i="18" s="1"/>
  <c r="P10" i="18"/>
  <c r="L10" i="18"/>
  <c r="S12" i="16"/>
  <c r="T12" i="16" s="1"/>
  <c r="AB40" i="19" l="1"/>
  <c r="T58" i="19"/>
  <c r="T58" i="18"/>
  <c r="AB32" i="19"/>
  <c r="AB52" i="19"/>
  <c r="AB27" i="19"/>
  <c r="AB16" i="19"/>
  <c r="AB51" i="19"/>
  <c r="AB18" i="19"/>
  <c r="AB15" i="19"/>
  <c r="AB41" i="19"/>
  <c r="AB53" i="19"/>
  <c r="AB23" i="19"/>
  <c r="AB57" i="19"/>
  <c r="AB31" i="19"/>
  <c r="AB38" i="19"/>
  <c r="AB39" i="19"/>
  <c r="AB21" i="19"/>
  <c r="AB43" i="19"/>
  <c r="AB14" i="19"/>
  <c r="AB15" i="18"/>
  <c r="AB38" i="18"/>
  <c r="AB17" i="18"/>
  <c r="AB35" i="18"/>
  <c r="AB40" i="18"/>
  <c r="AB23" i="18"/>
  <c r="AB57" i="18"/>
  <c r="AB31" i="18"/>
  <c r="AB21" i="18"/>
  <c r="AB10" i="18"/>
  <c r="AB18" i="18"/>
  <c r="AB41" i="18"/>
  <c r="AB28" i="18"/>
  <c r="AB32" i="18"/>
  <c r="AB16" i="18"/>
  <c r="AB27" i="18"/>
  <c r="AB14" i="18"/>
  <c r="AB25" i="18"/>
  <c r="AB53" i="18"/>
  <c r="P29" i="19"/>
  <c r="AB29" i="19" s="1"/>
  <c r="L12" i="18"/>
  <c r="AB17" i="19"/>
  <c r="AB28" i="19"/>
  <c r="AB25" i="19"/>
  <c r="AB35" i="19"/>
  <c r="L13" i="19"/>
  <c r="AB43" i="18"/>
  <c r="AB52" i="18"/>
  <c r="AB39" i="18"/>
  <c r="AB51" i="18"/>
  <c r="L12" i="16"/>
  <c r="P12" i="16"/>
  <c r="AB12" i="16" s="1"/>
  <c r="J13" i="16"/>
  <c r="L13" i="16" s="1"/>
  <c r="L10" i="16"/>
  <c r="L14" i="16"/>
  <c r="L17" i="16"/>
  <c r="L24" i="16"/>
  <c r="L28" i="16"/>
  <c r="L32" i="16"/>
  <c r="L34" i="16"/>
  <c r="L35" i="16"/>
  <c r="L37" i="16"/>
  <c r="L39" i="16"/>
  <c r="Y57" i="17"/>
  <c r="X57" i="17"/>
  <c r="W57" i="17"/>
  <c r="V57" i="17"/>
  <c r="U57" i="17"/>
  <c r="Z56" i="17"/>
  <c r="AA56" i="17" s="1"/>
  <c r="S56" i="17"/>
  <c r="T56" i="17" s="1"/>
  <c r="AB56" i="17" s="1"/>
  <c r="P56" i="17"/>
  <c r="L56" i="17"/>
  <c r="Z55" i="17"/>
  <c r="AA55" i="17" s="1"/>
  <c r="S55" i="17"/>
  <c r="T55" i="17" s="1"/>
  <c r="AB55" i="17" s="1"/>
  <c r="P55" i="17"/>
  <c r="L55" i="17"/>
  <c r="Z54" i="17"/>
  <c r="AA54" i="17" s="1"/>
  <c r="S54" i="17"/>
  <c r="T54" i="17" s="1"/>
  <c r="AB54" i="17" s="1"/>
  <c r="P54" i="17"/>
  <c r="L54" i="17"/>
  <c r="Z53" i="17"/>
  <c r="AA53" i="17" s="1"/>
  <c r="S53" i="17"/>
  <c r="T53" i="17" s="1"/>
  <c r="AB53" i="17" s="1"/>
  <c r="P53" i="17"/>
  <c r="L53" i="17"/>
  <c r="Z52" i="17"/>
  <c r="AA52" i="17" s="1"/>
  <c r="S52" i="17"/>
  <c r="T52" i="17" s="1"/>
  <c r="AB52" i="17" s="1"/>
  <c r="P52" i="17"/>
  <c r="L52" i="17"/>
  <c r="Z51" i="17"/>
  <c r="AA51" i="17" s="1"/>
  <c r="S51" i="17"/>
  <c r="T51" i="17" s="1"/>
  <c r="AB51" i="17" s="1"/>
  <c r="P51" i="17"/>
  <c r="L51" i="17"/>
  <c r="Z50" i="17"/>
  <c r="AA50" i="17" s="1"/>
  <c r="S50" i="17"/>
  <c r="T50" i="17" s="1"/>
  <c r="AB50" i="17" s="1"/>
  <c r="P50" i="17"/>
  <c r="L50" i="17"/>
  <c r="P49" i="17"/>
  <c r="L49" i="17"/>
  <c r="P48" i="17"/>
  <c r="L48" i="17"/>
  <c r="Z47" i="17"/>
  <c r="AA47" i="17" s="1"/>
  <c r="S47" i="17"/>
  <c r="T47" i="17" s="1"/>
  <c r="AB47" i="17" s="1"/>
  <c r="P47" i="17"/>
  <c r="L47" i="17"/>
  <c r="Z46" i="17"/>
  <c r="AA46" i="17" s="1"/>
  <c r="S46" i="17"/>
  <c r="T46" i="17" s="1"/>
  <c r="AB46" i="17" s="1"/>
  <c r="P46" i="17"/>
  <c r="L46" i="17"/>
  <c r="Z45" i="17"/>
  <c r="AA45" i="17" s="1"/>
  <c r="S45" i="17"/>
  <c r="T45" i="17" s="1"/>
  <c r="AB45" i="17" s="1"/>
  <c r="P45" i="17"/>
  <c r="L45" i="17"/>
  <c r="N45" i="17" s="1"/>
  <c r="Z44" i="17"/>
  <c r="AA44" i="17" s="1"/>
  <c r="S44" i="17"/>
  <c r="T44" i="17" s="1"/>
  <c r="AB44" i="17" s="1"/>
  <c r="P44" i="17"/>
  <c r="L44" i="17"/>
  <c r="Z43" i="17"/>
  <c r="AA43" i="17" s="1"/>
  <c r="T43" i="17"/>
  <c r="AB43" i="17" s="1"/>
  <c r="S43" i="17"/>
  <c r="P43" i="17"/>
  <c r="L43" i="17"/>
  <c r="Z42" i="17"/>
  <c r="AA42" i="17" s="1"/>
  <c r="S42" i="17"/>
  <c r="T42" i="17" s="1"/>
  <c r="AB42" i="17" s="1"/>
  <c r="P42" i="17"/>
  <c r="L42" i="17"/>
  <c r="Z41" i="17"/>
  <c r="AA41" i="17" s="1"/>
  <c r="S41" i="17"/>
  <c r="T41" i="17" s="1"/>
  <c r="AB41" i="17" s="1"/>
  <c r="P41" i="17"/>
  <c r="L41" i="17"/>
  <c r="Z40" i="17"/>
  <c r="AA40" i="17" s="1"/>
  <c r="S40" i="17"/>
  <c r="T40" i="17" s="1"/>
  <c r="AB40" i="17" s="1"/>
  <c r="P40" i="17"/>
  <c r="L40" i="17"/>
  <c r="Z39" i="17"/>
  <c r="AA39" i="17" s="1"/>
  <c r="S39" i="17"/>
  <c r="T39" i="17" s="1"/>
  <c r="AB39" i="17" s="1"/>
  <c r="P39" i="17"/>
  <c r="L39" i="17"/>
  <c r="Z38" i="17"/>
  <c r="AA38" i="17" s="1"/>
  <c r="S38" i="17"/>
  <c r="T38" i="17" s="1"/>
  <c r="AB38" i="17" s="1"/>
  <c r="P38" i="17"/>
  <c r="L38" i="17"/>
  <c r="Z37" i="17"/>
  <c r="AA37" i="17" s="1"/>
  <c r="S37" i="17"/>
  <c r="T37" i="17" s="1"/>
  <c r="AB37" i="17" s="1"/>
  <c r="P37" i="17"/>
  <c r="L37" i="17"/>
  <c r="Z36" i="17"/>
  <c r="AA36" i="17" s="1"/>
  <c r="S36" i="17"/>
  <c r="T36" i="17" s="1"/>
  <c r="AB36" i="17" s="1"/>
  <c r="P36" i="17"/>
  <c r="L36" i="17"/>
  <c r="Z35" i="17"/>
  <c r="AA35" i="17" s="1"/>
  <c r="S35" i="17"/>
  <c r="T35" i="17" s="1"/>
  <c r="AB35" i="17" s="1"/>
  <c r="P35" i="17"/>
  <c r="L35" i="17"/>
  <c r="Z34" i="17"/>
  <c r="AA34" i="17" s="1"/>
  <c r="S34" i="17"/>
  <c r="T34" i="17" s="1"/>
  <c r="AB34" i="17" s="1"/>
  <c r="P34" i="17"/>
  <c r="L34" i="17"/>
  <c r="Z33" i="17"/>
  <c r="AA33" i="17" s="1"/>
  <c r="S33" i="17"/>
  <c r="T33" i="17" s="1"/>
  <c r="AB33" i="17" s="1"/>
  <c r="P33" i="17"/>
  <c r="L33" i="17"/>
  <c r="Z32" i="17"/>
  <c r="AA32" i="17" s="1"/>
  <c r="S32" i="17"/>
  <c r="T32" i="17" s="1"/>
  <c r="AB32" i="17" s="1"/>
  <c r="P32" i="17"/>
  <c r="L32" i="17"/>
  <c r="Z31" i="17"/>
  <c r="AA31" i="17" s="1"/>
  <c r="S31" i="17"/>
  <c r="T31" i="17" s="1"/>
  <c r="AB31" i="17" s="1"/>
  <c r="P31" i="17"/>
  <c r="L31" i="17"/>
  <c r="Z30" i="17"/>
  <c r="AA30" i="17" s="1"/>
  <c r="S30" i="17"/>
  <c r="T30" i="17" s="1"/>
  <c r="AB30" i="17" s="1"/>
  <c r="P30" i="17"/>
  <c r="L30" i="17"/>
  <c r="AA29" i="17"/>
  <c r="Z29" i="17"/>
  <c r="S29" i="17"/>
  <c r="T29" i="17" s="1"/>
  <c r="AB29" i="17" s="1"/>
  <c r="P29" i="17"/>
  <c r="L29" i="17"/>
  <c r="Z28" i="17"/>
  <c r="AA28" i="17" s="1"/>
  <c r="S28" i="17"/>
  <c r="T28" i="17" s="1"/>
  <c r="AB28" i="17" s="1"/>
  <c r="P28" i="17"/>
  <c r="L28" i="17"/>
  <c r="Z27" i="17"/>
  <c r="AA27" i="17" s="1"/>
  <c r="T27" i="17"/>
  <c r="AB27" i="17" s="1"/>
  <c r="S27" i="17"/>
  <c r="P27" i="17"/>
  <c r="L27" i="17"/>
  <c r="Z26" i="17"/>
  <c r="AA26" i="17" s="1"/>
  <c r="S26" i="17"/>
  <c r="T26" i="17" s="1"/>
  <c r="AB26" i="17" s="1"/>
  <c r="P26" i="17"/>
  <c r="L26" i="17"/>
  <c r="Z25" i="17"/>
  <c r="AA25" i="17" s="1"/>
  <c r="S25" i="17"/>
  <c r="T25" i="17" s="1"/>
  <c r="AB25" i="17" s="1"/>
  <c r="P25" i="17"/>
  <c r="L25" i="17"/>
  <c r="Z24" i="17"/>
  <c r="AA24" i="17" s="1"/>
  <c r="S24" i="17"/>
  <c r="T24" i="17" s="1"/>
  <c r="AB24" i="17" s="1"/>
  <c r="P24" i="17"/>
  <c r="L24" i="17"/>
  <c r="Z23" i="17"/>
  <c r="AA23" i="17" s="1"/>
  <c r="S23" i="17"/>
  <c r="T23" i="17" s="1"/>
  <c r="AB23" i="17" s="1"/>
  <c r="P23" i="17"/>
  <c r="L23" i="17"/>
  <c r="Z22" i="17"/>
  <c r="AA22" i="17" s="1"/>
  <c r="S22" i="17"/>
  <c r="T22" i="17" s="1"/>
  <c r="AB22" i="17" s="1"/>
  <c r="P22" i="17"/>
  <c r="L22" i="17"/>
  <c r="Z21" i="17"/>
  <c r="AA21" i="17" s="1"/>
  <c r="S21" i="17"/>
  <c r="T21" i="17" s="1"/>
  <c r="AB21" i="17" s="1"/>
  <c r="P21" i="17"/>
  <c r="L21" i="17"/>
  <c r="Z20" i="17"/>
  <c r="AA20" i="17" s="1"/>
  <c r="S20" i="17"/>
  <c r="T20" i="17" s="1"/>
  <c r="AB20" i="17" s="1"/>
  <c r="P20" i="17"/>
  <c r="L20" i="17"/>
  <c r="Z19" i="17"/>
  <c r="AA19" i="17" s="1"/>
  <c r="S19" i="17"/>
  <c r="T19" i="17" s="1"/>
  <c r="AB19" i="17" s="1"/>
  <c r="P19" i="17"/>
  <c r="L19" i="17"/>
  <c r="Z18" i="17"/>
  <c r="AA18" i="17" s="1"/>
  <c r="S18" i="17"/>
  <c r="T18" i="17" s="1"/>
  <c r="AB18" i="17" s="1"/>
  <c r="P18" i="17"/>
  <c r="L18" i="17"/>
  <c r="Z17" i="17"/>
  <c r="AA17" i="17" s="1"/>
  <c r="S17" i="17"/>
  <c r="T17" i="17" s="1"/>
  <c r="AB17" i="17" s="1"/>
  <c r="P17" i="17"/>
  <c r="L17" i="17"/>
  <c r="Z16" i="17"/>
  <c r="AA16" i="17" s="1"/>
  <c r="S16" i="17"/>
  <c r="T16" i="17" s="1"/>
  <c r="AB16" i="17" s="1"/>
  <c r="P16" i="17"/>
  <c r="L16" i="17"/>
  <c r="Z15" i="17"/>
  <c r="AA15" i="17" s="1"/>
  <c r="S15" i="17"/>
  <c r="T15" i="17" s="1"/>
  <c r="AB15" i="17" s="1"/>
  <c r="P15" i="17"/>
  <c r="L15" i="17"/>
  <c r="Z14" i="17"/>
  <c r="AA14" i="17" s="1"/>
  <c r="S14" i="17"/>
  <c r="T14" i="17" s="1"/>
  <c r="AB14" i="17" s="1"/>
  <c r="P14" i="17"/>
  <c r="L14" i="17"/>
  <c r="AA13" i="17"/>
  <c r="Z13" i="17"/>
  <c r="S13" i="17"/>
  <c r="T13" i="17" s="1"/>
  <c r="AB13" i="17" s="1"/>
  <c r="P13" i="17"/>
  <c r="L13" i="17"/>
  <c r="Z12" i="17"/>
  <c r="AA12" i="17" s="1"/>
  <c r="S12" i="17"/>
  <c r="T12" i="17" s="1"/>
  <c r="AB12" i="17" s="1"/>
  <c r="P12" i="17"/>
  <c r="P57" i="17" s="1"/>
  <c r="L12" i="17"/>
  <c r="Z11" i="17"/>
  <c r="AA11" i="17" s="1"/>
  <c r="T11" i="17"/>
  <c r="AB11" i="17" s="1"/>
  <c r="S11" i="17"/>
  <c r="P11" i="17"/>
  <c r="L11" i="17"/>
  <c r="Z10" i="17"/>
  <c r="AA10" i="17" s="1"/>
  <c r="AA57" i="17" s="1"/>
  <c r="S10" i="17"/>
  <c r="T10" i="17" s="1"/>
  <c r="P10" i="17"/>
  <c r="L10" i="17"/>
  <c r="Z57" i="16"/>
  <c r="AA57" i="16" s="1"/>
  <c r="S57" i="16"/>
  <c r="T57" i="16" s="1"/>
  <c r="P57" i="16"/>
  <c r="L57" i="16"/>
  <c r="S56" i="16"/>
  <c r="T56" i="16" s="1"/>
  <c r="P56" i="16"/>
  <c r="AB56" i="16" s="1"/>
  <c r="L56" i="16"/>
  <c r="S55" i="16"/>
  <c r="T55" i="16" s="1"/>
  <c r="P55" i="16"/>
  <c r="AB55" i="16" s="1"/>
  <c r="L55" i="16"/>
  <c r="S54" i="16"/>
  <c r="T54" i="16" s="1"/>
  <c r="P54" i="16"/>
  <c r="AB54" i="16" s="1"/>
  <c r="L54" i="16"/>
  <c r="S53" i="16"/>
  <c r="T53" i="16" s="1"/>
  <c r="P53" i="16"/>
  <c r="AB53" i="16" s="1"/>
  <c r="L53" i="16"/>
  <c r="Z52" i="16"/>
  <c r="AA52" i="16" s="1"/>
  <c r="S52" i="16"/>
  <c r="T52" i="16" s="1"/>
  <c r="P52" i="16"/>
  <c r="L52" i="16"/>
  <c r="Z51" i="16"/>
  <c r="AA51" i="16" s="1"/>
  <c r="S51" i="16"/>
  <c r="T51" i="16" s="1"/>
  <c r="P51" i="16"/>
  <c r="L51" i="16"/>
  <c r="P50" i="16"/>
  <c r="AB50" i="16" s="1"/>
  <c r="L50" i="16"/>
  <c r="P49" i="16"/>
  <c r="AB49" i="16" s="1"/>
  <c r="L49" i="16"/>
  <c r="S48" i="16"/>
  <c r="T48" i="16" s="1"/>
  <c r="P48" i="16"/>
  <c r="AB48" i="16" s="1"/>
  <c r="L48" i="16"/>
  <c r="S47" i="16"/>
  <c r="T47" i="16" s="1"/>
  <c r="P47" i="16"/>
  <c r="AB47" i="16" s="1"/>
  <c r="L47" i="16"/>
  <c r="S46" i="16"/>
  <c r="T46" i="16" s="1"/>
  <c r="P46" i="16"/>
  <c r="AB46" i="16" s="1"/>
  <c r="L46" i="16"/>
  <c r="N46" i="16" s="1"/>
  <c r="S45" i="16"/>
  <c r="T45" i="16" s="1"/>
  <c r="P45" i="16"/>
  <c r="AB45" i="16" s="1"/>
  <c r="L45" i="16"/>
  <c r="S44" i="16"/>
  <c r="T44" i="16" s="1"/>
  <c r="P44" i="16"/>
  <c r="AB44" i="16" s="1"/>
  <c r="L44" i="16"/>
  <c r="Z43" i="16"/>
  <c r="AA43" i="16" s="1"/>
  <c r="S43" i="16"/>
  <c r="T43" i="16" s="1"/>
  <c r="P43" i="16"/>
  <c r="L43" i="16"/>
  <c r="S42" i="16"/>
  <c r="T42" i="16" s="1"/>
  <c r="P42" i="16"/>
  <c r="AB42" i="16" s="1"/>
  <c r="L42" i="16"/>
  <c r="Z41" i="16"/>
  <c r="AA41" i="16" s="1"/>
  <c r="S41" i="16"/>
  <c r="T41" i="16" s="1"/>
  <c r="P41" i="16"/>
  <c r="L41" i="16"/>
  <c r="Z40" i="16"/>
  <c r="AA40" i="16" s="1"/>
  <c r="S40" i="16"/>
  <c r="T40" i="16" s="1"/>
  <c r="P40" i="16"/>
  <c r="L40" i="16"/>
  <c r="S39" i="16"/>
  <c r="T39" i="16" s="1"/>
  <c r="P39" i="16"/>
  <c r="AB39" i="16" s="1"/>
  <c r="Z38" i="16"/>
  <c r="AA38" i="16" s="1"/>
  <c r="S38" i="16"/>
  <c r="T38" i="16" s="1"/>
  <c r="P38" i="16"/>
  <c r="L38" i="16"/>
  <c r="S37" i="16"/>
  <c r="T37" i="16" s="1"/>
  <c r="P37" i="16"/>
  <c r="AB37" i="16" s="1"/>
  <c r="S36" i="16"/>
  <c r="T36" i="16" s="1"/>
  <c r="P36" i="16"/>
  <c r="AB36" i="16" s="1"/>
  <c r="L36" i="16"/>
  <c r="S35" i="16"/>
  <c r="T35" i="16" s="1"/>
  <c r="P35" i="16"/>
  <c r="AB35" i="16" s="1"/>
  <c r="S34" i="16"/>
  <c r="T34" i="16" s="1"/>
  <c r="P34" i="16"/>
  <c r="AB34" i="16" s="1"/>
  <c r="S33" i="16"/>
  <c r="T33" i="16" s="1"/>
  <c r="P33" i="16"/>
  <c r="AB33" i="16" s="1"/>
  <c r="L33" i="16"/>
  <c r="S32" i="16"/>
  <c r="T32" i="16" s="1"/>
  <c r="P32" i="16"/>
  <c r="AB32" i="16" s="1"/>
  <c r="Z31" i="16"/>
  <c r="AA31" i="16" s="1"/>
  <c r="S31" i="16"/>
  <c r="T31" i="16" s="1"/>
  <c r="P31" i="16"/>
  <c r="L31" i="16"/>
  <c r="S30" i="16"/>
  <c r="T30" i="16" s="1"/>
  <c r="P30" i="16"/>
  <c r="AB30" i="16" s="1"/>
  <c r="L30" i="16"/>
  <c r="S29" i="16"/>
  <c r="T29" i="16" s="1"/>
  <c r="P29" i="16"/>
  <c r="AB29" i="16" s="1"/>
  <c r="L29" i="16"/>
  <c r="S28" i="16"/>
  <c r="T28" i="16" s="1"/>
  <c r="P28" i="16"/>
  <c r="AB28" i="16" s="1"/>
  <c r="Z27" i="16"/>
  <c r="AA27" i="16" s="1"/>
  <c r="S27" i="16"/>
  <c r="T27" i="16" s="1"/>
  <c r="P27" i="16"/>
  <c r="L27" i="16"/>
  <c r="S26" i="16"/>
  <c r="T26" i="16" s="1"/>
  <c r="P26" i="16"/>
  <c r="AB26" i="16" s="1"/>
  <c r="L26" i="16"/>
  <c r="Z25" i="16"/>
  <c r="AA25" i="16" s="1"/>
  <c r="S25" i="16"/>
  <c r="T25" i="16" s="1"/>
  <c r="P25" i="16"/>
  <c r="L25" i="16"/>
  <c r="S24" i="16"/>
  <c r="T24" i="16" s="1"/>
  <c r="P24" i="16"/>
  <c r="AB24" i="16" s="1"/>
  <c r="Z23" i="16"/>
  <c r="AA23" i="16" s="1"/>
  <c r="S23" i="16"/>
  <c r="T23" i="16" s="1"/>
  <c r="P23" i="16"/>
  <c r="L23" i="16"/>
  <c r="S22" i="16"/>
  <c r="T22" i="16" s="1"/>
  <c r="P22" i="16"/>
  <c r="AB22" i="16" s="1"/>
  <c r="L22" i="16"/>
  <c r="Z21" i="16"/>
  <c r="AA21" i="16" s="1"/>
  <c r="S21" i="16"/>
  <c r="T21" i="16" s="1"/>
  <c r="P21" i="16"/>
  <c r="L21" i="16"/>
  <c r="S20" i="16"/>
  <c r="T20" i="16" s="1"/>
  <c r="P20" i="16"/>
  <c r="AB20" i="16" s="1"/>
  <c r="L20" i="16"/>
  <c r="S19" i="16"/>
  <c r="T19" i="16" s="1"/>
  <c r="P19" i="16"/>
  <c r="AB19" i="16" s="1"/>
  <c r="Z18" i="16"/>
  <c r="AA18" i="16" s="1"/>
  <c r="S18" i="16"/>
  <c r="T18" i="16" s="1"/>
  <c r="P18" i="16"/>
  <c r="L18" i="16"/>
  <c r="S17" i="16"/>
  <c r="T17" i="16" s="1"/>
  <c r="P17" i="16"/>
  <c r="AB17" i="16" s="1"/>
  <c r="Z16" i="16"/>
  <c r="AA16" i="16" s="1"/>
  <c r="S16" i="16"/>
  <c r="T16" i="16" s="1"/>
  <c r="P16" i="16"/>
  <c r="L16" i="16"/>
  <c r="Z15" i="16"/>
  <c r="AA15" i="16" s="1"/>
  <c r="S15" i="16"/>
  <c r="T15" i="16" s="1"/>
  <c r="P15" i="16"/>
  <c r="L15" i="16"/>
  <c r="S14" i="16"/>
  <c r="T14" i="16" s="1"/>
  <c r="P14" i="16"/>
  <c r="AB14" i="16" s="1"/>
  <c r="S13" i="16"/>
  <c r="T13" i="16" s="1"/>
  <c r="S11" i="16"/>
  <c r="T11" i="16" s="1"/>
  <c r="P11" i="16"/>
  <c r="AB11" i="16" s="1"/>
  <c r="L11" i="16"/>
  <c r="Z10" i="16"/>
  <c r="AA10" i="16" s="1"/>
  <c r="S10" i="16"/>
  <c r="T10" i="16" s="1"/>
  <c r="P10" i="16"/>
  <c r="J28" i="13"/>
  <c r="J58" i="13" s="1"/>
  <c r="K10" i="13"/>
  <c r="K58" i="13" s="1"/>
  <c r="P58" i="13" l="1"/>
  <c r="T58" i="16"/>
  <c r="L58" i="13"/>
  <c r="AB10" i="19"/>
  <c r="AB58" i="19" s="1"/>
  <c r="AB58" i="18"/>
  <c r="P13" i="16"/>
  <c r="AB21" i="16"/>
  <c r="AB31" i="16"/>
  <c r="AB40" i="16"/>
  <c r="AB25" i="16"/>
  <c r="AB18" i="16"/>
  <c r="AB51" i="16"/>
  <c r="AB43" i="16"/>
  <c r="AB15" i="16"/>
  <c r="AB27" i="16"/>
  <c r="AB52" i="16"/>
  <c r="AB23" i="16"/>
  <c r="AB16" i="16"/>
  <c r="AB41" i="16"/>
  <c r="AB57" i="16"/>
  <c r="AB38" i="16"/>
  <c r="AB10" i="17"/>
  <c r="AB57" i="17" s="1"/>
  <c r="T57" i="17"/>
  <c r="Z57" i="17"/>
  <c r="AB13" i="16" l="1"/>
  <c r="AB10" i="16"/>
  <c r="AB58" i="16" l="1"/>
  <c r="J28" i="12"/>
  <c r="P13" i="12"/>
  <c r="AB13" i="12" s="1"/>
  <c r="J28" i="11"/>
  <c r="J13" i="11"/>
  <c r="K10" i="11"/>
  <c r="J28" i="10"/>
  <c r="J13" i="10"/>
  <c r="L13" i="10" s="1"/>
  <c r="K28" i="9"/>
  <c r="J28" i="9"/>
  <c r="J13" i="9"/>
  <c r="K10" i="9"/>
  <c r="P10" i="9" s="1"/>
  <c r="AB10" i="9" s="1"/>
  <c r="S57" i="15"/>
  <c r="T57" i="15" s="1"/>
  <c r="P57" i="15"/>
  <c r="AB57" i="15" s="1"/>
  <c r="L57" i="15"/>
  <c r="S56" i="15"/>
  <c r="T56" i="15" s="1"/>
  <c r="P56" i="15"/>
  <c r="AB56" i="15" s="1"/>
  <c r="L56" i="15"/>
  <c r="S55" i="15"/>
  <c r="T55" i="15" s="1"/>
  <c r="P55" i="15"/>
  <c r="AB55" i="15" s="1"/>
  <c r="L55" i="15"/>
  <c r="S54" i="15"/>
  <c r="T54" i="15" s="1"/>
  <c r="P54" i="15"/>
  <c r="AB54" i="15" s="1"/>
  <c r="L54" i="15"/>
  <c r="S53" i="15"/>
  <c r="T53" i="15" s="1"/>
  <c r="P53" i="15"/>
  <c r="AB53" i="15" s="1"/>
  <c r="L53" i="15"/>
  <c r="S52" i="15"/>
  <c r="T52" i="15" s="1"/>
  <c r="P52" i="15"/>
  <c r="AB52" i="15" s="1"/>
  <c r="L52" i="15"/>
  <c r="S51" i="15"/>
  <c r="T51" i="15" s="1"/>
  <c r="P51" i="15"/>
  <c r="AB51" i="15" s="1"/>
  <c r="L51" i="15"/>
  <c r="P50" i="15"/>
  <c r="AB50" i="15" s="1"/>
  <c r="L50" i="15"/>
  <c r="P49" i="15"/>
  <c r="AB49" i="15" s="1"/>
  <c r="L49" i="15"/>
  <c r="S48" i="15"/>
  <c r="T48" i="15" s="1"/>
  <c r="P48" i="15"/>
  <c r="AB48" i="15" s="1"/>
  <c r="L48" i="15"/>
  <c r="S47" i="15"/>
  <c r="T47" i="15" s="1"/>
  <c r="P47" i="15"/>
  <c r="AB47" i="15" s="1"/>
  <c r="L47" i="15"/>
  <c r="S46" i="15"/>
  <c r="T46" i="15" s="1"/>
  <c r="P46" i="15"/>
  <c r="AB46" i="15" s="1"/>
  <c r="L46" i="15"/>
  <c r="N46" i="15" s="1"/>
  <c r="S45" i="15"/>
  <c r="T45" i="15" s="1"/>
  <c r="P45" i="15"/>
  <c r="AB45" i="15" s="1"/>
  <c r="L45" i="15"/>
  <c r="S44" i="15"/>
  <c r="T44" i="15" s="1"/>
  <c r="P44" i="15"/>
  <c r="AB44" i="15" s="1"/>
  <c r="L44" i="15"/>
  <c r="S43" i="15"/>
  <c r="T43" i="15" s="1"/>
  <c r="P43" i="15"/>
  <c r="AB43" i="15" s="1"/>
  <c r="L43" i="15"/>
  <c r="S42" i="15"/>
  <c r="T42" i="15" s="1"/>
  <c r="P42" i="15"/>
  <c r="AB42" i="15" s="1"/>
  <c r="L42" i="15"/>
  <c r="S41" i="15"/>
  <c r="T41" i="15" s="1"/>
  <c r="P41" i="15"/>
  <c r="AB41" i="15" s="1"/>
  <c r="L41" i="15"/>
  <c r="S40" i="15"/>
  <c r="T40" i="15" s="1"/>
  <c r="P40" i="15"/>
  <c r="AB40" i="15" s="1"/>
  <c r="L40" i="15"/>
  <c r="S39" i="15"/>
  <c r="T39" i="15" s="1"/>
  <c r="P39" i="15"/>
  <c r="AB39" i="15" s="1"/>
  <c r="L39" i="15"/>
  <c r="S38" i="15"/>
  <c r="T38" i="15" s="1"/>
  <c r="P38" i="15"/>
  <c r="AB38" i="15" s="1"/>
  <c r="L38" i="15"/>
  <c r="S37" i="15"/>
  <c r="T37" i="15" s="1"/>
  <c r="P37" i="15"/>
  <c r="AB37" i="15" s="1"/>
  <c r="L37" i="15"/>
  <c r="S36" i="15"/>
  <c r="T36" i="15" s="1"/>
  <c r="P36" i="15"/>
  <c r="AB36" i="15" s="1"/>
  <c r="L36" i="15"/>
  <c r="S35" i="15"/>
  <c r="T35" i="15" s="1"/>
  <c r="P35" i="15"/>
  <c r="AB35" i="15" s="1"/>
  <c r="L35" i="15"/>
  <c r="S34" i="15"/>
  <c r="T34" i="15" s="1"/>
  <c r="P34" i="15"/>
  <c r="AB34" i="15" s="1"/>
  <c r="L34" i="15"/>
  <c r="S33" i="15"/>
  <c r="T33" i="15" s="1"/>
  <c r="P33" i="15"/>
  <c r="AB33" i="15" s="1"/>
  <c r="L33" i="15"/>
  <c r="S32" i="15"/>
  <c r="T32" i="15" s="1"/>
  <c r="P32" i="15"/>
  <c r="AB32" i="15" s="1"/>
  <c r="L32" i="15"/>
  <c r="S31" i="15"/>
  <c r="T31" i="15" s="1"/>
  <c r="P31" i="15"/>
  <c r="AB31" i="15" s="1"/>
  <c r="L31" i="15"/>
  <c r="S30" i="15"/>
  <c r="T30" i="15" s="1"/>
  <c r="P30" i="15"/>
  <c r="AB30" i="15" s="1"/>
  <c r="L30" i="15"/>
  <c r="S29" i="15"/>
  <c r="T29" i="15" s="1"/>
  <c r="P29" i="15"/>
  <c r="AB29" i="15" s="1"/>
  <c r="L29" i="15"/>
  <c r="S28" i="15"/>
  <c r="T28" i="15" s="1"/>
  <c r="P28" i="15"/>
  <c r="AB28" i="15" s="1"/>
  <c r="L28" i="15"/>
  <c r="S27" i="15"/>
  <c r="T27" i="15" s="1"/>
  <c r="P27" i="15"/>
  <c r="AB27" i="15" s="1"/>
  <c r="L27" i="15"/>
  <c r="S26" i="15"/>
  <c r="T26" i="15" s="1"/>
  <c r="P26" i="15"/>
  <c r="AB26" i="15" s="1"/>
  <c r="L26" i="15"/>
  <c r="S25" i="15"/>
  <c r="T25" i="15" s="1"/>
  <c r="P25" i="15"/>
  <c r="AB25" i="15" s="1"/>
  <c r="L25" i="15"/>
  <c r="S24" i="15"/>
  <c r="T24" i="15" s="1"/>
  <c r="P24" i="15"/>
  <c r="AB24" i="15" s="1"/>
  <c r="L24" i="15"/>
  <c r="S23" i="15"/>
  <c r="T23" i="15" s="1"/>
  <c r="AB23" i="15"/>
  <c r="L23" i="15"/>
  <c r="S22" i="15"/>
  <c r="T22" i="15" s="1"/>
  <c r="P22" i="15"/>
  <c r="AB22" i="15" s="1"/>
  <c r="L22" i="15"/>
  <c r="S21" i="15"/>
  <c r="T21" i="15" s="1"/>
  <c r="P21" i="15"/>
  <c r="AB21" i="15" s="1"/>
  <c r="L21" i="15"/>
  <c r="S20" i="15"/>
  <c r="T20" i="15" s="1"/>
  <c r="P20" i="15"/>
  <c r="AB20" i="15" s="1"/>
  <c r="L20" i="15"/>
  <c r="S19" i="15"/>
  <c r="T19" i="15" s="1"/>
  <c r="P19" i="15"/>
  <c r="AB19" i="15" s="1"/>
  <c r="L19" i="15"/>
  <c r="S18" i="15"/>
  <c r="T18" i="15" s="1"/>
  <c r="P18" i="15"/>
  <c r="AB18" i="15" s="1"/>
  <c r="L18" i="15"/>
  <c r="S17" i="15"/>
  <c r="T17" i="15" s="1"/>
  <c r="P17" i="15"/>
  <c r="AB17" i="15" s="1"/>
  <c r="L17" i="15"/>
  <c r="S16" i="15"/>
  <c r="T16" i="15" s="1"/>
  <c r="P16" i="15"/>
  <c r="AB16" i="15" s="1"/>
  <c r="L16" i="15"/>
  <c r="S15" i="15"/>
  <c r="T15" i="15" s="1"/>
  <c r="P15" i="15"/>
  <c r="AB15" i="15" s="1"/>
  <c r="L15" i="15"/>
  <c r="S14" i="15"/>
  <c r="T14" i="15" s="1"/>
  <c r="P14" i="15"/>
  <c r="AB14" i="15" s="1"/>
  <c r="L14" i="15"/>
  <c r="S13" i="15"/>
  <c r="T13" i="15" s="1"/>
  <c r="P13" i="15"/>
  <c r="AB13" i="15" s="1"/>
  <c r="L13" i="15"/>
  <c r="S11" i="15"/>
  <c r="T11" i="15" s="1"/>
  <c r="P11" i="15"/>
  <c r="AB11" i="15" s="1"/>
  <c r="L11" i="15"/>
  <c r="S10" i="15"/>
  <c r="T10" i="15" s="1"/>
  <c r="P10" i="15"/>
  <c r="AB10" i="15" s="1"/>
  <c r="L10" i="15"/>
  <c r="Z57" i="14"/>
  <c r="AA57" i="14" s="1"/>
  <c r="S57" i="14"/>
  <c r="T57" i="14" s="1"/>
  <c r="P57" i="14"/>
  <c r="L57" i="14"/>
  <c r="S56" i="14"/>
  <c r="T56" i="14" s="1"/>
  <c r="P56" i="14"/>
  <c r="AB56" i="14" s="1"/>
  <c r="L56" i="14"/>
  <c r="S55" i="14"/>
  <c r="T55" i="14" s="1"/>
  <c r="P55" i="14"/>
  <c r="AB55" i="14" s="1"/>
  <c r="L55" i="14"/>
  <c r="Z54" i="14"/>
  <c r="AA54" i="14" s="1"/>
  <c r="S54" i="14"/>
  <c r="T54" i="14" s="1"/>
  <c r="P54" i="14"/>
  <c r="L54" i="14"/>
  <c r="S53" i="14"/>
  <c r="T53" i="14" s="1"/>
  <c r="P53" i="14"/>
  <c r="AB53" i="14" s="1"/>
  <c r="L53" i="14"/>
  <c r="Z52" i="14"/>
  <c r="AA52" i="14" s="1"/>
  <c r="S52" i="14"/>
  <c r="T52" i="14" s="1"/>
  <c r="P52" i="14"/>
  <c r="L52" i="14"/>
  <c r="Z51" i="14"/>
  <c r="AA51" i="14" s="1"/>
  <c r="S51" i="14"/>
  <c r="T51" i="14" s="1"/>
  <c r="P51" i="14"/>
  <c r="L51" i="14"/>
  <c r="P50" i="14"/>
  <c r="AB50" i="14" s="1"/>
  <c r="L50" i="14"/>
  <c r="P49" i="14"/>
  <c r="AB49" i="14" s="1"/>
  <c r="L49" i="14"/>
  <c r="S48" i="14"/>
  <c r="T48" i="14" s="1"/>
  <c r="P48" i="14"/>
  <c r="AB48" i="14" s="1"/>
  <c r="L48" i="14"/>
  <c r="S47" i="14"/>
  <c r="T47" i="14" s="1"/>
  <c r="P47" i="14"/>
  <c r="AB47" i="14" s="1"/>
  <c r="L47" i="14"/>
  <c r="S46" i="14"/>
  <c r="T46" i="14" s="1"/>
  <c r="P46" i="14"/>
  <c r="AB46" i="14" s="1"/>
  <c r="L46" i="14"/>
  <c r="N46" i="14" s="1"/>
  <c r="S45" i="14"/>
  <c r="T45" i="14" s="1"/>
  <c r="P45" i="14"/>
  <c r="AB45" i="14" s="1"/>
  <c r="L45" i="14"/>
  <c r="S44" i="14"/>
  <c r="T44" i="14" s="1"/>
  <c r="P44" i="14"/>
  <c r="AB44" i="14" s="1"/>
  <c r="L44" i="14"/>
  <c r="Z43" i="14"/>
  <c r="AA43" i="14" s="1"/>
  <c r="S43" i="14"/>
  <c r="T43" i="14" s="1"/>
  <c r="P43" i="14"/>
  <c r="L43" i="14"/>
  <c r="S42" i="14"/>
  <c r="T42" i="14" s="1"/>
  <c r="P42" i="14"/>
  <c r="AB42" i="14" s="1"/>
  <c r="L42" i="14"/>
  <c r="Z41" i="14"/>
  <c r="AA41" i="14" s="1"/>
  <c r="S41" i="14"/>
  <c r="T41" i="14" s="1"/>
  <c r="P41" i="14"/>
  <c r="L41" i="14"/>
  <c r="Z40" i="14"/>
  <c r="AA40" i="14" s="1"/>
  <c r="S40" i="14"/>
  <c r="T40" i="14" s="1"/>
  <c r="P40" i="14"/>
  <c r="L40" i="14"/>
  <c r="S39" i="14"/>
  <c r="T39" i="14" s="1"/>
  <c r="P39" i="14"/>
  <c r="AB39" i="14" s="1"/>
  <c r="L39" i="14"/>
  <c r="Z38" i="14"/>
  <c r="AA38" i="14" s="1"/>
  <c r="S38" i="14"/>
  <c r="T38" i="14" s="1"/>
  <c r="P38" i="14"/>
  <c r="L38" i="14"/>
  <c r="S37" i="14"/>
  <c r="T37" i="14" s="1"/>
  <c r="P37" i="14"/>
  <c r="AB37" i="14" s="1"/>
  <c r="L37" i="14"/>
  <c r="Z36" i="14"/>
  <c r="AA36" i="14" s="1"/>
  <c r="S36" i="14"/>
  <c r="T36" i="14" s="1"/>
  <c r="P36" i="14"/>
  <c r="L36" i="14"/>
  <c r="S35" i="14"/>
  <c r="T35" i="14" s="1"/>
  <c r="P35" i="14"/>
  <c r="AB35" i="14" s="1"/>
  <c r="L35" i="14"/>
  <c r="S34" i="14"/>
  <c r="T34" i="14" s="1"/>
  <c r="P34" i="14"/>
  <c r="AB34" i="14" s="1"/>
  <c r="L34" i="14"/>
  <c r="Z33" i="14"/>
  <c r="AA33" i="14" s="1"/>
  <c r="S33" i="14"/>
  <c r="T33" i="14" s="1"/>
  <c r="P33" i="14"/>
  <c r="L33" i="14"/>
  <c r="S32" i="14"/>
  <c r="T32" i="14" s="1"/>
  <c r="P32" i="14"/>
  <c r="AB32" i="14" s="1"/>
  <c r="L32" i="14"/>
  <c r="Z31" i="14"/>
  <c r="AA31" i="14" s="1"/>
  <c r="S31" i="14"/>
  <c r="T31" i="14" s="1"/>
  <c r="P31" i="14"/>
  <c r="L31" i="14"/>
  <c r="Z30" i="14"/>
  <c r="AA30" i="14" s="1"/>
  <c r="S30" i="14"/>
  <c r="T30" i="14" s="1"/>
  <c r="P30" i="14"/>
  <c r="L30" i="14"/>
  <c r="Z29" i="14"/>
  <c r="AA29" i="14" s="1"/>
  <c r="S29" i="14"/>
  <c r="T29" i="14" s="1"/>
  <c r="P29" i="14"/>
  <c r="L29" i="14"/>
  <c r="S28" i="14"/>
  <c r="T28" i="14" s="1"/>
  <c r="P28" i="14"/>
  <c r="AB28" i="14" s="1"/>
  <c r="L28" i="14"/>
  <c r="Z27" i="14"/>
  <c r="AA27" i="14" s="1"/>
  <c r="S27" i="14"/>
  <c r="T27" i="14" s="1"/>
  <c r="P27" i="14"/>
  <c r="L27" i="14"/>
  <c r="Z26" i="14"/>
  <c r="AA26" i="14" s="1"/>
  <c r="S26" i="14"/>
  <c r="T26" i="14" s="1"/>
  <c r="P26" i="14"/>
  <c r="L26" i="14"/>
  <c r="Z25" i="14"/>
  <c r="AA25" i="14" s="1"/>
  <c r="S25" i="14"/>
  <c r="T25" i="14" s="1"/>
  <c r="P25" i="14"/>
  <c r="L25" i="14"/>
  <c r="S24" i="14"/>
  <c r="T24" i="14" s="1"/>
  <c r="P24" i="14"/>
  <c r="AB24" i="14" s="1"/>
  <c r="L24" i="14"/>
  <c r="Z23" i="14"/>
  <c r="AA23" i="14" s="1"/>
  <c r="S23" i="14"/>
  <c r="T23" i="14" s="1"/>
  <c r="P23" i="14"/>
  <c r="L23" i="14"/>
  <c r="Z22" i="14"/>
  <c r="AA22" i="14" s="1"/>
  <c r="S22" i="14"/>
  <c r="T22" i="14" s="1"/>
  <c r="P22" i="14"/>
  <c r="L22" i="14"/>
  <c r="Z21" i="14"/>
  <c r="AA21" i="14" s="1"/>
  <c r="S21" i="14"/>
  <c r="T21" i="14" s="1"/>
  <c r="P21" i="14"/>
  <c r="L21" i="14"/>
  <c r="Z20" i="14"/>
  <c r="AA20" i="14" s="1"/>
  <c r="S20" i="14"/>
  <c r="T20" i="14" s="1"/>
  <c r="P20" i="14"/>
  <c r="L20" i="14"/>
  <c r="Z19" i="14"/>
  <c r="AA19" i="14" s="1"/>
  <c r="S19" i="14"/>
  <c r="T19" i="14" s="1"/>
  <c r="P19" i="14"/>
  <c r="L19" i="14"/>
  <c r="Z18" i="14"/>
  <c r="AA18" i="14" s="1"/>
  <c r="S18" i="14"/>
  <c r="T18" i="14" s="1"/>
  <c r="P18" i="14"/>
  <c r="L18" i="14"/>
  <c r="S17" i="14"/>
  <c r="T17" i="14" s="1"/>
  <c r="P17" i="14"/>
  <c r="AB17" i="14" s="1"/>
  <c r="L17" i="14"/>
  <c r="Z16" i="14"/>
  <c r="AA16" i="14" s="1"/>
  <c r="S16" i="14"/>
  <c r="T16" i="14" s="1"/>
  <c r="P16" i="14"/>
  <c r="L16" i="14"/>
  <c r="Z15" i="14"/>
  <c r="AA15" i="14" s="1"/>
  <c r="S15" i="14"/>
  <c r="T15" i="14" s="1"/>
  <c r="P15" i="14"/>
  <c r="L15" i="14"/>
  <c r="S14" i="14"/>
  <c r="T14" i="14" s="1"/>
  <c r="P14" i="14"/>
  <c r="AB14" i="14" s="1"/>
  <c r="L14" i="14"/>
  <c r="S13" i="14"/>
  <c r="T13" i="14" s="1"/>
  <c r="P13" i="14"/>
  <c r="AB13" i="14" s="1"/>
  <c r="L13" i="14"/>
  <c r="Z11" i="14"/>
  <c r="AA11" i="14" s="1"/>
  <c r="S11" i="14"/>
  <c r="T11" i="14" s="1"/>
  <c r="P11" i="14"/>
  <c r="L11" i="14"/>
  <c r="S10" i="14"/>
  <c r="T10" i="14" s="1"/>
  <c r="P10" i="14"/>
  <c r="AB10" i="14" s="1"/>
  <c r="L10" i="14"/>
  <c r="Z57" i="13"/>
  <c r="AA57" i="13" s="1"/>
  <c r="S57" i="13"/>
  <c r="T57" i="13" s="1"/>
  <c r="P57" i="13"/>
  <c r="L57" i="13"/>
  <c r="S56" i="13"/>
  <c r="T56" i="13" s="1"/>
  <c r="P56" i="13"/>
  <c r="AB56" i="13" s="1"/>
  <c r="L56" i="13"/>
  <c r="S55" i="13"/>
  <c r="T55" i="13" s="1"/>
  <c r="P55" i="13"/>
  <c r="AB55" i="13" s="1"/>
  <c r="L55" i="13"/>
  <c r="Z54" i="13"/>
  <c r="AA54" i="13" s="1"/>
  <c r="S54" i="13"/>
  <c r="T54" i="13" s="1"/>
  <c r="P54" i="13"/>
  <c r="L54" i="13"/>
  <c r="S53" i="13"/>
  <c r="T53" i="13" s="1"/>
  <c r="P53" i="13"/>
  <c r="AB53" i="13" s="1"/>
  <c r="L53" i="13"/>
  <c r="Z52" i="13"/>
  <c r="AA52" i="13" s="1"/>
  <c r="S52" i="13"/>
  <c r="T52" i="13" s="1"/>
  <c r="P52" i="13"/>
  <c r="L52" i="13"/>
  <c r="Z51" i="13"/>
  <c r="AA51" i="13" s="1"/>
  <c r="S51" i="13"/>
  <c r="T51" i="13" s="1"/>
  <c r="P51" i="13"/>
  <c r="L51" i="13"/>
  <c r="P50" i="13"/>
  <c r="AB50" i="13" s="1"/>
  <c r="L50" i="13"/>
  <c r="P49" i="13"/>
  <c r="AB49" i="13" s="1"/>
  <c r="L49" i="13"/>
  <c r="S48" i="13"/>
  <c r="T48" i="13" s="1"/>
  <c r="P48" i="13"/>
  <c r="AB48" i="13" s="1"/>
  <c r="L48" i="13"/>
  <c r="S47" i="13"/>
  <c r="T47" i="13" s="1"/>
  <c r="P47" i="13"/>
  <c r="AB47" i="13" s="1"/>
  <c r="L47" i="13"/>
  <c r="S46" i="13"/>
  <c r="T46" i="13" s="1"/>
  <c r="P46" i="13"/>
  <c r="AB46" i="13" s="1"/>
  <c r="L46" i="13"/>
  <c r="N46" i="13" s="1"/>
  <c r="S45" i="13"/>
  <c r="T45" i="13" s="1"/>
  <c r="P45" i="13"/>
  <c r="AB45" i="13" s="1"/>
  <c r="L45" i="13"/>
  <c r="S44" i="13"/>
  <c r="T44" i="13" s="1"/>
  <c r="P44" i="13"/>
  <c r="AB44" i="13" s="1"/>
  <c r="L44" i="13"/>
  <c r="Z43" i="13"/>
  <c r="AA43" i="13" s="1"/>
  <c r="S43" i="13"/>
  <c r="T43" i="13" s="1"/>
  <c r="P43" i="13"/>
  <c r="L43" i="13"/>
  <c r="S42" i="13"/>
  <c r="T42" i="13" s="1"/>
  <c r="P42" i="13"/>
  <c r="AB42" i="13" s="1"/>
  <c r="L42" i="13"/>
  <c r="Z41" i="13"/>
  <c r="AA41" i="13" s="1"/>
  <c r="S41" i="13"/>
  <c r="T41" i="13" s="1"/>
  <c r="P41" i="13"/>
  <c r="L41" i="13"/>
  <c r="Z40" i="13"/>
  <c r="AA40" i="13" s="1"/>
  <c r="S40" i="13"/>
  <c r="T40" i="13" s="1"/>
  <c r="P40" i="13"/>
  <c r="L40" i="13"/>
  <c r="S39" i="13"/>
  <c r="T39" i="13" s="1"/>
  <c r="P39" i="13"/>
  <c r="AB39" i="13" s="1"/>
  <c r="L39" i="13"/>
  <c r="Z38" i="13"/>
  <c r="AA38" i="13" s="1"/>
  <c r="S38" i="13"/>
  <c r="T38" i="13" s="1"/>
  <c r="P38" i="13"/>
  <c r="L38" i="13"/>
  <c r="S37" i="13"/>
  <c r="T37" i="13" s="1"/>
  <c r="P37" i="13"/>
  <c r="AB37" i="13" s="1"/>
  <c r="L37" i="13"/>
  <c r="Z36" i="13"/>
  <c r="AA36" i="13" s="1"/>
  <c r="S36" i="13"/>
  <c r="T36" i="13" s="1"/>
  <c r="P36" i="13"/>
  <c r="L36" i="13"/>
  <c r="S35" i="13"/>
  <c r="T35" i="13" s="1"/>
  <c r="P35" i="13"/>
  <c r="AB35" i="13" s="1"/>
  <c r="L35" i="13"/>
  <c r="S34" i="13"/>
  <c r="T34" i="13" s="1"/>
  <c r="P34" i="13"/>
  <c r="AB34" i="13" s="1"/>
  <c r="L34" i="13"/>
  <c r="Z33" i="13"/>
  <c r="AA33" i="13" s="1"/>
  <c r="S33" i="13"/>
  <c r="T33" i="13" s="1"/>
  <c r="P33" i="13"/>
  <c r="L33" i="13"/>
  <c r="S32" i="13"/>
  <c r="T32" i="13" s="1"/>
  <c r="P32" i="13"/>
  <c r="AB32" i="13" s="1"/>
  <c r="L32" i="13"/>
  <c r="Z31" i="13"/>
  <c r="AA31" i="13" s="1"/>
  <c r="S31" i="13"/>
  <c r="T31" i="13" s="1"/>
  <c r="P31" i="13"/>
  <c r="L31" i="13"/>
  <c r="Z30" i="13"/>
  <c r="AA30" i="13" s="1"/>
  <c r="S30" i="13"/>
  <c r="T30" i="13" s="1"/>
  <c r="P30" i="13"/>
  <c r="L30" i="13"/>
  <c r="Z29" i="13"/>
  <c r="AA29" i="13" s="1"/>
  <c r="S29" i="13"/>
  <c r="T29" i="13" s="1"/>
  <c r="P29" i="13"/>
  <c r="L29" i="13"/>
  <c r="S28" i="13"/>
  <c r="T28" i="13" s="1"/>
  <c r="P28" i="13"/>
  <c r="AB28" i="13" s="1"/>
  <c r="L28" i="13"/>
  <c r="Z27" i="13"/>
  <c r="AA27" i="13" s="1"/>
  <c r="S27" i="13"/>
  <c r="T27" i="13" s="1"/>
  <c r="P27" i="13"/>
  <c r="L27" i="13"/>
  <c r="Z26" i="13"/>
  <c r="AA26" i="13" s="1"/>
  <c r="S26" i="13"/>
  <c r="T26" i="13" s="1"/>
  <c r="P26" i="13"/>
  <c r="L26" i="13"/>
  <c r="Z25" i="13"/>
  <c r="AA25" i="13" s="1"/>
  <c r="S25" i="13"/>
  <c r="T25" i="13" s="1"/>
  <c r="P25" i="13"/>
  <c r="L25" i="13"/>
  <c r="S24" i="13"/>
  <c r="T24" i="13" s="1"/>
  <c r="P24" i="13"/>
  <c r="AB24" i="13" s="1"/>
  <c r="L24" i="13"/>
  <c r="Z23" i="13"/>
  <c r="AA23" i="13" s="1"/>
  <c r="S23" i="13"/>
  <c r="T23" i="13" s="1"/>
  <c r="P23" i="13"/>
  <c r="L23" i="13"/>
  <c r="Z22" i="13"/>
  <c r="AA22" i="13" s="1"/>
  <c r="S22" i="13"/>
  <c r="T22" i="13" s="1"/>
  <c r="P22" i="13"/>
  <c r="L22" i="13"/>
  <c r="Z21" i="13"/>
  <c r="AA21" i="13" s="1"/>
  <c r="S21" i="13"/>
  <c r="T21" i="13" s="1"/>
  <c r="P21" i="13"/>
  <c r="L21" i="13"/>
  <c r="Z20" i="13"/>
  <c r="AA20" i="13" s="1"/>
  <c r="S20" i="13"/>
  <c r="T20" i="13" s="1"/>
  <c r="P20" i="13"/>
  <c r="L20" i="13"/>
  <c r="Z19" i="13"/>
  <c r="AA19" i="13" s="1"/>
  <c r="S19" i="13"/>
  <c r="T19" i="13" s="1"/>
  <c r="P19" i="13"/>
  <c r="L19" i="13"/>
  <c r="Z18" i="13"/>
  <c r="AA18" i="13" s="1"/>
  <c r="S18" i="13"/>
  <c r="T18" i="13" s="1"/>
  <c r="P18" i="13"/>
  <c r="L18" i="13"/>
  <c r="S17" i="13"/>
  <c r="T17" i="13" s="1"/>
  <c r="P17" i="13"/>
  <c r="AB17" i="13" s="1"/>
  <c r="L17" i="13"/>
  <c r="Z16" i="13"/>
  <c r="AA16" i="13" s="1"/>
  <c r="S16" i="13"/>
  <c r="T16" i="13" s="1"/>
  <c r="P16" i="13"/>
  <c r="L16" i="13"/>
  <c r="Z15" i="13"/>
  <c r="AA15" i="13" s="1"/>
  <c r="S15" i="13"/>
  <c r="T15" i="13" s="1"/>
  <c r="P15" i="13"/>
  <c r="L15" i="13"/>
  <c r="S14" i="13"/>
  <c r="T14" i="13" s="1"/>
  <c r="P14" i="13"/>
  <c r="AB14" i="13" s="1"/>
  <c r="L14" i="13"/>
  <c r="S13" i="13"/>
  <c r="T13" i="13" s="1"/>
  <c r="P13" i="13"/>
  <c r="AB13" i="13" s="1"/>
  <c r="L13" i="13"/>
  <c r="Z11" i="13"/>
  <c r="AA11" i="13" s="1"/>
  <c r="S11" i="13"/>
  <c r="T11" i="13" s="1"/>
  <c r="P11" i="13"/>
  <c r="L11" i="13"/>
  <c r="S10" i="13"/>
  <c r="T10" i="13" s="1"/>
  <c r="P10" i="13"/>
  <c r="AB10" i="13" s="1"/>
  <c r="L10" i="13"/>
  <c r="Z57" i="12"/>
  <c r="AA57" i="12" s="1"/>
  <c r="S57" i="12"/>
  <c r="T57" i="12" s="1"/>
  <c r="P57" i="12"/>
  <c r="L57" i="12"/>
  <c r="Z56" i="12"/>
  <c r="AA56" i="12" s="1"/>
  <c r="S56" i="12"/>
  <c r="T56" i="12" s="1"/>
  <c r="P56" i="12"/>
  <c r="L56" i="12"/>
  <c r="S55" i="12"/>
  <c r="T55" i="12" s="1"/>
  <c r="P55" i="12"/>
  <c r="AB55" i="12" s="1"/>
  <c r="L55" i="12"/>
  <c r="Z54" i="12"/>
  <c r="AA54" i="12" s="1"/>
  <c r="S54" i="12"/>
  <c r="T54" i="12" s="1"/>
  <c r="P54" i="12"/>
  <c r="L54" i="12"/>
  <c r="S53" i="12"/>
  <c r="T53" i="12" s="1"/>
  <c r="P53" i="12"/>
  <c r="AB53" i="12" s="1"/>
  <c r="L53" i="12"/>
  <c r="Z52" i="12"/>
  <c r="AA52" i="12" s="1"/>
  <c r="S52" i="12"/>
  <c r="T52" i="12" s="1"/>
  <c r="P52" i="12"/>
  <c r="L52" i="12"/>
  <c r="Z51" i="12"/>
  <c r="AA51" i="12" s="1"/>
  <c r="S51" i="12"/>
  <c r="T51" i="12" s="1"/>
  <c r="P51" i="12"/>
  <c r="L51" i="12"/>
  <c r="P50" i="12"/>
  <c r="L50" i="12"/>
  <c r="P49" i="12"/>
  <c r="L49" i="12"/>
  <c r="Z48" i="12"/>
  <c r="AA48" i="12" s="1"/>
  <c r="S48" i="12"/>
  <c r="T48" i="12" s="1"/>
  <c r="P48" i="12"/>
  <c r="L48" i="12"/>
  <c r="Z47" i="12"/>
  <c r="AA47" i="12" s="1"/>
  <c r="S47" i="12"/>
  <c r="T47" i="12" s="1"/>
  <c r="P47" i="12"/>
  <c r="L47" i="12"/>
  <c r="Z46" i="12"/>
  <c r="AA46" i="12" s="1"/>
  <c r="S46" i="12"/>
  <c r="T46" i="12" s="1"/>
  <c r="P46" i="12"/>
  <c r="L46" i="12"/>
  <c r="N46" i="12" s="1"/>
  <c r="Z45" i="12"/>
  <c r="AA45" i="12" s="1"/>
  <c r="S45" i="12"/>
  <c r="T45" i="12" s="1"/>
  <c r="P45" i="12"/>
  <c r="L45" i="12"/>
  <c r="Z44" i="12"/>
  <c r="AA44" i="12" s="1"/>
  <c r="S44" i="12"/>
  <c r="T44" i="12" s="1"/>
  <c r="P44" i="12"/>
  <c r="L44" i="12"/>
  <c r="Z43" i="12"/>
  <c r="AA43" i="12" s="1"/>
  <c r="S43" i="12"/>
  <c r="T43" i="12" s="1"/>
  <c r="P43" i="12"/>
  <c r="L43" i="12"/>
  <c r="Z42" i="12"/>
  <c r="AA42" i="12" s="1"/>
  <c r="S42" i="12"/>
  <c r="T42" i="12" s="1"/>
  <c r="P42" i="12"/>
  <c r="L42" i="12"/>
  <c r="Z41" i="12"/>
  <c r="AA41" i="12" s="1"/>
  <c r="S41" i="12"/>
  <c r="T41" i="12" s="1"/>
  <c r="P41" i="12"/>
  <c r="L41" i="12"/>
  <c r="Z40" i="12"/>
  <c r="AA40" i="12" s="1"/>
  <c r="S40" i="12"/>
  <c r="T40" i="12" s="1"/>
  <c r="P40" i="12"/>
  <c r="L40" i="12"/>
  <c r="S39" i="12"/>
  <c r="T39" i="12" s="1"/>
  <c r="P39" i="12"/>
  <c r="AB39" i="12" s="1"/>
  <c r="L39" i="12"/>
  <c r="Z38" i="12"/>
  <c r="AA38" i="12" s="1"/>
  <c r="S38" i="12"/>
  <c r="T38" i="12" s="1"/>
  <c r="P38" i="12"/>
  <c r="L38" i="12"/>
  <c r="S37" i="12"/>
  <c r="T37" i="12" s="1"/>
  <c r="P37" i="12"/>
  <c r="AB37" i="12" s="1"/>
  <c r="L37" i="12"/>
  <c r="Z36" i="12"/>
  <c r="AA36" i="12" s="1"/>
  <c r="S36" i="12"/>
  <c r="T36" i="12" s="1"/>
  <c r="P36" i="12"/>
  <c r="L36" i="12"/>
  <c r="S35" i="12"/>
  <c r="T35" i="12" s="1"/>
  <c r="P35" i="12"/>
  <c r="AB35" i="12" s="1"/>
  <c r="L35" i="12"/>
  <c r="S34" i="12"/>
  <c r="T34" i="12" s="1"/>
  <c r="P34" i="12"/>
  <c r="AB34" i="12" s="1"/>
  <c r="L34" i="12"/>
  <c r="Z33" i="12"/>
  <c r="AA33" i="12" s="1"/>
  <c r="S33" i="12"/>
  <c r="T33" i="12" s="1"/>
  <c r="P33" i="12"/>
  <c r="L33" i="12"/>
  <c r="S32" i="12"/>
  <c r="T32" i="12" s="1"/>
  <c r="P32" i="12"/>
  <c r="AB32" i="12" s="1"/>
  <c r="L32" i="12"/>
  <c r="Z31" i="12"/>
  <c r="AA31" i="12" s="1"/>
  <c r="S31" i="12"/>
  <c r="T31" i="12" s="1"/>
  <c r="P31" i="12"/>
  <c r="L31" i="12"/>
  <c r="Z30" i="12"/>
  <c r="AA30" i="12" s="1"/>
  <c r="S30" i="12"/>
  <c r="T30" i="12" s="1"/>
  <c r="P30" i="12"/>
  <c r="L30" i="12"/>
  <c r="Z29" i="12"/>
  <c r="AA29" i="12" s="1"/>
  <c r="S29" i="12"/>
  <c r="T29" i="12" s="1"/>
  <c r="P29" i="12"/>
  <c r="L29" i="12"/>
  <c r="S28" i="12"/>
  <c r="T28" i="12" s="1"/>
  <c r="L28" i="12"/>
  <c r="Z27" i="12"/>
  <c r="AA27" i="12" s="1"/>
  <c r="S27" i="12"/>
  <c r="T27" i="12" s="1"/>
  <c r="P27" i="12"/>
  <c r="L27" i="12"/>
  <c r="Z26" i="12"/>
  <c r="AA26" i="12" s="1"/>
  <c r="S26" i="12"/>
  <c r="T26" i="12" s="1"/>
  <c r="P26" i="12"/>
  <c r="L26" i="12"/>
  <c r="Z25" i="12"/>
  <c r="AA25" i="12" s="1"/>
  <c r="S25" i="12"/>
  <c r="T25" i="12" s="1"/>
  <c r="P25" i="12"/>
  <c r="L25" i="12"/>
  <c r="S24" i="12"/>
  <c r="T24" i="12" s="1"/>
  <c r="P24" i="12"/>
  <c r="AB24" i="12" s="1"/>
  <c r="L24" i="12"/>
  <c r="Z23" i="12"/>
  <c r="AA23" i="12" s="1"/>
  <c r="S23" i="12"/>
  <c r="T23" i="12" s="1"/>
  <c r="P23" i="12"/>
  <c r="L23" i="12"/>
  <c r="Z22" i="12"/>
  <c r="AA22" i="12" s="1"/>
  <c r="S22" i="12"/>
  <c r="T22" i="12" s="1"/>
  <c r="P22" i="12"/>
  <c r="L22" i="12"/>
  <c r="Z21" i="12"/>
  <c r="AA21" i="12" s="1"/>
  <c r="S21" i="12"/>
  <c r="T21" i="12" s="1"/>
  <c r="P21" i="12"/>
  <c r="L21" i="12"/>
  <c r="Z20" i="12"/>
  <c r="AA20" i="12" s="1"/>
  <c r="S20" i="12"/>
  <c r="T20" i="12" s="1"/>
  <c r="P20" i="12"/>
  <c r="L20" i="12"/>
  <c r="Z19" i="12"/>
  <c r="AA19" i="12" s="1"/>
  <c r="S19" i="12"/>
  <c r="T19" i="12" s="1"/>
  <c r="P19" i="12"/>
  <c r="L19" i="12"/>
  <c r="Z18" i="12"/>
  <c r="AA18" i="12" s="1"/>
  <c r="S18" i="12"/>
  <c r="T18" i="12" s="1"/>
  <c r="P18" i="12"/>
  <c r="L18" i="12"/>
  <c r="S17" i="12"/>
  <c r="T17" i="12" s="1"/>
  <c r="P17" i="12"/>
  <c r="AB17" i="12" s="1"/>
  <c r="L17" i="12"/>
  <c r="Z16" i="12"/>
  <c r="AA16" i="12" s="1"/>
  <c r="S16" i="12"/>
  <c r="T16" i="12" s="1"/>
  <c r="P16" i="12"/>
  <c r="L16" i="12"/>
  <c r="Z15" i="12"/>
  <c r="AA15" i="12" s="1"/>
  <c r="S15" i="12"/>
  <c r="T15" i="12" s="1"/>
  <c r="P15" i="12"/>
  <c r="L15" i="12"/>
  <c r="S14" i="12"/>
  <c r="T14" i="12" s="1"/>
  <c r="P14" i="12"/>
  <c r="AB14" i="12" s="1"/>
  <c r="L14" i="12"/>
  <c r="S13" i="12"/>
  <c r="T13" i="12" s="1"/>
  <c r="Z11" i="12"/>
  <c r="AA11" i="12" s="1"/>
  <c r="S11" i="12"/>
  <c r="T11" i="12" s="1"/>
  <c r="P11" i="12"/>
  <c r="L11" i="12"/>
  <c r="S10" i="12"/>
  <c r="T10" i="12" s="1"/>
  <c r="P10" i="12"/>
  <c r="AB10" i="12" s="1"/>
  <c r="L10" i="12"/>
  <c r="X58" i="11"/>
  <c r="W58" i="11"/>
  <c r="V58" i="11"/>
  <c r="U58" i="11"/>
  <c r="Z58" i="11" s="1"/>
  <c r="AA58" i="11" s="1"/>
  <c r="Z57" i="11"/>
  <c r="AA57" i="11" s="1"/>
  <c r="S57" i="11"/>
  <c r="T57" i="11" s="1"/>
  <c r="P57" i="11"/>
  <c r="L57" i="11"/>
  <c r="S56" i="11"/>
  <c r="T56" i="11" s="1"/>
  <c r="P56" i="11"/>
  <c r="AB56" i="11" s="1"/>
  <c r="L56" i="11"/>
  <c r="S55" i="11"/>
  <c r="T55" i="11" s="1"/>
  <c r="P55" i="11"/>
  <c r="AB55" i="11" s="1"/>
  <c r="L55" i="11"/>
  <c r="Z54" i="11"/>
  <c r="AA54" i="11" s="1"/>
  <c r="S54" i="11"/>
  <c r="T54" i="11" s="1"/>
  <c r="P54" i="11"/>
  <c r="L54" i="11"/>
  <c r="S53" i="11"/>
  <c r="T53" i="11" s="1"/>
  <c r="P53" i="11"/>
  <c r="AB53" i="11" s="1"/>
  <c r="L53" i="11"/>
  <c r="Z52" i="11"/>
  <c r="AA52" i="11" s="1"/>
  <c r="S52" i="11"/>
  <c r="T52" i="11" s="1"/>
  <c r="P52" i="11"/>
  <c r="L52" i="11"/>
  <c r="Z51" i="11"/>
  <c r="AA51" i="11" s="1"/>
  <c r="S51" i="11"/>
  <c r="T51" i="11" s="1"/>
  <c r="P51" i="11"/>
  <c r="L51" i="11"/>
  <c r="P50" i="11"/>
  <c r="L50" i="11"/>
  <c r="P49" i="11"/>
  <c r="L49" i="11"/>
  <c r="Z48" i="11"/>
  <c r="AA48" i="11" s="1"/>
  <c r="S48" i="11"/>
  <c r="T48" i="11" s="1"/>
  <c r="P48" i="11"/>
  <c r="L48" i="11"/>
  <c r="Z47" i="11"/>
  <c r="AA47" i="11" s="1"/>
  <c r="S47" i="11"/>
  <c r="T47" i="11" s="1"/>
  <c r="P47" i="11"/>
  <c r="L47" i="11"/>
  <c r="Z46" i="11"/>
  <c r="AA46" i="11" s="1"/>
  <c r="S46" i="11"/>
  <c r="T46" i="11" s="1"/>
  <c r="P46" i="11"/>
  <c r="L46" i="11"/>
  <c r="N46" i="11" s="1"/>
  <c r="Z45" i="11"/>
  <c r="AA45" i="11" s="1"/>
  <c r="S45" i="11"/>
  <c r="T45" i="11" s="1"/>
  <c r="P45" i="11"/>
  <c r="L45" i="11"/>
  <c r="Z44" i="11"/>
  <c r="AA44" i="11" s="1"/>
  <c r="S44" i="11"/>
  <c r="T44" i="11" s="1"/>
  <c r="P44" i="11"/>
  <c r="L44" i="11"/>
  <c r="Z43" i="11"/>
  <c r="AA43" i="11" s="1"/>
  <c r="S43" i="11"/>
  <c r="T43" i="11" s="1"/>
  <c r="P43" i="11"/>
  <c r="L43" i="11"/>
  <c r="Z42" i="11"/>
  <c r="AA42" i="11" s="1"/>
  <c r="S42" i="11"/>
  <c r="T42" i="11" s="1"/>
  <c r="P42" i="11"/>
  <c r="L42" i="11"/>
  <c r="Z41" i="11"/>
  <c r="AA41" i="11" s="1"/>
  <c r="S41" i="11"/>
  <c r="T41" i="11" s="1"/>
  <c r="P41" i="11"/>
  <c r="L41" i="11"/>
  <c r="Z40" i="11"/>
  <c r="AA40" i="11" s="1"/>
  <c r="S40" i="11"/>
  <c r="T40" i="11" s="1"/>
  <c r="P40" i="11"/>
  <c r="L40" i="11"/>
  <c r="S39" i="11"/>
  <c r="T39" i="11" s="1"/>
  <c r="P39" i="11"/>
  <c r="AB39" i="11" s="1"/>
  <c r="L39" i="11"/>
  <c r="Z38" i="11"/>
  <c r="AA38" i="11" s="1"/>
  <c r="S38" i="11"/>
  <c r="T38" i="11" s="1"/>
  <c r="P38" i="11"/>
  <c r="L38" i="11"/>
  <c r="S37" i="11"/>
  <c r="T37" i="11" s="1"/>
  <c r="P37" i="11"/>
  <c r="AB37" i="11" s="1"/>
  <c r="L37" i="11"/>
  <c r="Z36" i="11"/>
  <c r="AA36" i="11" s="1"/>
  <c r="S36" i="11"/>
  <c r="T36" i="11" s="1"/>
  <c r="P36" i="11"/>
  <c r="L36" i="11"/>
  <c r="S35" i="11"/>
  <c r="T35" i="11" s="1"/>
  <c r="P35" i="11"/>
  <c r="AB35" i="11" s="1"/>
  <c r="L35" i="11"/>
  <c r="S34" i="11"/>
  <c r="T34" i="11" s="1"/>
  <c r="P34" i="11"/>
  <c r="AB34" i="11" s="1"/>
  <c r="L34" i="11"/>
  <c r="Z33" i="11"/>
  <c r="AA33" i="11" s="1"/>
  <c r="S33" i="11"/>
  <c r="T33" i="11" s="1"/>
  <c r="P33" i="11"/>
  <c r="L33" i="11"/>
  <c r="S32" i="11"/>
  <c r="T32" i="11" s="1"/>
  <c r="P32" i="11"/>
  <c r="AB32" i="11" s="1"/>
  <c r="L32" i="11"/>
  <c r="Z31" i="11"/>
  <c r="AA31" i="11" s="1"/>
  <c r="S31" i="11"/>
  <c r="T31" i="11" s="1"/>
  <c r="P31" i="11"/>
  <c r="L31" i="11"/>
  <c r="Z30" i="11"/>
  <c r="AA30" i="11" s="1"/>
  <c r="S30" i="11"/>
  <c r="T30" i="11" s="1"/>
  <c r="P30" i="11"/>
  <c r="L30" i="11"/>
  <c r="Z29" i="11"/>
  <c r="AA29" i="11" s="1"/>
  <c r="S29" i="11"/>
  <c r="T29" i="11" s="1"/>
  <c r="P29" i="11"/>
  <c r="L29" i="11"/>
  <c r="S28" i="11"/>
  <c r="T28" i="11" s="1"/>
  <c r="P28" i="11"/>
  <c r="AB28" i="11" s="1"/>
  <c r="Z27" i="11"/>
  <c r="AA27" i="11" s="1"/>
  <c r="S27" i="11"/>
  <c r="T27" i="11" s="1"/>
  <c r="P27" i="11"/>
  <c r="L27" i="11"/>
  <c r="Z26" i="11"/>
  <c r="AA26" i="11" s="1"/>
  <c r="S26" i="11"/>
  <c r="T26" i="11" s="1"/>
  <c r="P26" i="11"/>
  <c r="L26" i="11"/>
  <c r="Z25" i="11"/>
  <c r="AA25" i="11" s="1"/>
  <c r="S25" i="11"/>
  <c r="T25" i="11" s="1"/>
  <c r="P25" i="11"/>
  <c r="L25" i="11"/>
  <c r="S24" i="11"/>
  <c r="T24" i="11" s="1"/>
  <c r="P24" i="11"/>
  <c r="AB24" i="11" s="1"/>
  <c r="L24" i="11"/>
  <c r="Z23" i="11"/>
  <c r="AA23" i="11" s="1"/>
  <c r="S23" i="11"/>
  <c r="T23" i="11" s="1"/>
  <c r="P23" i="11"/>
  <c r="L23" i="11"/>
  <c r="Z22" i="11"/>
  <c r="AA22" i="11" s="1"/>
  <c r="S22" i="11"/>
  <c r="T22" i="11" s="1"/>
  <c r="P22" i="11"/>
  <c r="L22" i="11"/>
  <c r="Z21" i="11"/>
  <c r="AA21" i="11" s="1"/>
  <c r="S21" i="11"/>
  <c r="T21" i="11" s="1"/>
  <c r="P21" i="11"/>
  <c r="L21" i="11"/>
  <c r="Z20" i="11"/>
  <c r="AA20" i="11" s="1"/>
  <c r="S20" i="11"/>
  <c r="T20" i="11" s="1"/>
  <c r="P20" i="11"/>
  <c r="L20" i="11"/>
  <c r="Z19" i="11"/>
  <c r="AA19" i="11" s="1"/>
  <c r="S19" i="11"/>
  <c r="T19" i="11" s="1"/>
  <c r="P19" i="11"/>
  <c r="L19" i="11"/>
  <c r="Z18" i="11"/>
  <c r="AA18" i="11" s="1"/>
  <c r="S18" i="11"/>
  <c r="T18" i="11" s="1"/>
  <c r="P18" i="11"/>
  <c r="L18" i="11"/>
  <c r="S17" i="11"/>
  <c r="T17" i="11" s="1"/>
  <c r="P17" i="11"/>
  <c r="AB17" i="11" s="1"/>
  <c r="L17" i="11"/>
  <c r="Z16" i="11"/>
  <c r="AA16" i="11" s="1"/>
  <c r="S16" i="11"/>
  <c r="T16" i="11" s="1"/>
  <c r="P16" i="11"/>
  <c r="L16" i="11"/>
  <c r="Z15" i="11"/>
  <c r="AA15" i="11" s="1"/>
  <c r="S15" i="11"/>
  <c r="T15" i="11" s="1"/>
  <c r="P15" i="11"/>
  <c r="L15" i="11"/>
  <c r="S14" i="11"/>
  <c r="T14" i="11" s="1"/>
  <c r="P14" i="11"/>
  <c r="AB14" i="11" s="1"/>
  <c r="L14" i="11"/>
  <c r="S13" i="11"/>
  <c r="T13" i="11" s="1"/>
  <c r="P13" i="11"/>
  <c r="AB13" i="11" s="1"/>
  <c r="L13" i="11"/>
  <c r="Z11" i="11"/>
  <c r="AA11" i="11" s="1"/>
  <c r="S11" i="11"/>
  <c r="T11" i="11" s="1"/>
  <c r="P11" i="11"/>
  <c r="L11" i="11"/>
  <c r="S10" i="11"/>
  <c r="T10" i="11" s="1"/>
  <c r="P10" i="11"/>
  <c r="AB10" i="11" s="1"/>
  <c r="X58" i="10"/>
  <c r="W58" i="10"/>
  <c r="V58" i="10"/>
  <c r="U58" i="10"/>
  <c r="Z58" i="10" s="1"/>
  <c r="AA58" i="10" s="1"/>
  <c r="Z57" i="10"/>
  <c r="AA57" i="10" s="1"/>
  <c r="S57" i="10"/>
  <c r="T57" i="10" s="1"/>
  <c r="P57" i="10"/>
  <c r="L57" i="10"/>
  <c r="S56" i="10"/>
  <c r="T56" i="10" s="1"/>
  <c r="P56" i="10"/>
  <c r="AB56" i="10" s="1"/>
  <c r="L56" i="10"/>
  <c r="S55" i="10"/>
  <c r="T55" i="10" s="1"/>
  <c r="P55" i="10"/>
  <c r="AB55" i="10" s="1"/>
  <c r="L55" i="10"/>
  <c r="Z54" i="10"/>
  <c r="AA54" i="10" s="1"/>
  <c r="S54" i="10"/>
  <c r="T54" i="10" s="1"/>
  <c r="P54" i="10"/>
  <c r="L54" i="10"/>
  <c r="S53" i="10"/>
  <c r="T53" i="10" s="1"/>
  <c r="P53" i="10"/>
  <c r="AB53" i="10" s="1"/>
  <c r="L53" i="10"/>
  <c r="Z52" i="10"/>
  <c r="AA52" i="10" s="1"/>
  <c r="S52" i="10"/>
  <c r="T52" i="10" s="1"/>
  <c r="P52" i="10"/>
  <c r="L52" i="10"/>
  <c r="Z51" i="10"/>
  <c r="AA51" i="10" s="1"/>
  <c r="S51" i="10"/>
  <c r="T51" i="10" s="1"/>
  <c r="P51" i="10"/>
  <c r="L51" i="10"/>
  <c r="P50" i="10"/>
  <c r="L50" i="10"/>
  <c r="P49" i="10"/>
  <c r="L49" i="10"/>
  <c r="Z48" i="10"/>
  <c r="AA48" i="10" s="1"/>
  <c r="S48" i="10"/>
  <c r="T48" i="10" s="1"/>
  <c r="P48" i="10"/>
  <c r="L48" i="10"/>
  <c r="Z47" i="10"/>
  <c r="AA47" i="10" s="1"/>
  <c r="S47" i="10"/>
  <c r="T47" i="10" s="1"/>
  <c r="P47" i="10"/>
  <c r="L47" i="10"/>
  <c r="Z46" i="10"/>
  <c r="AA46" i="10" s="1"/>
  <c r="S46" i="10"/>
  <c r="T46" i="10" s="1"/>
  <c r="P46" i="10"/>
  <c r="L46" i="10"/>
  <c r="N46" i="10" s="1"/>
  <c r="Z45" i="10"/>
  <c r="AA45" i="10" s="1"/>
  <c r="S45" i="10"/>
  <c r="T45" i="10" s="1"/>
  <c r="P45" i="10"/>
  <c r="L45" i="10"/>
  <c r="Z44" i="10"/>
  <c r="AA44" i="10" s="1"/>
  <c r="S44" i="10"/>
  <c r="T44" i="10" s="1"/>
  <c r="P44" i="10"/>
  <c r="L44" i="10"/>
  <c r="Z43" i="10"/>
  <c r="AA43" i="10" s="1"/>
  <c r="S43" i="10"/>
  <c r="T43" i="10" s="1"/>
  <c r="P43" i="10"/>
  <c r="L43" i="10"/>
  <c r="Z42" i="10"/>
  <c r="AA42" i="10" s="1"/>
  <c r="S42" i="10"/>
  <c r="T42" i="10" s="1"/>
  <c r="P42" i="10"/>
  <c r="L42" i="10"/>
  <c r="Z41" i="10"/>
  <c r="AA41" i="10" s="1"/>
  <c r="S41" i="10"/>
  <c r="T41" i="10" s="1"/>
  <c r="P41" i="10"/>
  <c r="L41" i="10"/>
  <c r="Z40" i="10"/>
  <c r="AA40" i="10" s="1"/>
  <c r="S40" i="10"/>
  <c r="T40" i="10" s="1"/>
  <c r="P40" i="10"/>
  <c r="L40" i="10"/>
  <c r="S39" i="10"/>
  <c r="T39" i="10" s="1"/>
  <c r="P39" i="10"/>
  <c r="AB39" i="10" s="1"/>
  <c r="L39" i="10"/>
  <c r="Z38" i="10"/>
  <c r="AA38" i="10" s="1"/>
  <c r="S38" i="10"/>
  <c r="T38" i="10" s="1"/>
  <c r="P38" i="10"/>
  <c r="L38" i="10"/>
  <c r="S37" i="10"/>
  <c r="T37" i="10" s="1"/>
  <c r="P37" i="10"/>
  <c r="AB37" i="10" s="1"/>
  <c r="L37" i="10"/>
  <c r="Z36" i="10"/>
  <c r="AA36" i="10" s="1"/>
  <c r="S36" i="10"/>
  <c r="T36" i="10" s="1"/>
  <c r="P36" i="10"/>
  <c r="L36" i="10"/>
  <c r="S35" i="10"/>
  <c r="T35" i="10" s="1"/>
  <c r="P35" i="10"/>
  <c r="AB35" i="10" s="1"/>
  <c r="L35" i="10"/>
  <c r="S34" i="10"/>
  <c r="T34" i="10" s="1"/>
  <c r="P34" i="10"/>
  <c r="AB34" i="10" s="1"/>
  <c r="L34" i="10"/>
  <c r="Z33" i="10"/>
  <c r="AA33" i="10" s="1"/>
  <c r="S33" i="10"/>
  <c r="T33" i="10" s="1"/>
  <c r="P33" i="10"/>
  <c r="L33" i="10"/>
  <c r="S32" i="10"/>
  <c r="T32" i="10" s="1"/>
  <c r="P32" i="10"/>
  <c r="AB32" i="10" s="1"/>
  <c r="L32" i="10"/>
  <c r="Z31" i="10"/>
  <c r="AA31" i="10" s="1"/>
  <c r="S31" i="10"/>
  <c r="T31" i="10" s="1"/>
  <c r="P31" i="10"/>
  <c r="L31" i="10"/>
  <c r="Z30" i="10"/>
  <c r="AA30" i="10" s="1"/>
  <c r="S30" i="10"/>
  <c r="T30" i="10" s="1"/>
  <c r="P30" i="10"/>
  <c r="L30" i="10"/>
  <c r="Z29" i="10"/>
  <c r="AA29" i="10" s="1"/>
  <c r="S29" i="10"/>
  <c r="T29" i="10" s="1"/>
  <c r="P29" i="10"/>
  <c r="L29" i="10"/>
  <c r="S28" i="10"/>
  <c r="T28" i="10" s="1"/>
  <c r="P28" i="10"/>
  <c r="AB28" i="10" s="1"/>
  <c r="L28" i="10"/>
  <c r="Z27" i="10"/>
  <c r="AA27" i="10" s="1"/>
  <c r="S27" i="10"/>
  <c r="T27" i="10" s="1"/>
  <c r="P27" i="10"/>
  <c r="L27" i="10"/>
  <c r="Z26" i="10"/>
  <c r="AA26" i="10" s="1"/>
  <c r="S26" i="10"/>
  <c r="T26" i="10" s="1"/>
  <c r="P26" i="10"/>
  <c r="L26" i="10"/>
  <c r="Z25" i="10"/>
  <c r="AA25" i="10" s="1"/>
  <c r="S25" i="10"/>
  <c r="T25" i="10" s="1"/>
  <c r="P25" i="10"/>
  <c r="L25" i="10"/>
  <c r="S24" i="10"/>
  <c r="T24" i="10" s="1"/>
  <c r="P24" i="10"/>
  <c r="AB24" i="10" s="1"/>
  <c r="L24" i="10"/>
  <c r="Z23" i="10"/>
  <c r="AA23" i="10" s="1"/>
  <c r="S23" i="10"/>
  <c r="T23" i="10" s="1"/>
  <c r="P23" i="10"/>
  <c r="L23" i="10"/>
  <c r="Z22" i="10"/>
  <c r="AA22" i="10" s="1"/>
  <c r="S22" i="10"/>
  <c r="T22" i="10" s="1"/>
  <c r="P22" i="10"/>
  <c r="L22" i="10"/>
  <c r="Z21" i="10"/>
  <c r="AA21" i="10" s="1"/>
  <c r="S21" i="10"/>
  <c r="T21" i="10" s="1"/>
  <c r="P21" i="10"/>
  <c r="L21" i="10"/>
  <c r="Z20" i="10"/>
  <c r="AA20" i="10" s="1"/>
  <c r="S20" i="10"/>
  <c r="T20" i="10" s="1"/>
  <c r="P20" i="10"/>
  <c r="L20" i="10"/>
  <c r="Z19" i="10"/>
  <c r="AA19" i="10" s="1"/>
  <c r="S19" i="10"/>
  <c r="T19" i="10" s="1"/>
  <c r="P19" i="10"/>
  <c r="L19" i="10"/>
  <c r="Z18" i="10"/>
  <c r="AA18" i="10" s="1"/>
  <c r="S18" i="10"/>
  <c r="T18" i="10" s="1"/>
  <c r="P18" i="10"/>
  <c r="L18" i="10"/>
  <c r="S17" i="10"/>
  <c r="T17" i="10" s="1"/>
  <c r="P17" i="10"/>
  <c r="AB17" i="10" s="1"/>
  <c r="L17" i="10"/>
  <c r="Z16" i="10"/>
  <c r="AA16" i="10" s="1"/>
  <c r="S16" i="10"/>
  <c r="T16" i="10" s="1"/>
  <c r="P16" i="10"/>
  <c r="L16" i="10"/>
  <c r="Z15" i="10"/>
  <c r="AA15" i="10" s="1"/>
  <c r="S15" i="10"/>
  <c r="T15" i="10" s="1"/>
  <c r="P15" i="10"/>
  <c r="L15" i="10"/>
  <c r="S14" i="10"/>
  <c r="T14" i="10" s="1"/>
  <c r="P14" i="10"/>
  <c r="AB14" i="10" s="1"/>
  <c r="L14" i="10"/>
  <c r="S13" i="10"/>
  <c r="T13" i="10" s="1"/>
  <c r="Z11" i="10"/>
  <c r="AA11" i="10" s="1"/>
  <c r="S11" i="10"/>
  <c r="T11" i="10" s="1"/>
  <c r="P11" i="10"/>
  <c r="L11" i="10"/>
  <c r="S10" i="10"/>
  <c r="T10" i="10" s="1"/>
  <c r="L14" i="9"/>
  <c r="L17" i="9"/>
  <c r="L24" i="9"/>
  <c r="L32" i="9"/>
  <c r="L34" i="9"/>
  <c r="L35" i="9"/>
  <c r="L37" i="9"/>
  <c r="L39" i="9"/>
  <c r="L42" i="9"/>
  <c r="L44" i="9"/>
  <c r="L45" i="9"/>
  <c r="L46" i="9"/>
  <c r="X59" i="9"/>
  <c r="W59" i="9"/>
  <c r="V59" i="9"/>
  <c r="U59" i="9"/>
  <c r="Z59" i="9" s="1"/>
  <c r="AA59" i="9" s="1"/>
  <c r="Z58" i="9"/>
  <c r="AA58" i="9" s="1"/>
  <c r="S58" i="9"/>
  <c r="T58" i="9" s="1"/>
  <c r="P58" i="9"/>
  <c r="L58" i="9"/>
  <c r="Z55" i="9"/>
  <c r="AA55" i="9" s="1"/>
  <c r="S55" i="9"/>
  <c r="T55" i="9" s="1"/>
  <c r="P55" i="9"/>
  <c r="L55" i="9"/>
  <c r="Z53" i="9"/>
  <c r="AA53" i="9" s="1"/>
  <c r="S53" i="9"/>
  <c r="T53" i="9" s="1"/>
  <c r="P53" i="9"/>
  <c r="L53" i="9"/>
  <c r="Z52" i="9"/>
  <c r="AA52" i="9" s="1"/>
  <c r="S52" i="9"/>
  <c r="T52" i="9" s="1"/>
  <c r="P52" i="9"/>
  <c r="L52" i="9"/>
  <c r="Z46" i="9"/>
  <c r="AA46" i="9" s="1"/>
  <c r="S46" i="9"/>
  <c r="T46" i="9" s="1"/>
  <c r="P46" i="9"/>
  <c r="Z45" i="9"/>
  <c r="AA45" i="9" s="1"/>
  <c r="S45" i="9"/>
  <c r="T45" i="9" s="1"/>
  <c r="P45" i="9"/>
  <c r="Z44" i="9"/>
  <c r="AA44" i="9" s="1"/>
  <c r="S44" i="9"/>
  <c r="T44" i="9" s="1"/>
  <c r="P44" i="9"/>
  <c r="Z43" i="9"/>
  <c r="AA43" i="9" s="1"/>
  <c r="S43" i="9"/>
  <c r="T43" i="9" s="1"/>
  <c r="P43" i="9"/>
  <c r="L43" i="9"/>
  <c r="Z42" i="9"/>
  <c r="AA42" i="9" s="1"/>
  <c r="S42" i="9"/>
  <c r="T42" i="9" s="1"/>
  <c r="P42" i="9"/>
  <c r="Z41" i="9"/>
  <c r="AA41" i="9" s="1"/>
  <c r="S41" i="9"/>
  <c r="T41" i="9" s="1"/>
  <c r="P41" i="9"/>
  <c r="L41" i="9"/>
  <c r="Z40" i="9"/>
  <c r="AA40" i="9" s="1"/>
  <c r="S40" i="9"/>
  <c r="T40" i="9" s="1"/>
  <c r="P40" i="9"/>
  <c r="L40" i="9"/>
  <c r="Z39" i="9"/>
  <c r="AA39" i="9" s="1"/>
  <c r="S39" i="9"/>
  <c r="T39" i="9" s="1"/>
  <c r="P39" i="9"/>
  <c r="Z38" i="9"/>
  <c r="AA38" i="9" s="1"/>
  <c r="S38" i="9"/>
  <c r="T38" i="9" s="1"/>
  <c r="P38" i="9"/>
  <c r="L38" i="9"/>
  <c r="Z37" i="9"/>
  <c r="AA37" i="9" s="1"/>
  <c r="S37" i="9"/>
  <c r="T37" i="9" s="1"/>
  <c r="P37" i="9"/>
  <c r="Z36" i="9"/>
  <c r="AA36" i="9" s="1"/>
  <c r="S36" i="9"/>
  <c r="T36" i="9" s="1"/>
  <c r="P36" i="9"/>
  <c r="L36" i="9"/>
  <c r="Z35" i="9"/>
  <c r="AA35" i="9" s="1"/>
  <c r="S35" i="9"/>
  <c r="T35" i="9" s="1"/>
  <c r="P35" i="9"/>
  <c r="Z34" i="9"/>
  <c r="AA34" i="9" s="1"/>
  <c r="S34" i="9"/>
  <c r="T34" i="9" s="1"/>
  <c r="P34" i="9"/>
  <c r="Z33" i="9"/>
  <c r="AA33" i="9" s="1"/>
  <c r="S33" i="9"/>
  <c r="T33" i="9" s="1"/>
  <c r="P33" i="9"/>
  <c r="L33" i="9"/>
  <c r="Z32" i="9"/>
  <c r="AA32" i="9" s="1"/>
  <c r="S32" i="9"/>
  <c r="T32" i="9" s="1"/>
  <c r="P32" i="9"/>
  <c r="Z31" i="9"/>
  <c r="AA31" i="9" s="1"/>
  <c r="S31" i="9"/>
  <c r="T31" i="9" s="1"/>
  <c r="P31" i="9"/>
  <c r="L31" i="9"/>
  <c r="Z30" i="9"/>
  <c r="AA30" i="9" s="1"/>
  <c r="S30" i="9"/>
  <c r="T30" i="9" s="1"/>
  <c r="P30" i="9"/>
  <c r="L30" i="9"/>
  <c r="Z29" i="9"/>
  <c r="AA29" i="9" s="1"/>
  <c r="S29" i="9"/>
  <c r="T29" i="9" s="1"/>
  <c r="P29" i="9"/>
  <c r="L29" i="9"/>
  <c r="Z28" i="9"/>
  <c r="AA28" i="9" s="1"/>
  <c r="S28" i="9"/>
  <c r="T28" i="9" s="1"/>
  <c r="Z27" i="9"/>
  <c r="AA27" i="9" s="1"/>
  <c r="S27" i="9"/>
  <c r="T27" i="9" s="1"/>
  <c r="P27" i="9"/>
  <c r="L27" i="9"/>
  <c r="Z26" i="9"/>
  <c r="AA26" i="9" s="1"/>
  <c r="S26" i="9"/>
  <c r="T26" i="9" s="1"/>
  <c r="P26" i="9"/>
  <c r="L26" i="9"/>
  <c r="Z25" i="9"/>
  <c r="AA25" i="9" s="1"/>
  <c r="S25" i="9"/>
  <c r="T25" i="9" s="1"/>
  <c r="P25" i="9"/>
  <c r="L25" i="9"/>
  <c r="Z24" i="9"/>
  <c r="AA24" i="9" s="1"/>
  <c r="S24" i="9"/>
  <c r="T24" i="9" s="1"/>
  <c r="P24" i="9"/>
  <c r="Z23" i="9"/>
  <c r="AA23" i="9" s="1"/>
  <c r="S23" i="9"/>
  <c r="T23" i="9" s="1"/>
  <c r="P23" i="9"/>
  <c r="L23" i="9"/>
  <c r="Z22" i="9"/>
  <c r="AA22" i="9" s="1"/>
  <c r="S22" i="9"/>
  <c r="T22" i="9" s="1"/>
  <c r="P22" i="9"/>
  <c r="L22" i="9"/>
  <c r="Z21" i="9"/>
  <c r="AA21" i="9" s="1"/>
  <c r="S21" i="9"/>
  <c r="T21" i="9" s="1"/>
  <c r="P21" i="9"/>
  <c r="L21" i="9"/>
  <c r="Z20" i="9"/>
  <c r="AA20" i="9" s="1"/>
  <c r="S20" i="9"/>
  <c r="T20" i="9" s="1"/>
  <c r="P20" i="9"/>
  <c r="L20" i="9"/>
  <c r="Z19" i="9"/>
  <c r="AA19" i="9" s="1"/>
  <c r="S19" i="9"/>
  <c r="T19" i="9" s="1"/>
  <c r="P19" i="9"/>
  <c r="L19" i="9"/>
  <c r="Z18" i="9"/>
  <c r="AA18" i="9" s="1"/>
  <c r="S18" i="9"/>
  <c r="T18" i="9" s="1"/>
  <c r="P18" i="9"/>
  <c r="L18" i="9"/>
  <c r="Z17" i="9"/>
  <c r="AA17" i="9" s="1"/>
  <c r="S17" i="9"/>
  <c r="T17" i="9" s="1"/>
  <c r="P17" i="9"/>
  <c r="Z16" i="9"/>
  <c r="AA16" i="9" s="1"/>
  <c r="S16" i="9"/>
  <c r="T16" i="9" s="1"/>
  <c r="P16" i="9"/>
  <c r="L16" i="9"/>
  <c r="Z15" i="9"/>
  <c r="AA15" i="9" s="1"/>
  <c r="S15" i="9"/>
  <c r="T15" i="9" s="1"/>
  <c r="P15" i="9"/>
  <c r="L15" i="9"/>
  <c r="Z14" i="9"/>
  <c r="AA14" i="9" s="1"/>
  <c r="S14" i="9"/>
  <c r="T14" i="9" s="1"/>
  <c r="P14" i="9"/>
  <c r="Z13" i="9"/>
  <c r="AA13" i="9" s="1"/>
  <c r="S13" i="9"/>
  <c r="T13" i="9" s="1"/>
  <c r="Z11" i="9"/>
  <c r="AA11" i="9" s="1"/>
  <c r="S11" i="9"/>
  <c r="T11" i="9" s="1"/>
  <c r="P11" i="9"/>
  <c r="L11" i="9"/>
  <c r="S10" i="9"/>
  <c r="T10" i="9" s="1"/>
  <c r="L50" i="8"/>
  <c r="P50" i="8"/>
  <c r="L49" i="8"/>
  <c r="P49" i="8"/>
  <c r="J13" i="8"/>
  <c r="J28" i="8"/>
  <c r="P28" i="8" s="1"/>
  <c r="AB28" i="8" s="1"/>
  <c r="Z57" i="8"/>
  <c r="AA57" i="8" s="1"/>
  <c r="S57" i="8"/>
  <c r="T57" i="8" s="1"/>
  <c r="P57" i="8"/>
  <c r="L57" i="8"/>
  <c r="S56" i="8"/>
  <c r="T56" i="8" s="1"/>
  <c r="P56" i="8"/>
  <c r="AB56" i="8" s="1"/>
  <c r="L56" i="8"/>
  <c r="S55" i="8"/>
  <c r="T55" i="8" s="1"/>
  <c r="P55" i="8"/>
  <c r="AB55" i="8" s="1"/>
  <c r="L55" i="8"/>
  <c r="Z54" i="8"/>
  <c r="AA54" i="8" s="1"/>
  <c r="S54" i="8"/>
  <c r="T54" i="8" s="1"/>
  <c r="P54" i="8"/>
  <c r="L54" i="8"/>
  <c r="S53" i="8"/>
  <c r="T53" i="8" s="1"/>
  <c r="P53" i="8"/>
  <c r="AB53" i="8" s="1"/>
  <c r="L53" i="8"/>
  <c r="Z52" i="8"/>
  <c r="AA52" i="8" s="1"/>
  <c r="S52" i="8"/>
  <c r="T52" i="8" s="1"/>
  <c r="P52" i="8"/>
  <c r="L52" i="8"/>
  <c r="Z51" i="8"/>
  <c r="AA51" i="8" s="1"/>
  <c r="S51" i="8"/>
  <c r="T51" i="8" s="1"/>
  <c r="P51" i="8"/>
  <c r="L51" i="8"/>
  <c r="Z48" i="8"/>
  <c r="AA48" i="8" s="1"/>
  <c r="S48" i="8"/>
  <c r="T48" i="8" s="1"/>
  <c r="P48" i="8"/>
  <c r="L48" i="8"/>
  <c r="Z47" i="8"/>
  <c r="AA47" i="8" s="1"/>
  <c r="S47" i="8"/>
  <c r="T47" i="8" s="1"/>
  <c r="P47" i="8"/>
  <c r="L47" i="8"/>
  <c r="Z46" i="8"/>
  <c r="AA46" i="8" s="1"/>
  <c r="P46" i="8"/>
  <c r="L46" i="8"/>
  <c r="N46" i="8" s="1"/>
  <c r="Z45" i="8"/>
  <c r="AA45" i="8" s="1"/>
  <c r="P45" i="8"/>
  <c r="L45" i="8"/>
  <c r="Z44" i="8"/>
  <c r="AA44" i="8" s="1"/>
  <c r="S44" i="8"/>
  <c r="T44" i="8" s="1"/>
  <c r="P44" i="8"/>
  <c r="L44" i="8"/>
  <c r="Z43" i="8"/>
  <c r="AA43" i="8" s="1"/>
  <c r="S43" i="8"/>
  <c r="T43" i="8" s="1"/>
  <c r="P43" i="8"/>
  <c r="L43" i="8"/>
  <c r="Z42" i="8"/>
  <c r="AA42" i="8" s="1"/>
  <c r="S42" i="8"/>
  <c r="T42" i="8" s="1"/>
  <c r="P42" i="8"/>
  <c r="L42" i="8"/>
  <c r="Z41" i="8"/>
  <c r="AA41" i="8" s="1"/>
  <c r="S41" i="8"/>
  <c r="T41" i="8" s="1"/>
  <c r="P41" i="8"/>
  <c r="L41" i="8"/>
  <c r="Z40" i="8"/>
  <c r="AA40" i="8" s="1"/>
  <c r="S40" i="8"/>
  <c r="T40" i="8" s="1"/>
  <c r="P40" i="8"/>
  <c r="L40" i="8"/>
  <c r="S39" i="8"/>
  <c r="T39" i="8" s="1"/>
  <c r="P39" i="8"/>
  <c r="AB39" i="8" s="1"/>
  <c r="L39" i="8"/>
  <c r="Z38" i="8"/>
  <c r="AA38" i="8" s="1"/>
  <c r="S38" i="8"/>
  <c r="T38" i="8" s="1"/>
  <c r="P38" i="8"/>
  <c r="L38" i="8"/>
  <c r="S37" i="8"/>
  <c r="T37" i="8" s="1"/>
  <c r="P37" i="8"/>
  <c r="AB37" i="8" s="1"/>
  <c r="L37" i="8"/>
  <c r="Z36" i="8"/>
  <c r="AA36" i="8" s="1"/>
  <c r="S36" i="8"/>
  <c r="T36" i="8" s="1"/>
  <c r="P36" i="8"/>
  <c r="L36" i="8"/>
  <c r="S35" i="8"/>
  <c r="T35" i="8" s="1"/>
  <c r="P35" i="8"/>
  <c r="AB35" i="8" s="1"/>
  <c r="L35" i="8"/>
  <c r="S34" i="8"/>
  <c r="T34" i="8" s="1"/>
  <c r="P34" i="8"/>
  <c r="AB34" i="8" s="1"/>
  <c r="L34" i="8"/>
  <c r="Z33" i="8"/>
  <c r="AA33" i="8" s="1"/>
  <c r="S33" i="8"/>
  <c r="T33" i="8" s="1"/>
  <c r="P33" i="8"/>
  <c r="L33" i="8"/>
  <c r="S32" i="8"/>
  <c r="T32" i="8" s="1"/>
  <c r="P32" i="8"/>
  <c r="AB32" i="8" s="1"/>
  <c r="L32" i="8"/>
  <c r="Z31" i="8"/>
  <c r="AA31" i="8" s="1"/>
  <c r="S31" i="8"/>
  <c r="T31" i="8" s="1"/>
  <c r="P31" i="8"/>
  <c r="L31" i="8"/>
  <c r="Z30" i="8"/>
  <c r="AA30" i="8" s="1"/>
  <c r="S30" i="8"/>
  <c r="T30" i="8" s="1"/>
  <c r="P30" i="8"/>
  <c r="L30" i="8"/>
  <c r="Z29" i="8"/>
  <c r="AA29" i="8" s="1"/>
  <c r="S29" i="8"/>
  <c r="T29" i="8" s="1"/>
  <c r="P29" i="8"/>
  <c r="L29" i="8"/>
  <c r="S28" i="8"/>
  <c r="T28" i="8" s="1"/>
  <c r="Z27" i="8"/>
  <c r="AA27" i="8" s="1"/>
  <c r="S27" i="8"/>
  <c r="T27" i="8" s="1"/>
  <c r="P27" i="8"/>
  <c r="L27" i="8"/>
  <c r="Z26" i="8"/>
  <c r="AA26" i="8" s="1"/>
  <c r="S26" i="8"/>
  <c r="T26" i="8" s="1"/>
  <c r="P26" i="8"/>
  <c r="L26" i="8"/>
  <c r="Z25" i="8"/>
  <c r="AA25" i="8" s="1"/>
  <c r="S25" i="8"/>
  <c r="T25" i="8" s="1"/>
  <c r="P25" i="8"/>
  <c r="L25" i="8"/>
  <c r="S24" i="8"/>
  <c r="T24" i="8" s="1"/>
  <c r="P24" i="8"/>
  <c r="AB24" i="8" s="1"/>
  <c r="L24" i="8"/>
  <c r="Z23" i="8"/>
  <c r="AA23" i="8" s="1"/>
  <c r="S23" i="8"/>
  <c r="T23" i="8" s="1"/>
  <c r="P23" i="8"/>
  <c r="L23" i="8"/>
  <c r="Z22" i="8"/>
  <c r="AA22" i="8" s="1"/>
  <c r="S22" i="8"/>
  <c r="T22" i="8" s="1"/>
  <c r="P22" i="8"/>
  <c r="L22" i="8"/>
  <c r="Z21" i="8"/>
  <c r="AA21" i="8" s="1"/>
  <c r="S21" i="8"/>
  <c r="T21" i="8" s="1"/>
  <c r="P21" i="8"/>
  <c r="L21" i="8"/>
  <c r="Z20" i="8"/>
  <c r="AA20" i="8" s="1"/>
  <c r="S20" i="8"/>
  <c r="T20" i="8" s="1"/>
  <c r="P20" i="8"/>
  <c r="L20" i="8"/>
  <c r="Z19" i="8"/>
  <c r="AA19" i="8" s="1"/>
  <c r="S19" i="8"/>
  <c r="T19" i="8" s="1"/>
  <c r="P19" i="8"/>
  <c r="L19" i="8"/>
  <c r="Z18" i="8"/>
  <c r="AA18" i="8" s="1"/>
  <c r="S18" i="8"/>
  <c r="T18" i="8" s="1"/>
  <c r="P18" i="8"/>
  <c r="L18" i="8"/>
  <c r="S17" i="8"/>
  <c r="T17" i="8" s="1"/>
  <c r="P17" i="8"/>
  <c r="AB17" i="8" s="1"/>
  <c r="L17" i="8"/>
  <c r="Z16" i="8"/>
  <c r="AA16" i="8" s="1"/>
  <c r="S16" i="8"/>
  <c r="T16" i="8" s="1"/>
  <c r="P16" i="8"/>
  <c r="L16" i="8"/>
  <c r="Z15" i="8"/>
  <c r="AA15" i="8" s="1"/>
  <c r="S15" i="8"/>
  <c r="T15" i="8" s="1"/>
  <c r="P15" i="8"/>
  <c r="L15" i="8"/>
  <c r="S14" i="8"/>
  <c r="T14" i="8" s="1"/>
  <c r="P14" i="8"/>
  <c r="AB14" i="8" s="1"/>
  <c r="L14" i="8"/>
  <c r="S13" i="8"/>
  <c r="T13" i="8" s="1"/>
  <c r="L13" i="8"/>
  <c r="Z11" i="8"/>
  <c r="AA11" i="8" s="1"/>
  <c r="S11" i="8"/>
  <c r="T11" i="8" s="1"/>
  <c r="P11" i="8"/>
  <c r="L11" i="8"/>
  <c r="S10" i="8"/>
  <c r="T10" i="8" s="1"/>
  <c r="P10" i="8"/>
  <c r="AB10" i="8" s="1"/>
  <c r="L10" i="8"/>
  <c r="R125" i="6"/>
  <c r="Q125" i="6"/>
  <c r="O125" i="7"/>
  <c r="V182" i="7"/>
  <c r="U182" i="7"/>
  <c r="T182" i="7"/>
  <c r="S182" i="7"/>
  <c r="R182" i="7"/>
  <c r="X181" i="7"/>
  <c r="W181" i="7"/>
  <c r="P181" i="7"/>
  <c r="Q181" i="7" s="1"/>
  <c r="Y181" i="7" s="1"/>
  <c r="M181" i="7"/>
  <c r="L181" i="7"/>
  <c r="W180" i="7"/>
  <c r="X180" i="7" s="1"/>
  <c r="Q180" i="7"/>
  <c r="Y180" i="7" s="1"/>
  <c r="P180" i="7"/>
  <c r="M180" i="7"/>
  <c r="L180" i="7"/>
  <c r="W179" i="7"/>
  <c r="X179" i="7" s="1"/>
  <c r="Q179" i="7"/>
  <c r="P179" i="7"/>
  <c r="M179" i="7"/>
  <c r="L179" i="7"/>
  <c r="Y178" i="7"/>
  <c r="X178" i="7"/>
  <c r="W178" i="7"/>
  <c r="Q178" i="7"/>
  <c r="P178" i="7"/>
  <c r="M178" i="7"/>
  <c r="L178" i="7"/>
  <c r="X177" i="7"/>
  <c r="W177" i="7"/>
  <c r="P177" i="7"/>
  <c r="Q177" i="7" s="1"/>
  <c r="Y177" i="7" s="1"/>
  <c r="M177" i="7"/>
  <c r="L177" i="7"/>
  <c r="X176" i="7"/>
  <c r="W176" i="7"/>
  <c r="Q176" i="7"/>
  <c r="Y176" i="7" s="1"/>
  <c r="P176" i="7"/>
  <c r="M176" i="7"/>
  <c r="L176" i="7"/>
  <c r="W175" i="7"/>
  <c r="X175" i="7" s="1"/>
  <c r="Q175" i="7"/>
  <c r="Y175" i="7" s="1"/>
  <c r="P175" i="7"/>
  <c r="M175" i="7"/>
  <c r="L175" i="7"/>
  <c r="X174" i="7"/>
  <c r="W174" i="7"/>
  <c r="Q174" i="7"/>
  <c r="Y174" i="7" s="1"/>
  <c r="P174" i="7"/>
  <c r="M174" i="7"/>
  <c r="L174" i="7"/>
  <c r="X173" i="7"/>
  <c r="W173" i="7"/>
  <c r="P173" i="7"/>
  <c r="Q173" i="7" s="1"/>
  <c r="Y173" i="7" s="1"/>
  <c r="M173" i="7"/>
  <c r="L173" i="7"/>
  <c r="X172" i="7"/>
  <c r="W172" i="7"/>
  <c r="Q172" i="7"/>
  <c r="Y172" i="7" s="1"/>
  <c r="P172" i="7"/>
  <c r="M172" i="7"/>
  <c r="L172" i="7"/>
  <c r="W171" i="7"/>
  <c r="X171" i="7" s="1"/>
  <c r="Y171" i="7" s="1"/>
  <c r="Q171" i="7"/>
  <c r="P171" i="7"/>
  <c r="M171" i="7"/>
  <c r="L171" i="7"/>
  <c r="X170" i="7"/>
  <c r="W170" i="7"/>
  <c r="P170" i="7"/>
  <c r="Q170" i="7" s="1"/>
  <c r="Y170" i="7" s="1"/>
  <c r="M170" i="7"/>
  <c r="L170" i="7"/>
  <c r="X169" i="7"/>
  <c r="W169" i="7"/>
  <c r="P169" i="7"/>
  <c r="Q169" i="7" s="1"/>
  <c r="Y169" i="7" s="1"/>
  <c r="M169" i="7"/>
  <c r="L169" i="7"/>
  <c r="W168" i="7"/>
  <c r="X168" i="7" s="1"/>
  <c r="Q168" i="7"/>
  <c r="P168" i="7"/>
  <c r="M168" i="7"/>
  <c r="L168" i="7"/>
  <c r="W167" i="7"/>
  <c r="X167" i="7" s="1"/>
  <c r="Q167" i="7"/>
  <c r="Y167" i="7" s="1"/>
  <c r="P167" i="7"/>
  <c r="M167" i="7"/>
  <c r="L167" i="7"/>
  <c r="Y166" i="7"/>
  <c r="X166" i="7"/>
  <c r="W166" i="7"/>
  <c r="Q166" i="7"/>
  <c r="P166" i="7"/>
  <c r="M166" i="7"/>
  <c r="L166" i="7"/>
  <c r="X165" i="7"/>
  <c r="W165" i="7"/>
  <c r="P165" i="7"/>
  <c r="Q165" i="7" s="1"/>
  <c r="Y165" i="7" s="1"/>
  <c r="M165" i="7"/>
  <c r="L165" i="7"/>
  <c r="X164" i="7"/>
  <c r="W164" i="7"/>
  <c r="Q164" i="7"/>
  <c r="Y164" i="7" s="1"/>
  <c r="P164" i="7"/>
  <c r="M164" i="7"/>
  <c r="L164" i="7"/>
  <c r="W163" i="7"/>
  <c r="X163" i="7" s="1"/>
  <c r="Q163" i="7"/>
  <c r="P163" i="7"/>
  <c r="M163" i="7"/>
  <c r="L163" i="7"/>
  <c r="X162" i="7"/>
  <c r="W162" i="7"/>
  <c r="Q162" i="7"/>
  <c r="Y162" i="7" s="1"/>
  <c r="P162" i="7"/>
  <c r="M162" i="7"/>
  <c r="L162" i="7"/>
  <c r="X161" i="7"/>
  <c r="W161" i="7"/>
  <c r="P161" i="7"/>
  <c r="Q161" i="7" s="1"/>
  <c r="Y161" i="7" s="1"/>
  <c r="M161" i="7"/>
  <c r="L161" i="7"/>
  <c r="X160" i="7"/>
  <c r="W160" i="7"/>
  <c r="Q160" i="7"/>
  <c r="Y160" i="7" s="1"/>
  <c r="P160" i="7"/>
  <c r="M160" i="7"/>
  <c r="L160" i="7"/>
  <c r="W159" i="7"/>
  <c r="X159" i="7" s="1"/>
  <c r="Y159" i="7" s="1"/>
  <c r="Q159" i="7"/>
  <c r="P159" i="7"/>
  <c r="M159" i="7"/>
  <c r="L159" i="7"/>
  <c r="X158" i="7"/>
  <c r="W158" i="7"/>
  <c r="P158" i="7"/>
  <c r="Q158" i="7" s="1"/>
  <c r="Y158" i="7" s="1"/>
  <c r="M158" i="7"/>
  <c r="L158" i="7"/>
  <c r="X157" i="7"/>
  <c r="W157" i="7"/>
  <c r="P157" i="7"/>
  <c r="Q157" i="7" s="1"/>
  <c r="Y157" i="7" s="1"/>
  <c r="M157" i="7"/>
  <c r="L157" i="7"/>
  <c r="W156" i="7"/>
  <c r="X156" i="7" s="1"/>
  <c r="Q156" i="7"/>
  <c r="P156" i="7"/>
  <c r="M156" i="7"/>
  <c r="L156" i="7"/>
  <c r="W155" i="7"/>
  <c r="X155" i="7" s="1"/>
  <c r="Q155" i="7"/>
  <c r="Y155" i="7" s="1"/>
  <c r="P155" i="7"/>
  <c r="M155" i="7"/>
  <c r="L155" i="7"/>
  <c r="Y154" i="7"/>
  <c r="X154" i="7"/>
  <c r="W154" i="7"/>
  <c r="Q154" i="7"/>
  <c r="P154" i="7"/>
  <c r="M154" i="7"/>
  <c r="L154" i="7"/>
  <c r="X153" i="7"/>
  <c r="W153" i="7"/>
  <c r="P153" i="7"/>
  <c r="Q153" i="7" s="1"/>
  <c r="Y153" i="7" s="1"/>
  <c r="M153" i="7"/>
  <c r="L153" i="7"/>
  <c r="X152" i="7"/>
  <c r="W152" i="7"/>
  <c r="P152" i="7"/>
  <c r="Q152" i="7" s="1"/>
  <c r="Y152" i="7" s="1"/>
  <c r="M152" i="7"/>
  <c r="L152" i="7"/>
  <c r="W151" i="7"/>
  <c r="X151" i="7" s="1"/>
  <c r="Q151" i="7"/>
  <c r="P151" i="7"/>
  <c r="M151" i="7"/>
  <c r="L151" i="7"/>
  <c r="W150" i="7"/>
  <c r="X150" i="7" s="1"/>
  <c r="Q150" i="7"/>
  <c r="Y150" i="7" s="1"/>
  <c r="P150" i="7"/>
  <c r="M150" i="7"/>
  <c r="L150" i="7"/>
  <c r="X149" i="7"/>
  <c r="W149" i="7"/>
  <c r="P149" i="7"/>
  <c r="Q149" i="7" s="1"/>
  <c r="Y149" i="7" s="1"/>
  <c r="M149" i="7"/>
  <c r="L149" i="7"/>
  <c r="X148" i="7"/>
  <c r="W148" i="7"/>
  <c r="Q148" i="7"/>
  <c r="Y148" i="7" s="1"/>
  <c r="P148" i="7"/>
  <c r="M148" i="7"/>
  <c r="L148" i="7"/>
  <c r="W147" i="7"/>
  <c r="X147" i="7" s="1"/>
  <c r="Y147" i="7" s="1"/>
  <c r="Q147" i="7"/>
  <c r="P147" i="7"/>
  <c r="M147" i="7"/>
  <c r="L147" i="7"/>
  <c r="X146" i="7"/>
  <c r="W146" i="7"/>
  <c r="P146" i="7"/>
  <c r="Q146" i="7" s="1"/>
  <c r="Y146" i="7" s="1"/>
  <c r="M146" i="7"/>
  <c r="L146" i="7"/>
  <c r="X145" i="7"/>
  <c r="W145" i="7"/>
  <c r="P145" i="7"/>
  <c r="Q145" i="7" s="1"/>
  <c r="Y145" i="7" s="1"/>
  <c r="M145" i="7"/>
  <c r="L145" i="7"/>
  <c r="W144" i="7"/>
  <c r="X144" i="7" s="1"/>
  <c r="Q144" i="7"/>
  <c r="P144" i="7"/>
  <c r="M144" i="7"/>
  <c r="L144" i="7"/>
  <c r="W143" i="7"/>
  <c r="X143" i="7" s="1"/>
  <c r="Q143" i="7"/>
  <c r="Y143" i="7" s="1"/>
  <c r="P143" i="7"/>
  <c r="M143" i="7"/>
  <c r="L143" i="7"/>
  <c r="Y142" i="7"/>
  <c r="X142" i="7"/>
  <c r="W142" i="7"/>
  <c r="Q142" i="7"/>
  <c r="P142" i="7"/>
  <c r="M142" i="7"/>
  <c r="L142" i="7"/>
  <c r="X141" i="7"/>
  <c r="W141" i="7"/>
  <c r="P141" i="7"/>
  <c r="Q141" i="7" s="1"/>
  <c r="Y141" i="7" s="1"/>
  <c r="M141" i="7"/>
  <c r="L141" i="7"/>
  <c r="X140" i="7"/>
  <c r="W140" i="7"/>
  <c r="P140" i="7"/>
  <c r="Q140" i="7" s="1"/>
  <c r="Y140" i="7" s="1"/>
  <c r="M140" i="7"/>
  <c r="L140" i="7"/>
  <c r="W139" i="7"/>
  <c r="X139" i="7" s="1"/>
  <c r="Q139" i="7"/>
  <c r="Y139" i="7" s="1"/>
  <c r="P139" i="7"/>
  <c r="M139" i="7"/>
  <c r="L139" i="7"/>
  <c r="W138" i="7"/>
  <c r="X138" i="7" s="1"/>
  <c r="Q138" i="7"/>
  <c r="P138" i="7"/>
  <c r="M138" i="7"/>
  <c r="L138" i="7"/>
  <c r="X137" i="7"/>
  <c r="W137" i="7"/>
  <c r="P137" i="7"/>
  <c r="Q137" i="7" s="1"/>
  <c r="Y137" i="7" s="1"/>
  <c r="M137" i="7"/>
  <c r="L137" i="7"/>
  <c r="X136" i="7"/>
  <c r="W136" i="7"/>
  <c r="Q136" i="7"/>
  <c r="Y136" i="7" s="1"/>
  <c r="P136" i="7"/>
  <c r="M136" i="7"/>
  <c r="L136" i="7"/>
  <c r="W135" i="7"/>
  <c r="X135" i="7" s="1"/>
  <c r="Y135" i="7" s="1"/>
  <c r="Q135" i="7"/>
  <c r="P135" i="7"/>
  <c r="M135" i="7"/>
  <c r="L135" i="7"/>
  <c r="X134" i="7"/>
  <c r="W134" i="7"/>
  <c r="P134" i="7"/>
  <c r="Q134" i="7" s="1"/>
  <c r="Y134" i="7" s="1"/>
  <c r="M134" i="7"/>
  <c r="L134" i="7"/>
  <c r="X133" i="7"/>
  <c r="W133" i="7"/>
  <c r="P133" i="7"/>
  <c r="Q133" i="7" s="1"/>
  <c r="Y133" i="7" s="1"/>
  <c r="M133" i="7"/>
  <c r="L133" i="7"/>
  <c r="W132" i="7"/>
  <c r="X132" i="7" s="1"/>
  <c r="Q132" i="7"/>
  <c r="Y132" i="7" s="1"/>
  <c r="P132" i="7"/>
  <c r="M132" i="7"/>
  <c r="L132" i="7"/>
  <c r="W131" i="7"/>
  <c r="X131" i="7" s="1"/>
  <c r="Q131" i="7"/>
  <c r="P131" i="7"/>
  <c r="M131" i="7"/>
  <c r="L131" i="7"/>
  <c r="Y130" i="7"/>
  <c r="X130" i="7"/>
  <c r="W130" i="7"/>
  <c r="Q130" i="7"/>
  <c r="P130" i="7"/>
  <c r="M130" i="7"/>
  <c r="L130" i="7"/>
  <c r="X129" i="7"/>
  <c r="W129" i="7"/>
  <c r="P129" i="7"/>
  <c r="Q129" i="7" s="1"/>
  <c r="Y129" i="7" s="1"/>
  <c r="M129" i="7"/>
  <c r="L129" i="7"/>
  <c r="X128" i="7"/>
  <c r="W128" i="7"/>
  <c r="P128" i="7"/>
  <c r="Q128" i="7" s="1"/>
  <c r="Y128" i="7" s="1"/>
  <c r="M128" i="7"/>
  <c r="L128" i="7"/>
  <c r="W127" i="7"/>
  <c r="X127" i="7" s="1"/>
  <c r="Q127" i="7"/>
  <c r="Y127" i="7" s="1"/>
  <c r="P127" i="7"/>
  <c r="M127" i="7"/>
  <c r="L127" i="7"/>
  <c r="W126" i="7"/>
  <c r="X126" i="7" s="1"/>
  <c r="Q126" i="7"/>
  <c r="Y126" i="7" s="1"/>
  <c r="P126" i="7"/>
  <c r="M126" i="7"/>
  <c r="L126" i="7"/>
  <c r="X125" i="7"/>
  <c r="W125" i="7"/>
  <c r="P125" i="7"/>
  <c r="Q125" i="7" s="1"/>
  <c r="N125" i="7"/>
  <c r="M125" i="7"/>
  <c r="L125" i="7"/>
  <c r="X124" i="7"/>
  <c r="W124" i="7"/>
  <c r="P124" i="7"/>
  <c r="Q124" i="7" s="1"/>
  <c r="Y124" i="7" s="1"/>
  <c r="M124" i="7"/>
  <c r="L124" i="7"/>
  <c r="X123" i="7"/>
  <c r="W123" i="7"/>
  <c r="P123" i="7"/>
  <c r="Q123" i="7" s="1"/>
  <c r="Y123" i="7" s="1"/>
  <c r="M123" i="7"/>
  <c r="L123" i="7"/>
  <c r="W122" i="7"/>
  <c r="X122" i="7" s="1"/>
  <c r="Q122" i="7"/>
  <c r="P122" i="7"/>
  <c r="M122" i="7"/>
  <c r="L122" i="7"/>
  <c r="W121" i="7"/>
  <c r="X121" i="7" s="1"/>
  <c r="Q121" i="7"/>
  <c r="Y121" i="7" s="1"/>
  <c r="P121" i="7"/>
  <c r="M121" i="7"/>
  <c r="L121" i="7"/>
  <c r="X120" i="7"/>
  <c r="W120" i="7"/>
  <c r="P120" i="7"/>
  <c r="Q120" i="7" s="1"/>
  <c r="Y120" i="7" s="1"/>
  <c r="M120" i="7"/>
  <c r="L120" i="7"/>
  <c r="X119" i="7"/>
  <c r="W119" i="7"/>
  <c r="Q119" i="7"/>
  <c r="Y119" i="7" s="1"/>
  <c r="P119" i="7"/>
  <c r="M119" i="7"/>
  <c r="L119" i="7"/>
  <c r="W118" i="7"/>
  <c r="X118" i="7" s="1"/>
  <c r="P118" i="7"/>
  <c r="Q118" i="7" s="1"/>
  <c r="Y118" i="7" s="1"/>
  <c r="M118" i="7"/>
  <c r="L118" i="7"/>
  <c r="X117" i="7"/>
  <c r="W117" i="7"/>
  <c r="P117" i="7"/>
  <c r="Q117" i="7" s="1"/>
  <c r="Y117" i="7" s="1"/>
  <c r="M117" i="7"/>
  <c r="L117" i="7"/>
  <c r="W116" i="7"/>
  <c r="X116" i="7" s="1"/>
  <c r="P116" i="7"/>
  <c r="Q116" i="7" s="1"/>
  <c r="Y116" i="7" s="1"/>
  <c r="M116" i="7"/>
  <c r="L116" i="7"/>
  <c r="W115" i="7"/>
  <c r="X115" i="7" s="1"/>
  <c r="Q115" i="7"/>
  <c r="Y115" i="7" s="1"/>
  <c r="P115" i="7"/>
  <c r="M115" i="7"/>
  <c r="L115" i="7"/>
  <c r="W114" i="7"/>
  <c r="X114" i="7" s="1"/>
  <c r="Q114" i="7"/>
  <c r="Y114" i="7" s="1"/>
  <c r="P114" i="7"/>
  <c r="M114" i="7"/>
  <c r="L114" i="7"/>
  <c r="Y113" i="7"/>
  <c r="X113" i="7"/>
  <c r="W113" i="7"/>
  <c r="Q113" i="7"/>
  <c r="P113" i="7"/>
  <c r="M113" i="7"/>
  <c r="L113" i="7"/>
  <c r="X112" i="7"/>
  <c r="W112" i="7"/>
  <c r="P112" i="7"/>
  <c r="Q112" i="7" s="1"/>
  <c r="Y112" i="7" s="1"/>
  <c r="M112" i="7"/>
  <c r="L112" i="7"/>
  <c r="X111" i="7"/>
  <c r="W111" i="7"/>
  <c r="P111" i="7"/>
  <c r="Q111" i="7" s="1"/>
  <c r="Y111" i="7" s="1"/>
  <c r="M111" i="7"/>
  <c r="L111" i="7"/>
  <c r="W110" i="7"/>
  <c r="X110" i="7" s="1"/>
  <c r="Q110" i="7"/>
  <c r="P110" i="7"/>
  <c r="M110" i="7"/>
  <c r="L110" i="7"/>
  <c r="W109" i="7"/>
  <c r="X109" i="7" s="1"/>
  <c r="Q109" i="7"/>
  <c r="Y109" i="7" s="1"/>
  <c r="P109" i="7"/>
  <c r="M109" i="7"/>
  <c r="L109" i="7"/>
  <c r="X108" i="7"/>
  <c r="W108" i="7"/>
  <c r="P108" i="7"/>
  <c r="Q108" i="7" s="1"/>
  <c r="Y108" i="7" s="1"/>
  <c r="M108" i="7"/>
  <c r="L108" i="7"/>
  <c r="X107" i="7"/>
  <c r="W107" i="7"/>
  <c r="Q107" i="7"/>
  <c r="Y107" i="7" s="1"/>
  <c r="P107" i="7"/>
  <c r="M107" i="7"/>
  <c r="L107" i="7"/>
  <c r="W106" i="7"/>
  <c r="X106" i="7" s="1"/>
  <c r="P106" i="7"/>
  <c r="Q106" i="7" s="1"/>
  <c r="Y106" i="7" s="1"/>
  <c r="M106" i="7"/>
  <c r="L106" i="7"/>
  <c r="X105" i="7"/>
  <c r="W105" i="7"/>
  <c r="P105" i="7"/>
  <c r="Q105" i="7" s="1"/>
  <c r="Y105" i="7" s="1"/>
  <c r="M105" i="7"/>
  <c r="L105" i="7"/>
  <c r="W104" i="7"/>
  <c r="X104" i="7" s="1"/>
  <c r="P104" i="7"/>
  <c r="Q104" i="7" s="1"/>
  <c r="Y104" i="7" s="1"/>
  <c r="M104" i="7"/>
  <c r="L104" i="7"/>
  <c r="W103" i="7"/>
  <c r="X103" i="7" s="1"/>
  <c r="Q103" i="7"/>
  <c r="Y103" i="7" s="1"/>
  <c r="P103" i="7"/>
  <c r="M103" i="7"/>
  <c r="L103" i="7"/>
  <c r="W102" i="7"/>
  <c r="X102" i="7" s="1"/>
  <c r="Q102" i="7"/>
  <c r="P102" i="7"/>
  <c r="M102" i="7"/>
  <c r="L102" i="7"/>
  <c r="Y101" i="7"/>
  <c r="X101" i="7"/>
  <c r="W101" i="7"/>
  <c r="Q101" i="7"/>
  <c r="P101" i="7"/>
  <c r="M101" i="7"/>
  <c r="L101" i="7"/>
  <c r="X100" i="7"/>
  <c r="W100" i="7"/>
  <c r="P100" i="7"/>
  <c r="Q100" i="7" s="1"/>
  <c r="Y100" i="7" s="1"/>
  <c r="M100" i="7"/>
  <c r="L100" i="7"/>
  <c r="X99" i="7"/>
  <c r="W99" i="7"/>
  <c r="P99" i="7"/>
  <c r="Q99" i="7" s="1"/>
  <c r="Y99" i="7" s="1"/>
  <c r="M99" i="7"/>
  <c r="L99" i="7"/>
  <c r="W98" i="7"/>
  <c r="X98" i="7" s="1"/>
  <c r="Q98" i="7"/>
  <c r="Y98" i="7" s="1"/>
  <c r="P98" i="7"/>
  <c r="M98" i="7"/>
  <c r="L98" i="7"/>
  <c r="W97" i="7"/>
  <c r="X97" i="7" s="1"/>
  <c r="Q97" i="7"/>
  <c r="Y97" i="7" s="1"/>
  <c r="P97" i="7"/>
  <c r="M97" i="7"/>
  <c r="L97" i="7"/>
  <c r="X96" i="7"/>
  <c r="W96" i="7"/>
  <c r="P96" i="7"/>
  <c r="Q96" i="7" s="1"/>
  <c r="Y96" i="7" s="1"/>
  <c r="M96" i="7"/>
  <c r="L96" i="7"/>
  <c r="X95" i="7"/>
  <c r="W95" i="7"/>
  <c r="Q95" i="7"/>
  <c r="Y95" i="7" s="1"/>
  <c r="P95" i="7"/>
  <c r="M95" i="7"/>
  <c r="L95" i="7"/>
  <c r="W94" i="7"/>
  <c r="X94" i="7" s="1"/>
  <c r="P94" i="7"/>
  <c r="Q94" i="7" s="1"/>
  <c r="Y94" i="7" s="1"/>
  <c r="M94" i="7"/>
  <c r="L94" i="7"/>
  <c r="X93" i="7"/>
  <c r="W93" i="7"/>
  <c r="P93" i="7"/>
  <c r="Q93" i="7" s="1"/>
  <c r="Y93" i="7" s="1"/>
  <c r="M93" i="7"/>
  <c r="L93" i="7"/>
  <c r="W92" i="7"/>
  <c r="X92" i="7" s="1"/>
  <c r="P92" i="7"/>
  <c r="Q92" i="7" s="1"/>
  <c r="M92" i="7"/>
  <c r="L92" i="7"/>
  <c r="W91" i="7"/>
  <c r="X91" i="7" s="1"/>
  <c r="Q91" i="7"/>
  <c r="P91" i="7"/>
  <c r="M91" i="7"/>
  <c r="L91" i="7"/>
  <c r="W90" i="7"/>
  <c r="X90" i="7" s="1"/>
  <c r="Q90" i="7"/>
  <c r="Y90" i="7" s="1"/>
  <c r="P90" i="7"/>
  <c r="M90" i="7"/>
  <c r="L90" i="7"/>
  <c r="Y89" i="7"/>
  <c r="X89" i="7"/>
  <c r="W89" i="7"/>
  <c r="Q89" i="7"/>
  <c r="P89" i="7"/>
  <c r="M89" i="7"/>
  <c r="L89" i="7"/>
  <c r="X88" i="7"/>
  <c r="W88" i="7"/>
  <c r="P88" i="7"/>
  <c r="Q88" i="7" s="1"/>
  <c r="Y88" i="7" s="1"/>
  <c r="M88" i="7"/>
  <c r="L88" i="7"/>
  <c r="X87" i="7"/>
  <c r="W87" i="7"/>
  <c r="P87" i="7"/>
  <c r="Q87" i="7" s="1"/>
  <c r="Y87" i="7" s="1"/>
  <c r="M87" i="7"/>
  <c r="L87" i="7"/>
  <c r="W86" i="7"/>
  <c r="X86" i="7" s="1"/>
  <c r="Q86" i="7"/>
  <c r="Y86" i="7" s="1"/>
  <c r="P86" i="7"/>
  <c r="M86" i="7"/>
  <c r="L86" i="7"/>
  <c r="W85" i="7"/>
  <c r="X85" i="7" s="1"/>
  <c r="Q85" i="7"/>
  <c r="P85" i="7"/>
  <c r="M85" i="7"/>
  <c r="L85" i="7"/>
  <c r="X84" i="7"/>
  <c r="W84" i="7"/>
  <c r="P84" i="7"/>
  <c r="Q84" i="7" s="1"/>
  <c r="Y84" i="7" s="1"/>
  <c r="M84" i="7"/>
  <c r="L84" i="7"/>
  <c r="X83" i="7"/>
  <c r="W83" i="7"/>
  <c r="Q83" i="7"/>
  <c r="Y83" i="7" s="1"/>
  <c r="P83" i="7"/>
  <c r="M83" i="7"/>
  <c r="L83" i="7"/>
  <c r="W82" i="7"/>
  <c r="X82" i="7" s="1"/>
  <c r="P82" i="7"/>
  <c r="Q82" i="7" s="1"/>
  <c r="M82" i="7"/>
  <c r="L82" i="7"/>
  <c r="X81" i="7"/>
  <c r="W81" i="7"/>
  <c r="P81" i="7"/>
  <c r="Q81" i="7" s="1"/>
  <c r="Y81" i="7" s="1"/>
  <c r="M81" i="7"/>
  <c r="L81" i="7"/>
  <c r="W80" i="7"/>
  <c r="X80" i="7" s="1"/>
  <c r="P80" i="7"/>
  <c r="Q80" i="7" s="1"/>
  <c r="Y80" i="7" s="1"/>
  <c r="M80" i="7"/>
  <c r="L80" i="7"/>
  <c r="W79" i="7"/>
  <c r="X79" i="7" s="1"/>
  <c r="Q79" i="7"/>
  <c r="P79" i="7"/>
  <c r="M79" i="7"/>
  <c r="L79" i="7"/>
  <c r="W78" i="7"/>
  <c r="X78" i="7" s="1"/>
  <c r="Q78" i="7"/>
  <c r="Y78" i="7" s="1"/>
  <c r="P78" i="7"/>
  <c r="M78" i="7"/>
  <c r="L78" i="7"/>
  <c r="Y77" i="7"/>
  <c r="X77" i="7"/>
  <c r="W77" i="7"/>
  <c r="Q77" i="7"/>
  <c r="P77" i="7"/>
  <c r="M77" i="7"/>
  <c r="L77" i="7"/>
  <c r="X76" i="7"/>
  <c r="W76" i="7"/>
  <c r="P76" i="7"/>
  <c r="Q76" i="7" s="1"/>
  <c r="Y76" i="7" s="1"/>
  <c r="M76" i="7"/>
  <c r="L76" i="7"/>
  <c r="X75" i="7"/>
  <c r="W75" i="7"/>
  <c r="P75" i="7"/>
  <c r="Q75" i="7" s="1"/>
  <c r="Y75" i="7" s="1"/>
  <c r="M75" i="7"/>
  <c r="L75" i="7"/>
  <c r="W74" i="7"/>
  <c r="X74" i="7" s="1"/>
  <c r="Q74" i="7"/>
  <c r="P74" i="7"/>
  <c r="M74" i="7"/>
  <c r="L74" i="7"/>
  <c r="W73" i="7"/>
  <c r="X73" i="7" s="1"/>
  <c r="Q73" i="7"/>
  <c r="Y73" i="7" s="1"/>
  <c r="P73" i="7"/>
  <c r="M73" i="7"/>
  <c r="L73" i="7"/>
  <c r="X72" i="7"/>
  <c r="W72" i="7"/>
  <c r="P72" i="7"/>
  <c r="Q72" i="7" s="1"/>
  <c r="Y72" i="7" s="1"/>
  <c r="M72" i="7"/>
  <c r="L72" i="7"/>
  <c r="X71" i="7"/>
  <c r="W71" i="7"/>
  <c r="Q71" i="7"/>
  <c r="Y71" i="7" s="1"/>
  <c r="P71" i="7"/>
  <c r="M71" i="7"/>
  <c r="L71" i="7"/>
  <c r="W70" i="7"/>
  <c r="X70" i="7" s="1"/>
  <c r="P70" i="7"/>
  <c r="Q70" i="7" s="1"/>
  <c r="M70" i="7"/>
  <c r="L70" i="7"/>
  <c r="X69" i="7"/>
  <c r="W69" i="7"/>
  <c r="P69" i="7"/>
  <c r="Q69" i="7" s="1"/>
  <c r="Y69" i="7" s="1"/>
  <c r="M69" i="7"/>
  <c r="L69" i="7"/>
  <c r="W68" i="7"/>
  <c r="X68" i="7" s="1"/>
  <c r="P68" i="7"/>
  <c r="Q68" i="7" s="1"/>
  <c r="Y68" i="7" s="1"/>
  <c r="M68" i="7"/>
  <c r="L68" i="7"/>
  <c r="W67" i="7"/>
  <c r="X67" i="7" s="1"/>
  <c r="Q67" i="7"/>
  <c r="Y67" i="7" s="1"/>
  <c r="P67" i="7"/>
  <c r="M67" i="7"/>
  <c r="L67" i="7"/>
  <c r="W66" i="7"/>
  <c r="X66" i="7" s="1"/>
  <c r="Q66" i="7"/>
  <c r="Y66" i="7" s="1"/>
  <c r="P66" i="7"/>
  <c r="M66" i="7"/>
  <c r="L66" i="7"/>
  <c r="Y65" i="7"/>
  <c r="X65" i="7"/>
  <c r="W65" i="7"/>
  <c r="Q65" i="7"/>
  <c r="P65" i="7"/>
  <c r="M65" i="7"/>
  <c r="L65" i="7"/>
  <c r="X64" i="7"/>
  <c r="W64" i="7"/>
  <c r="P64" i="7"/>
  <c r="Q64" i="7" s="1"/>
  <c r="Y64" i="7" s="1"/>
  <c r="M64" i="7"/>
  <c r="L64" i="7"/>
  <c r="X63" i="7"/>
  <c r="W63" i="7"/>
  <c r="P63" i="7"/>
  <c r="Q63" i="7" s="1"/>
  <c r="Y63" i="7" s="1"/>
  <c r="M63" i="7"/>
  <c r="L63" i="7"/>
  <c r="W62" i="7"/>
  <c r="X62" i="7" s="1"/>
  <c r="Q62" i="7"/>
  <c r="Y62" i="7" s="1"/>
  <c r="P62" i="7"/>
  <c r="M62" i="7"/>
  <c r="L62" i="7"/>
  <c r="W61" i="7"/>
  <c r="X61" i="7" s="1"/>
  <c r="Q61" i="7"/>
  <c r="Y61" i="7" s="1"/>
  <c r="P61" i="7"/>
  <c r="M61" i="7"/>
  <c r="L61" i="7"/>
  <c r="X60" i="7"/>
  <c r="W60" i="7"/>
  <c r="P60" i="7"/>
  <c r="Q60" i="7" s="1"/>
  <c r="Y60" i="7" s="1"/>
  <c r="M60" i="7"/>
  <c r="L60" i="7"/>
  <c r="X59" i="7"/>
  <c r="W59" i="7"/>
  <c r="Q59" i="7"/>
  <c r="Y59" i="7" s="1"/>
  <c r="P59" i="7"/>
  <c r="M59" i="7"/>
  <c r="L59" i="7"/>
  <c r="W58" i="7"/>
  <c r="X58" i="7" s="1"/>
  <c r="P58" i="7"/>
  <c r="Q58" i="7" s="1"/>
  <c r="Y58" i="7" s="1"/>
  <c r="M58" i="7"/>
  <c r="L58" i="7"/>
  <c r="X57" i="7"/>
  <c r="W57" i="7"/>
  <c r="P57" i="7"/>
  <c r="Q57" i="7" s="1"/>
  <c r="Y57" i="7" s="1"/>
  <c r="M57" i="7"/>
  <c r="L57" i="7"/>
  <c r="W56" i="7"/>
  <c r="X56" i="7" s="1"/>
  <c r="P56" i="7"/>
  <c r="Q56" i="7" s="1"/>
  <c r="Y56" i="7" s="1"/>
  <c r="M56" i="7"/>
  <c r="L56" i="7"/>
  <c r="W55" i="7"/>
  <c r="X55" i="7" s="1"/>
  <c r="Q55" i="7"/>
  <c r="Y55" i="7" s="1"/>
  <c r="P55" i="7"/>
  <c r="M55" i="7"/>
  <c r="L55" i="7"/>
  <c r="W54" i="7"/>
  <c r="X54" i="7" s="1"/>
  <c r="Q54" i="7"/>
  <c r="P54" i="7"/>
  <c r="M54" i="7"/>
  <c r="L54" i="7"/>
  <c r="X53" i="7"/>
  <c r="W53" i="7"/>
  <c r="P53" i="7"/>
  <c r="Q53" i="7" s="1"/>
  <c r="Y53" i="7" s="1"/>
  <c r="M53" i="7"/>
  <c r="L53" i="7"/>
  <c r="X52" i="7"/>
  <c r="W52" i="7"/>
  <c r="P52" i="7"/>
  <c r="Q52" i="7" s="1"/>
  <c r="Y52" i="7" s="1"/>
  <c r="M52" i="7"/>
  <c r="L52" i="7"/>
  <c r="W51" i="7"/>
  <c r="X51" i="7" s="1"/>
  <c r="P51" i="7"/>
  <c r="Q51" i="7" s="1"/>
  <c r="Y51" i="7" s="1"/>
  <c r="M51" i="7"/>
  <c r="L51" i="7"/>
  <c r="W50" i="7"/>
  <c r="X50" i="7" s="1"/>
  <c r="Q50" i="7"/>
  <c r="Y50" i="7" s="1"/>
  <c r="P50" i="7"/>
  <c r="M50" i="7"/>
  <c r="L50" i="7"/>
  <c r="W49" i="7"/>
  <c r="X49" i="7" s="1"/>
  <c r="Q49" i="7"/>
  <c r="P49" i="7"/>
  <c r="M49" i="7"/>
  <c r="L49" i="7"/>
  <c r="X48" i="7"/>
  <c r="W48" i="7"/>
  <c r="P48" i="7"/>
  <c r="Q48" i="7" s="1"/>
  <c r="Y48" i="7" s="1"/>
  <c r="M48" i="7"/>
  <c r="L48" i="7"/>
  <c r="X47" i="7"/>
  <c r="W47" i="7"/>
  <c r="Q47" i="7"/>
  <c r="Y47" i="7" s="1"/>
  <c r="P47" i="7"/>
  <c r="M47" i="7"/>
  <c r="L47" i="7"/>
  <c r="W46" i="7"/>
  <c r="X46" i="7" s="1"/>
  <c r="P46" i="7"/>
  <c r="Q46" i="7" s="1"/>
  <c r="M46" i="7"/>
  <c r="L46" i="7"/>
  <c r="X45" i="7"/>
  <c r="W45" i="7"/>
  <c r="P45" i="7"/>
  <c r="Q45" i="7" s="1"/>
  <c r="Y45" i="7" s="1"/>
  <c r="M45" i="7"/>
  <c r="L45" i="7"/>
  <c r="W44" i="7"/>
  <c r="X44" i="7" s="1"/>
  <c r="P44" i="7"/>
  <c r="Q44" i="7" s="1"/>
  <c r="Y44" i="7" s="1"/>
  <c r="M44" i="7"/>
  <c r="L44" i="7"/>
  <c r="W43" i="7"/>
  <c r="X43" i="7" s="1"/>
  <c r="Q43" i="7"/>
  <c r="P43" i="7"/>
  <c r="M43" i="7"/>
  <c r="L43" i="7"/>
  <c r="W42" i="7"/>
  <c r="X42" i="7" s="1"/>
  <c r="Q42" i="7"/>
  <c r="Y42" i="7" s="1"/>
  <c r="P42" i="7"/>
  <c r="M42" i="7"/>
  <c r="L42" i="7"/>
  <c r="X41" i="7"/>
  <c r="W41" i="7"/>
  <c r="P41" i="7"/>
  <c r="Q41" i="7" s="1"/>
  <c r="Y41" i="7" s="1"/>
  <c r="M41" i="7"/>
  <c r="L41" i="7"/>
  <c r="X40" i="7"/>
  <c r="W40" i="7"/>
  <c r="P40" i="7"/>
  <c r="Q40" i="7" s="1"/>
  <c r="Y40" i="7" s="1"/>
  <c r="M40" i="7"/>
  <c r="L40" i="7"/>
  <c r="W39" i="7"/>
  <c r="X39" i="7" s="1"/>
  <c r="P39" i="7"/>
  <c r="Q39" i="7" s="1"/>
  <c r="Y39" i="7" s="1"/>
  <c r="M39" i="7"/>
  <c r="L39" i="7"/>
  <c r="W38" i="7"/>
  <c r="X38" i="7" s="1"/>
  <c r="Q38" i="7"/>
  <c r="P38" i="7"/>
  <c r="M38" i="7"/>
  <c r="L38" i="7"/>
  <c r="W37" i="7"/>
  <c r="X37" i="7" s="1"/>
  <c r="Q37" i="7"/>
  <c r="Y37" i="7" s="1"/>
  <c r="P37" i="7"/>
  <c r="M37" i="7"/>
  <c r="L37" i="7"/>
  <c r="X36" i="7"/>
  <c r="W36" i="7"/>
  <c r="P36" i="7"/>
  <c r="Q36" i="7" s="1"/>
  <c r="Y36" i="7" s="1"/>
  <c r="M36" i="7"/>
  <c r="L36" i="7"/>
  <c r="X35" i="7"/>
  <c r="W35" i="7"/>
  <c r="Q35" i="7"/>
  <c r="Y35" i="7" s="1"/>
  <c r="P35" i="7"/>
  <c r="M35" i="7"/>
  <c r="L35" i="7"/>
  <c r="W34" i="7"/>
  <c r="X34" i="7" s="1"/>
  <c r="P34" i="7"/>
  <c r="Q34" i="7" s="1"/>
  <c r="Y34" i="7" s="1"/>
  <c r="M34" i="7"/>
  <c r="L34" i="7"/>
  <c r="X33" i="7"/>
  <c r="W33" i="7"/>
  <c r="P33" i="7"/>
  <c r="Q33" i="7" s="1"/>
  <c r="Y33" i="7" s="1"/>
  <c r="M33" i="7"/>
  <c r="L33" i="7"/>
  <c r="W32" i="7"/>
  <c r="X32" i="7" s="1"/>
  <c r="P32" i="7"/>
  <c r="Q32" i="7" s="1"/>
  <c r="Y32" i="7" s="1"/>
  <c r="M32" i="7"/>
  <c r="L32" i="7"/>
  <c r="W31" i="7"/>
  <c r="X31" i="7" s="1"/>
  <c r="Q31" i="7"/>
  <c r="Y31" i="7" s="1"/>
  <c r="P31" i="7"/>
  <c r="M31" i="7"/>
  <c r="L31" i="7"/>
  <c r="W30" i="7"/>
  <c r="X30" i="7" s="1"/>
  <c r="Q30" i="7"/>
  <c r="P30" i="7"/>
  <c r="M30" i="7"/>
  <c r="L30" i="7"/>
  <c r="X29" i="7"/>
  <c r="W29" i="7"/>
  <c r="P29" i="7"/>
  <c r="Q29" i="7" s="1"/>
  <c r="Y29" i="7" s="1"/>
  <c r="M29" i="7"/>
  <c r="L29" i="7"/>
  <c r="X28" i="7"/>
  <c r="W28" i="7"/>
  <c r="P28" i="7"/>
  <c r="Q28" i="7" s="1"/>
  <c r="Y28" i="7" s="1"/>
  <c r="M28" i="7"/>
  <c r="L28" i="7"/>
  <c r="W27" i="7"/>
  <c r="X27" i="7" s="1"/>
  <c r="P27" i="7"/>
  <c r="Q27" i="7" s="1"/>
  <c r="Y27" i="7" s="1"/>
  <c r="M27" i="7"/>
  <c r="L27" i="7"/>
  <c r="W26" i="7"/>
  <c r="X26" i="7" s="1"/>
  <c r="Q26" i="7"/>
  <c r="Y26" i="7" s="1"/>
  <c r="P26" i="7"/>
  <c r="M26" i="7"/>
  <c r="L26" i="7"/>
  <c r="W25" i="7"/>
  <c r="X25" i="7" s="1"/>
  <c r="Q25" i="7"/>
  <c r="P25" i="7"/>
  <c r="M25" i="7"/>
  <c r="L25" i="7"/>
  <c r="X24" i="7"/>
  <c r="W24" i="7"/>
  <c r="P24" i="7"/>
  <c r="Q24" i="7" s="1"/>
  <c r="Y24" i="7" s="1"/>
  <c r="M24" i="7"/>
  <c r="L24" i="7"/>
  <c r="X23" i="7"/>
  <c r="W23" i="7"/>
  <c r="Q23" i="7"/>
  <c r="Y23" i="7" s="1"/>
  <c r="P23" i="7"/>
  <c r="M23" i="7"/>
  <c r="L23" i="7"/>
  <c r="W22" i="7"/>
  <c r="X22" i="7" s="1"/>
  <c r="P22" i="7"/>
  <c r="Q22" i="7" s="1"/>
  <c r="M22" i="7"/>
  <c r="L22" i="7"/>
  <c r="X21" i="7"/>
  <c r="W21" i="7"/>
  <c r="P21" i="7"/>
  <c r="Q21" i="7" s="1"/>
  <c r="Y21" i="7" s="1"/>
  <c r="M21" i="7"/>
  <c r="L21" i="7"/>
  <c r="W20" i="7"/>
  <c r="X20" i="7" s="1"/>
  <c r="P20" i="7"/>
  <c r="Q20" i="7" s="1"/>
  <c r="Y20" i="7" s="1"/>
  <c r="M20" i="7"/>
  <c r="L20" i="7"/>
  <c r="W19" i="7"/>
  <c r="X19" i="7" s="1"/>
  <c r="Q19" i="7"/>
  <c r="Y19" i="7" s="1"/>
  <c r="P19" i="7"/>
  <c r="M19" i="7"/>
  <c r="L19" i="7"/>
  <c r="W18" i="7"/>
  <c r="X18" i="7" s="1"/>
  <c r="Q18" i="7"/>
  <c r="Y18" i="7" s="1"/>
  <c r="P18" i="7"/>
  <c r="M18" i="7"/>
  <c r="L18" i="7"/>
  <c r="X17" i="7"/>
  <c r="W17" i="7"/>
  <c r="P17" i="7"/>
  <c r="Q17" i="7" s="1"/>
  <c r="Y17" i="7" s="1"/>
  <c r="M17" i="7"/>
  <c r="L17" i="7"/>
  <c r="X16" i="7"/>
  <c r="W16" i="7"/>
  <c r="P16" i="7"/>
  <c r="Q16" i="7" s="1"/>
  <c r="Y16" i="7" s="1"/>
  <c r="M16" i="7"/>
  <c r="L16" i="7"/>
  <c r="W15" i="7"/>
  <c r="X15" i="7" s="1"/>
  <c r="P15" i="7"/>
  <c r="Q15" i="7" s="1"/>
  <c r="Y15" i="7" s="1"/>
  <c r="M15" i="7"/>
  <c r="L15" i="7"/>
  <c r="W14" i="7"/>
  <c r="W182" i="7" s="1"/>
  <c r="Q14" i="7"/>
  <c r="P14" i="7"/>
  <c r="M14" i="7"/>
  <c r="L14" i="7"/>
  <c r="W13" i="7"/>
  <c r="X13" i="7" s="1"/>
  <c r="Q13" i="7"/>
  <c r="P13" i="7"/>
  <c r="M13" i="7"/>
  <c r="L13" i="7"/>
  <c r="X12" i="7"/>
  <c r="W12" i="7"/>
  <c r="P12" i="7"/>
  <c r="Q12" i="7" s="1"/>
  <c r="Y12" i="7" s="1"/>
  <c r="M12" i="7"/>
  <c r="L12" i="7"/>
  <c r="X11" i="7"/>
  <c r="W11" i="7"/>
  <c r="Q11" i="7"/>
  <c r="Y11" i="7" s="1"/>
  <c r="P11" i="7"/>
  <c r="M11" i="7"/>
  <c r="L11" i="7"/>
  <c r="X10" i="7"/>
  <c r="W10" i="7"/>
  <c r="P10" i="7"/>
  <c r="Q10" i="7" s="1"/>
  <c r="Y10" i="7" s="1"/>
  <c r="M10" i="7"/>
  <c r="L10" i="7"/>
  <c r="Y182" i="6"/>
  <c r="X182" i="6"/>
  <c r="W182" i="6"/>
  <c r="V182" i="6"/>
  <c r="U182" i="6"/>
  <c r="Z181" i="6"/>
  <c r="AA181" i="6" s="1"/>
  <c r="S181" i="6"/>
  <c r="T181" i="6" s="1"/>
  <c r="P181" i="6"/>
  <c r="L181" i="6"/>
  <c r="Z180" i="6"/>
  <c r="AA180" i="6" s="1"/>
  <c r="S180" i="6"/>
  <c r="T180" i="6" s="1"/>
  <c r="P180" i="6"/>
  <c r="L180" i="6"/>
  <c r="Z179" i="6"/>
  <c r="AA179" i="6" s="1"/>
  <c r="S179" i="6"/>
  <c r="T179" i="6" s="1"/>
  <c r="P179" i="6"/>
  <c r="L179" i="6"/>
  <c r="Z178" i="6"/>
  <c r="AA178" i="6" s="1"/>
  <c r="S178" i="6"/>
  <c r="T178" i="6" s="1"/>
  <c r="P178" i="6"/>
  <c r="L178" i="6"/>
  <c r="Z177" i="6"/>
  <c r="AA177" i="6" s="1"/>
  <c r="S177" i="6"/>
  <c r="T177" i="6" s="1"/>
  <c r="P177" i="6"/>
  <c r="L177" i="6"/>
  <c r="Z176" i="6"/>
  <c r="AA176" i="6" s="1"/>
  <c r="S176" i="6"/>
  <c r="T176" i="6" s="1"/>
  <c r="P176" i="6"/>
  <c r="L176" i="6"/>
  <c r="Z175" i="6"/>
  <c r="AA175" i="6" s="1"/>
  <c r="S175" i="6"/>
  <c r="T175" i="6" s="1"/>
  <c r="P175" i="6"/>
  <c r="L175" i="6"/>
  <c r="Z174" i="6"/>
  <c r="AA174" i="6" s="1"/>
  <c r="S174" i="6"/>
  <c r="T174" i="6" s="1"/>
  <c r="P174" i="6"/>
  <c r="L174" i="6"/>
  <c r="Z173" i="6"/>
  <c r="AA173" i="6" s="1"/>
  <c r="S173" i="6"/>
  <c r="T173" i="6" s="1"/>
  <c r="P173" i="6"/>
  <c r="L173" i="6"/>
  <c r="Z172" i="6"/>
  <c r="AA172" i="6" s="1"/>
  <c r="S172" i="6"/>
  <c r="T172" i="6" s="1"/>
  <c r="P172" i="6"/>
  <c r="L172" i="6"/>
  <c r="Z171" i="6"/>
  <c r="AA171" i="6" s="1"/>
  <c r="S171" i="6"/>
  <c r="T171" i="6" s="1"/>
  <c r="P171" i="6"/>
  <c r="L171" i="6"/>
  <c r="Z170" i="6"/>
  <c r="AA170" i="6" s="1"/>
  <c r="S170" i="6"/>
  <c r="T170" i="6" s="1"/>
  <c r="P170" i="6"/>
  <c r="L170" i="6"/>
  <c r="Z169" i="6"/>
  <c r="AA169" i="6" s="1"/>
  <c r="S169" i="6"/>
  <c r="T169" i="6" s="1"/>
  <c r="P169" i="6"/>
  <c r="L169" i="6"/>
  <c r="Z168" i="6"/>
  <c r="AA168" i="6" s="1"/>
  <c r="S168" i="6"/>
  <c r="T168" i="6" s="1"/>
  <c r="P168" i="6"/>
  <c r="L168" i="6"/>
  <c r="Z167" i="6"/>
  <c r="AA167" i="6" s="1"/>
  <c r="S167" i="6"/>
  <c r="T167" i="6" s="1"/>
  <c r="P167" i="6"/>
  <c r="L167" i="6"/>
  <c r="Z166" i="6"/>
  <c r="AA166" i="6" s="1"/>
  <c r="S166" i="6"/>
  <c r="T166" i="6" s="1"/>
  <c r="P166" i="6"/>
  <c r="L166" i="6"/>
  <c r="Z165" i="6"/>
  <c r="AA165" i="6" s="1"/>
  <c r="S165" i="6"/>
  <c r="T165" i="6" s="1"/>
  <c r="P165" i="6"/>
  <c r="L165" i="6"/>
  <c r="Z164" i="6"/>
  <c r="AA164" i="6" s="1"/>
  <c r="S164" i="6"/>
  <c r="T164" i="6" s="1"/>
  <c r="P164" i="6"/>
  <c r="L164" i="6"/>
  <c r="Z163" i="6"/>
  <c r="AA163" i="6" s="1"/>
  <c r="S163" i="6"/>
  <c r="T163" i="6" s="1"/>
  <c r="P163" i="6"/>
  <c r="L163" i="6"/>
  <c r="Z162" i="6"/>
  <c r="AA162" i="6" s="1"/>
  <c r="S162" i="6"/>
  <c r="T162" i="6" s="1"/>
  <c r="P162" i="6"/>
  <c r="L162" i="6"/>
  <c r="Z161" i="6"/>
  <c r="AA161" i="6" s="1"/>
  <c r="S161" i="6"/>
  <c r="T161" i="6" s="1"/>
  <c r="P161" i="6"/>
  <c r="L161" i="6"/>
  <c r="Z160" i="6"/>
  <c r="AA160" i="6" s="1"/>
  <c r="S160" i="6"/>
  <c r="T160" i="6" s="1"/>
  <c r="P160" i="6"/>
  <c r="L160" i="6"/>
  <c r="Z159" i="6"/>
  <c r="AA159" i="6" s="1"/>
  <c r="S159" i="6"/>
  <c r="T159" i="6" s="1"/>
  <c r="P159" i="6"/>
  <c r="L159" i="6"/>
  <c r="Z158" i="6"/>
  <c r="AA158" i="6" s="1"/>
  <c r="S158" i="6"/>
  <c r="T158" i="6" s="1"/>
  <c r="P158" i="6"/>
  <c r="L158" i="6"/>
  <c r="Z157" i="6"/>
  <c r="AA157" i="6" s="1"/>
  <c r="S157" i="6"/>
  <c r="T157" i="6" s="1"/>
  <c r="P157" i="6"/>
  <c r="L157" i="6"/>
  <c r="Z156" i="6"/>
  <c r="AA156" i="6" s="1"/>
  <c r="S156" i="6"/>
  <c r="T156" i="6" s="1"/>
  <c r="P156" i="6"/>
  <c r="L156" i="6"/>
  <c r="Z155" i="6"/>
  <c r="AA155" i="6" s="1"/>
  <c r="S155" i="6"/>
  <c r="T155" i="6" s="1"/>
  <c r="P155" i="6"/>
  <c r="L155" i="6"/>
  <c r="Z154" i="6"/>
  <c r="AA154" i="6" s="1"/>
  <c r="S154" i="6"/>
  <c r="T154" i="6" s="1"/>
  <c r="P154" i="6"/>
  <c r="L154" i="6"/>
  <c r="Z153" i="6"/>
  <c r="AA153" i="6" s="1"/>
  <c r="S153" i="6"/>
  <c r="T153" i="6" s="1"/>
  <c r="P153" i="6"/>
  <c r="L153" i="6"/>
  <c r="Z152" i="6"/>
  <c r="AA152" i="6" s="1"/>
  <c r="S152" i="6"/>
  <c r="T152" i="6" s="1"/>
  <c r="P152" i="6"/>
  <c r="L152" i="6"/>
  <c r="Z151" i="6"/>
  <c r="AA151" i="6" s="1"/>
  <c r="S151" i="6"/>
  <c r="T151" i="6" s="1"/>
  <c r="P151" i="6"/>
  <c r="L151" i="6"/>
  <c r="Z150" i="6"/>
  <c r="AA150" i="6" s="1"/>
  <c r="S150" i="6"/>
  <c r="T150" i="6" s="1"/>
  <c r="P150" i="6"/>
  <c r="L150" i="6"/>
  <c r="Z149" i="6"/>
  <c r="AA149" i="6" s="1"/>
  <c r="S149" i="6"/>
  <c r="T149" i="6" s="1"/>
  <c r="P149" i="6"/>
  <c r="L149" i="6"/>
  <c r="Z148" i="6"/>
  <c r="AA148" i="6" s="1"/>
  <c r="S148" i="6"/>
  <c r="T148" i="6" s="1"/>
  <c r="P148" i="6"/>
  <c r="L148" i="6"/>
  <c r="Z147" i="6"/>
  <c r="AA147" i="6" s="1"/>
  <c r="S147" i="6"/>
  <c r="T147" i="6" s="1"/>
  <c r="P147" i="6"/>
  <c r="L147" i="6"/>
  <c r="Z146" i="6"/>
  <c r="AA146" i="6" s="1"/>
  <c r="S146" i="6"/>
  <c r="T146" i="6" s="1"/>
  <c r="P146" i="6"/>
  <c r="L146" i="6"/>
  <c r="Z145" i="6"/>
  <c r="AA145" i="6" s="1"/>
  <c r="S145" i="6"/>
  <c r="T145" i="6" s="1"/>
  <c r="P145" i="6"/>
  <c r="L145" i="6"/>
  <c r="Z144" i="6"/>
  <c r="AA144" i="6" s="1"/>
  <c r="S144" i="6"/>
  <c r="T144" i="6" s="1"/>
  <c r="P144" i="6"/>
  <c r="L144" i="6"/>
  <c r="Z143" i="6"/>
  <c r="AA143" i="6" s="1"/>
  <c r="S143" i="6"/>
  <c r="T143" i="6" s="1"/>
  <c r="P143" i="6"/>
  <c r="L143" i="6"/>
  <c r="Z142" i="6"/>
  <c r="AA142" i="6" s="1"/>
  <c r="S142" i="6"/>
  <c r="T142" i="6" s="1"/>
  <c r="P142" i="6"/>
  <c r="L142" i="6"/>
  <c r="Z141" i="6"/>
  <c r="AA141" i="6" s="1"/>
  <c r="S141" i="6"/>
  <c r="T141" i="6" s="1"/>
  <c r="P141" i="6"/>
  <c r="L141" i="6"/>
  <c r="Z140" i="6"/>
  <c r="AA140" i="6" s="1"/>
  <c r="S140" i="6"/>
  <c r="T140" i="6" s="1"/>
  <c r="P140" i="6"/>
  <c r="L140" i="6"/>
  <c r="Z139" i="6"/>
  <c r="AA139" i="6" s="1"/>
  <c r="S139" i="6"/>
  <c r="T139" i="6" s="1"/>
  <c r="P139" i="6"/>
  <c r="L139" i="6"/>
  <c r="Z138" i="6"/>
  <c r="AA138" i="6" s="1"/>
  <c r="S138" i="6"/>
  <c r="T138" i="6" s="1"/>
  <c r="P138" i="6"/>
  <c r="L138" i="6"/>
  <c r="Z137" i="6"/>
  <c r="AA137" i="6" s="1"/>
  <c r="S137" i="6"/>
  <c r="T137" i="6" s="1"/>
  <c r="P137" i="6"/>
  <c r="L137" i="6"/>
  <c r="Z136" i="6"/>
  <c r="AA136" i="6" s="1"/>
  <c r="S136" i="6"/>
  <c r="T136" i="6" s="1"/>
  <c r="P136" i="6"/>
  <c r="L136" i="6"/>
  <c r="Z135" i="6"/>
  <c r="AA135" i="6" s="1"/>
  <c r="S135" i="6"/>
  <c r="T135" i="6" s="1"/>
  <c r="P135" i="6"/>
  <c r="L135" i="6"/>
  <c r="Z134" i="6"/>
  <c r="AA134" i="6" s="1"/>
  <c r="S134" i="6"/>
  <c r="T134" i="6" s="1"/>
  <c r="P134" i="6"/>
  <c r="L134" i="6"/>
  <c r="Z133" i="6"/>
  <c r="AA133" i="6" s="1"/>
  <c r="S133" i="6"/>
  <c r="T133" i="6" s="1"/>
  <c r="P133" i="6"/>
  <c r="L133" i="6"/>
  <c r="Z132" i="6"/>
  <c r="AA132" i="6" s="1"/>
  <c r="S132" i="6"/>
  <c r="T132" i="6" s="1"/>
  <c r="P132" i="6"/>
  <c r="L132" i="6"/>
  <c r="Z131" i="6"/>
  <c r="AA131" i="6" s="1"/>
  <c r="S131" i="6"/>
  <c r="T131" i="6" s="1"/>
  <c r="P131" i="6"/>
  <c r="L131" i="6"/>
  <c r="Z130" i="6"/>
  <c r="AA130" i="6" s="1"/>
  <c r="S130" i="6"/>
  <c r="T130" i="6" s="1"/>
  <c r="P130" i="6"/>
  <c r="L130" i="6"/>
  <c r="Z129" i="6"/>
  <c r="AA129" i="6" s="1"/>
  <c r="S129" i="6"/>
  <c r="T129" i="6" s="1"/>
  <c r="P129" i="6"/>
  <c r="L129" i="6"/>
  <c r="Z128" i="6"/>
  <c r="AA128" i="6" s="1"/>
  <c r="S128" i="6"/>
  <c r="T128" i="6" s="1"/>
  <c r="P128" i="6"/>
  <c r="L128" i="6"/>
  <c r="Z127" i="6"/>
  <c r="AA127" i="6" s="1"/>
  <c r="S127" i="6"/>
  <c r="T127" i="6" s="1"/>
  <c r="P127" i="6"/>
  <c r="L127" i="6"/>
  <c r="Z126" i="6"/>
  <c r="AA126" i="6" s="1"/>
  <c r="S126" i="6"/>
  <c r="T126" i="6" s="1"/>
  <c r="P126" i="6"/>
  <c r="L126" i="6"/>
  <c r="Z125" i="6"/>
  <c r="AA125" i="6" s="1"/>
  <c r="P125" i="6"/>
  <c r="L125" i="6"/>
  <c r="Z124" i="6"/>
  <c r="AA124" i="6" s="1"/>
  <c r="S124" i="6"/>
  <c r="T124" i="6" s="1"/>
  <c r="P124" i="6"/>
  <c r="L124" i="6"/>
  <c r="Z123" i="6"/>
  <c r="AA123" i="6" s="1"/>
  <c r="S123" i="6"/>
  <c r="T123" i="6" s="1"/>
  <c r="P123" i="6"/>
  <c r="L123" i="6"/>
  <c r="Z122" i="6"/>
  <c r="AA122" i="6" s="1"/>
  <c r="S122" i="6"/>
  <c r="T122" i="6" s="1"/>
  <c r="P122" i="6"/>
  <c r="L122" i="6"/>
  <c r="Z121" i="6"/>
  <c r="AA121" i="6" s="1"/>
  <c r="S121" i="6"/>
  <c r="T121" i="6" s="1"/>
  <c r="P121" i="6"/>
  <c r="L121" i="6"/>
  <c r="Z120" i="6"/>
  <c r="AA120" i="6" s="1"/>
  <c r="S120" i="6"/>
  <c r="T120" i="6" s="1"/>
  <c r="P120" i="6"/>
  <c r="L120" i="6"/>
  <c r="Z119" i="6"/>
  <c r="AA119" i="6" s="1"/>
  <c r="S119" i="6"/>
  <c r="T119" i="6" s="1"/>
  <c r="P119" i="6"/>
  <c r="L119" i="6"/>
  <c r="Z118" i="6"/>
  <c r="AA118" i="6" s="1"/>
  <c r="S118" i="6"/>
  <c r="T118" i="6" s="1"/>
  <c r="P118" i="6"/>
  <c r="L118" i="6"/>
  <c r="Z117" i="6"/>
  <c r="AA117" i="6" s="1"/>
  <c r="S117" i="6"/>
  <c r="T117" i="6" s="1"/>
  <c r="P117" i="6"/>
  <c r="L117" i="6"/>
  <c r="Z116" i="6"/>
  <c r="AA116" i="6" s="1"/>
  <c r="S116" i="6"/>
  <c r="T116" i="6" s="1"/>
  <c r="P116" i="6"/>
  <c r="L116" i="6"/>
  <c r="Z115" i="6"/>
  <c r="AA115" i="6" s="1"/>
  <c r="S115" i="6"/>
  <c r="T115" i="6" s="1"/>
  <c r="P115" i="6"/>
  <c r="L115" i="6"/>
  <c r="Z114" i="6"/>
  <c r="AA114" i="6" s="1"/>
  <c r="S114" i="6"/>
  <c r="T114" i="6" s="1"/>
  <c r="P114" i="6"/>
  <c r="L114" i="6"/>
  <c r="Z113" i="6"/>
  <c r="AA113" i="6" s="1"/>
  <c r="S113" i="6"/>
  <c r="T113" i="6" s="1"/>
  <c r="P113" i="6"/>
  <c r="L113" i="6"/>
  <c r="Z112" i="6"/>
  <c r="AA112" i="6" s="1"/>
  <c r="S112" i="6"/>
  <c r="T112" i="6" s="1"/>
  <c r="P112" i="6"/>
  <c r="L112" i="6"/>
  <c r="Z111" i="6"/>
  <c r="AA111" i="6" s="1"/>
  <c r="S111" i="6"/>
  <c r="T111" i="6" s="1"/>
  <c r="P111" i="6"/>
  <c r="L111" i="6"/>
  <c r="Z110" i="6"/>
  <c r="AA110" i="6" s="1"/>
  <c r="S110" i="6"/>
  <c r="T110" i="6" s="1"/>
  <c r="P110" i="6"/>
  <c r="L110" i="6"/>
  <c r="Z109" i="6"/>
  <c r="AA109" i="6" s="1"/>
  <c r="S109" i="6"/>
  <c r="T109" i="6" s="1"/>
  <c r="P109" i="6"/>
  <c r="L109" i="6"/>
  <c r="Z108" i="6"/>
  <c r="AA108" i="6" s="1"/>
  <c r="S108" i="6"/>
  <c r="T108" i="6" s="1"/>
  <c r="P108" i="6"/>
  <c r="L108" i="6"/>
  <c r="Z107" i="6"/>
  <c r="AA107" i="6" s="1"/>
  <c r="S107" i="6"/>
  <c r="T107" i="6" s="1"/>
  <c r="P107" i="6"/>
  <c r="L107" i="6"/>
  <c r="Z106" i="6"/>
  <c r="AA106" i="6" s="1"/>
  <c r="S106" i="6"/>
  <c r="T106" i="6" s="1"/>
  <c r="P106" i="6"/>
  <c r="L106" i="6"/>
  <c r="Z105" i="6"/>
  <c r="AA105" i="6" s="1"/>
  <c r="S105" i="6"/>
  <c r="T105" i="6" s="1"/>
  <c r="P105" i="6"/>
  <c r="L105" i="6"/>
  <c r="Z104" i="6"/>
  <c r="AA104" i="6" s="1"/>
  <c r="S104" i="6"/>
  <c r="T104" i="6" s="1"/>
  <c r="P104" i="6"/>
  <c r="L104" i="6"/>
  <c r="Z103" i="6"/>
  <c r="AA103" i="6" s="1"/>
  <c r="S103" i="6"/>
  <c r="T103" i="6" s="1"/>
  <c r="P103" i="6"/>
  <c r="L103" i="6"/>
  <c r="Z102" i="6"/>
  <c r="AA102" i="6" s="1"/>
  <c r="S102" i="6"/>
  <c r="T102" i="6" s="1"/>
  <c r="P102" i="6"/>
  <c r="L102" i="6"/>
  <c r="Z101" i="6"/>
  <c r="AA101" i="6" s="1"/>
  <c r="S101" i="6"/>
  <c r="T101" i="6" s="1"/>
  <c r="P101" i="6"/>
  <c r="L101" i="6"/>
  <c r="Z100" i="6"/>
  <c r="AA100" i="6" s="1"/>
  <c r="S100" i="6"/>
  <c r="T100" i="6" s="1"/>
  <c r="P100" i="6"/>
  <c r="L100" i="6"/>
  <c r="Z99" i="6"/>
  <c r="AA99" i="6" s="1"/>
  <c r="S99" i="6"/>
  <c r="T99" i="6" s="1"/>
  <c r="P99" i="6"/>
  <c r="L99" i="6"/>
  <c r="Z98" i="6"/>
  <c r="AA98" i="6" s="1"/>
  <c r="S98" i="6"/>
  <c r="T98" i="6" s="1"/>
  <c r="P98" i="6"/>
  <c r="L98" i="6"/>
  <c r="Z97" i="6"/>
  <c r="AA97" i="6" s="1"/>
  <c r="S97" i="6"/>
  <c r="T97" i="6" s="1"/>
  <c r="P97" i="6"/>
  <c r="L97" i="6"/>
  <c r="Z96" i="6"/>
  <c r="AA96" i="6" s="1"/>
  <c r="S96" i="6"/>
  <c r="T96" i="6" s="1"/>
  <c r="P96" i="6"/>
  <c r="L96" i="6"/>
  <c r="Z95" i="6"/>
  <c r="AA95" i="6" s="1"/>
  <c r="S95" i="6"/>
  <c r="T95" i="6" s="1"/>
  <c r="P95" i="6"/>
  <c r="L95" i="6"/>
  <c r="Z94" i="6"/>
  <c r="AA94" i="6" s="1"/>
  <c r="S94" i="6"/>
  <c r="T94" i="6" s="1"/>
  <c r="P94" i="6"/>
  <c r="L94" i="6"/>
  <c r="Z93" i="6"/>
  <c r="AA93" i="6" s="1"/>
  <c r="S93" i="6"/>
  <c r="T93" i="6" s="1"/>
  <c r="P93" i="6"/>
  <c r="L93" i="6"/>
  <c r="Z92" i="6"/>
  <c r="AA92" i="6" s="1"/>
  <c r="S92" i="6"/>
  <c r="T92" i="6" s="1"/>
  <c r="P92" i="6"/>
  <c r="L92" i="6"/>
  <c r="Z91" i="6"/>
  <c r="AA91" i="6" s="1"/>
  <c r="S91" i="6"/>
  <c r="T91" i="6" s="1"/>
  <c r="P91" i="6"/>
  <c r="L91" i="6"/>
  <c r="Z90" i="6"/>
  <c r="AA90" i="6" s="1"/>
  <c r="S90" i="6"/>
  <c r="T90" i="6" s="1"/>
  <c r="P90" i="6"/>
  <c r="L90" i="6"/>
  <c r="Z89" i="6"/>
  <c r="AA89" i="6" s="1"/>
  <c r="S89" i="6"/>
  <c r="T89" i="6" s="1"/>
  <c r="P89" i="6"/>
  <c r="L89" i="6"/>
  <c r="Z88" i="6"/>
  <c r="AA88" i="6" s="1"/>
  <c r="S88" i="6"/>
  <c r="T88" i="6" s="1"/>
  <c r="P88" i="6"/>
  <c r="L88" i="6"/>
  <c r="Z87" i="6"/>
  <c r="AA87" i="6" s="1"/>
  <c r="S87" i="6"/>
  <c r="T87" i="6" s="1"/>
  <c r="P87" i="6"/>
  <c r="L87" i="6"/>
  <c r="Z86" i="6"/>
  <c r="AA86" i="6" s="1"/>
  <c r="S86" i="6"/>
  <c r="T86" i="6" s="1"/>
  <c r="P86" i="6"/>
  <c r="L86" i="6"/>
  <c r="Z85" i="6"/>
  <c r="AA85" i="6" s="1"/>
  <c r="S85" i="6"/>
  <c r="T85" i="6" s="1"/>
  <c r="P85" i="6"/>
  <c r="L85" i="6"/>
  <c r="Z84" i="6"/>
  <c r="AA84" i="6" s="1"/>
  <c r="S84" i="6"/>
  <c r="T84" i="6" s="1"/>
  <c r="P84" i="6"/>
  <c r="L84" i="6"/>
  <c r="Z83" i="6"/>
  <c r="AA83" i="6" s="1"/>
  <c r="S83" i="6"/>
  <c r="T83" i="6" s="1"/>
  <c r="P83" i="6"/>
  <c r="L83" i="6"/>
  <c r="Z82" i="6"/>
  <c r="AA82" i="6" s="1"/>
  <c r="S82" i="6"/>
  <c r="T82" i="6" s="1"/>
  <c r="P82" i="6"/>
  <c r="L82" i="6"/>
  <c r="Z81" i="6"/>
  <c r="AA81" i="6" s="1"/>
  <c r="S81" i="6"/>
  <c r="T81" i="6" s="1"/>
  <c r="P81" i="6"/>
  <c r="L81" i="6"/>
  <c r="Z80" i="6"/>
  <c r="AA80" i="6" s="1"/>
  <c r="S80" i="6"/>
  <c r="T80" i="6" s="1"/>
  <c r="P80" i="6"/>
  <c r="L80" i="6"/>
  <c r="Z79" i="6"/>
  <c r="AA79" i="6" s="1"/>
  <c r="S79" i="6"/>
  <c r="T79" i="6" s="1"/>
  <c r="P79" i="6"/>
  <c r="L79" i="6"/>
  <c r="Z78" i="6"/>
  <c r="AA78" i="6" s="1"/>
  <c r="S78" i="6"/>
  <c r="T78" i="6" s="1"/>
  <c r="P78" i="6"/>
  <c r="L78" i="6"/>
  <c r="Z77" i="6"/>
  <c r="AA77" i="6" s="1"/>
  <c r="S77" i="6"/>
  <c r="T77" i="6" s="1"/>
  <c r="P77" i="6"/>
  <c r="L77" i="6"/>
  <c r="Z76" i="6"/>
  <c r="AA76" i="6" s="1"/>
  <c r="S76" i="6"/>
  <c r="T76" i="6" s="1"/>
  <c r="P76" i="6"/>
  <c r="L76" i="6"/>
  <c r="Z75" i="6"/>
  <c r="AA75" i="6" s="1"/>
  <c r="S75" i="6"/>
  <c r="T75" i="6" s="1"/>
  <c r="P75" i="6"/>
  <c r="L75" i="6"/>
  <c r="Z74" i="6"/>
  <c r="AA74" i="6" s="1"/>
  <c r="S74" i="6"/>
  <c r="T74" i="6" s="1"/>
  <c r="P74" i="6"/>
  <c r="L74" i="6"/>
  <c r="Z73" i="6"/>
  <c r="AA73" i="6" s="1"/>
  <c r="S73" i="6"/>
  <c r="T73" i="6" s="1"/>
  <c r="P73" i="6"/>
  <c r="L73" i="6"/>
  <c r="Z72" i="6"/>
  <c r="AA72" i="6" s="1"/>
  <c r="S72" i="6"/>
  <c r="T72" i="6" s="1"/>
  <c r="P72" i="6"/>
  <c r="L72" i="6"/>
  <c r="Z71" i="6"/>
  <c r="AA71" i="6" s="1"/>
  <c r="S71" i="6"/>
  <c r="T71" i="6" s="1"/>
  <c r="P71" i="6"/>
  <c r="L71" i="6"/>
  <c r="Z70" i="6"/>
  <c r="AA70" i="6" s="1"/>
  <c r="S70" i="6"/>
  <c r="T70" i="6" s="1"/>
  <c r="P70" i="6"/>
  <c r="L70" i="6"/>
  <c r="Z69" i="6"/>
  <c r="AA69" i="6" s="1"/>
  <c r="S69" i="6"/>
  <c r="T69" i="6" s="1"/>
  <c r="P69" i="6"/>
  <c r="L69" i="6"/>
  <c r="Z68" i="6"/>
  <c r="AA68" i="6" s="1"/>
  <c r="S68" i="6"/>
  <c r="T68" i="6" s="1"/>
  <c r="P68" i="6"/>
  <c r="L68" i="6"/>
  <c r="Z67" i="6"/>
  <c r="AA67" i="6" s="1"/>
  <c r="S67" i="6"/>
  <c r="T67" i="6" s="1"/>
  <c r="P67" i="6"/>
  <c r="L67" i="6"/>
  <c r="Z66" i="6"/>
  <c r="AA66" i="6" s="1"/>
  <c r="S66" i="6"/>
  <c r="T66" i="6" s="1"/>
  <c r="P66" i="6"/>
  <c r="L66" i="6"/>
  <c r="Z65" i="6"/>
  <c r="AA65" i="6" s="1"/>
  <c r="S65" i="6"/>
  <c r="T65" i="6" s="1"/>
  <c r="P65" i="6"/>
  <c r="L65" i="6"/>
  <c r="Z64" i="6"/>
  <c r="AA64" i="6" s="1"/>
  <c r="S64" i="6"/>
  <c r="T64" i="6" s="1"/>
  <c r="P64" i="6"/>
  <c r="L64" i="6"/>
  <c r="Z63" i="6"/>
  <c r="AA63" i="6" s="1"/>
  <c r="S63" i="6"/>
  <c r="T63" i="6" s="1"/>
  <c r="P63" i="6"/>
  <c r="L63" i="6"/>
  <c r="Z62" i="6"/>
  <c r="AA62" i="6" s="1"/>
  <c r="S62" i="6"/>
  <c r="T62" i="6" s="1"/>
  <c r="P62" i="6"/>
  <c r="L62" i="6"/>
  <c r="Z61" i="6"/>
  <c r="AA61" i="6" s="1"/>
  <c r="S61" i="6"/>
  <c r="T61" i="6" s="1"/>
  <c r="P61" i="6"/>
  <c r="L61" i="6"/>
  <c r="Z60" i="6"/>
  <c r="AA60" i="6" s="1"/>
  <c r="S60" i="6"/>
  <c r="T60" i="6" s="1"/>
  <c r="P60" i="6"/>
  <c r="L60" i="6"/>
  <c r="Z59" i="6"/>
  <c r="AA59" i="6" s="1"/>
  <c r="S59" i="6"/>
  <c r="T59" i="6" s="1"/>
  <c r="P59" i="6"/>
  <c r="L59" i="6"/>
  <c r="Z58" i="6"/>
  <c r="AA58" i="6" s="1"/>
  <c r="S58" i="6"/>
  <c r="T58" i="6" s="1"/>
  <c r="P58" i="6"/>
  <c r="L58" i="6"/>
  <c r="Z57" i="6"/>
  <c r="AA57" i="6" s="1"/>
  <c r="S57" i="6"/>
  <c r="T57" i="6" s="1"/>
  <c r="P57" i="6"/>
  <c r="L57" i="6"/>
  <c r="Z56" i="6"/>
  <c r="AA56" i="6" s="1"/>
  <c r="S56" i="6"/>
  <c r="T56" i="6" s="1"/>
  <c r="P56" i="6"/>
  <c r="L56" i="6"/>
  <c r="Z55" i="6"/>
  <c r="AA55" i="6" s="1"/>
  <c r="S55" i="6"/>
  <c r="T55" i="6" s="1"/>
  <c r="P55" i="6"/>
  <c r="L55" i="6"/>
  <c r="Z54" i="6"/>
  <c r="AA54" i="6" s="1"/>
  <c r="S54" i="6"/>
  <c r="T54" i="6" s="1"/>
  <c r="P54" i="6"/>
  <c r="L54" i="6"/>
  <c r="Z53" i="6"/>
  <c r="AA53" i="6" s="1"/>
  <c r="S53" i="6"/>
  <c r="T53" i="6" s="1"/>
  <c r="P53" i="6"/>
  <c r="L53" i="6"/>
  <c r="Z52" i="6"/>
  <c r="AA52" i="6" s="1"/>
  <c r="S52" i="6"/>
  <c r="T52" i="6" s="1"/>
  <c r="P52" i="6"/>
  <c r="L52" i="6"/>
  <c r="Z51" i="6"/>
  <c r="AA51" i="6" s="1"/>
  <c r="S51" i="6"/>
  <c r="T51" i="6" s="1"/>
  <c r="P51" i="6"/>
  <c r="L51" i="6"/>
  <c r="Z50" i="6"/>
  <c r="AA50" i="6" s="1"/>
  <c r="S50" i="6"/>
  <c r="T50" i="6" s="1"/>
  <c r="P50" i="6"/>
  <c r="L50" i="6"/>
  <c r="Z49" i="6"/>
  <c r="AA49" i="6" s="1"/>
  <c r="S49" i="6"/>
  <c r="T49" i="6" s="1"/>
  <c r="P49" i="6"/>
  <c r="L49" i="6"/>
  <c r="Z48" i="6"/>
  <c r="AA48" i="6" s="1"/>
  <c r="S48" i="6"/>
  <c r="T48" i="6" s="1"/>
  <c r="P48" i="6"/>
  <c r="L48" i="6"/>
  <c r="Z47" i="6"/>
  <c r="AA47" i="6" s="1"/>
  <c r="S47" i="6"/>
  <c r="T47" i="6" s="1"/>
  <c r="P47" i="6"/>
  <c r="L47" i="6"/>
  <c r="Z46" i="6"/>
  <c r="AA46" i="6" s="1"/>
  <c r="S46" i="6"/>
  <c r="T46" i="6" s="1"/>
  <c r="P46" i="6"/>
  <c r="L46" i="6"/>
  <c r="Z45" i="6"/>
  <c r="AA45" i="6" s="1"/>
  <c r="S45" i="6"/>
  <c r="T45" i="6" s="1"/>
  <c r="P45" i="6"/>
  <c r="L45" i="6"/>
  <c r="Z44" i="6"/>
  <c r="AA44" i="6" s="1"/>
  <c r="S44" i="6"/>
  <c r="T44" i="6" s="1"/>
  <c r="P44" i="6"/>
  <c r="L44" i="6"/>
  <c r="Z43" i="6"/>
  <c r="AA43" i="6" s="1"/>
  <c r="S43" i="6"/>
  <c r="T43" i="6" s="1"/>
  <c r="P43" i="6"/>
  <c r="L43" i="6"/>
  <c r="Z42" i="6"/>
  <c r="AA42" i="6" s="1"/>
  <c r="S42" i="6"/>
  <c r="T42" i="6" s="1"/>
  <c r="P42" i="6"/>
  <c r="L42" i="6"/>
  <c r="Z41" i="6"/>
  <c r="AA41" i="6" s="1"/>
  <c r="S41" i="6"/>
  <c r="T41" i="6" s="1"/>
  <c r="P41" i="6"/>
  <c r="L41" i="6"/>
  <c r="Z40" i="6"/>
  <c r="AA40" i="6" s="1"/>
  <c r="S40" i="6"/>
  <c r="T40" i="6" s="1"/>
  <c r="P40" i="6"/>
  <c r="L40" i="6"/>
  <c r="Z39" i="6"/>
  <c r="AA39" i="6" s="1"/>
  <c r="S39" i="6"/>
  <c r="T39" i="6" s="1"/>
  <c r="P39" i="6"/>
  <c r="L39" i="6"/>
  <c r="Z38" i="6"/>
  <c r="AA38" i="6" s="1"/>
  <c r="S38" i="6"/>
  <c r="T38" i="6" s="1"/>
  <c r="P38" i="6"/>
  <c r="L38" i="6"/>
  <c r="Z37" i="6"/>
  <c r="AA37" i="6" s="1"/>
  <c r="S37" i="6"/>
  <c r="T37" i="6" s="1"/>
  <c r="P37" i="6"/>
  <c r="L37" i="6"/>
  <c r="Z36" i="6"/>
  <c r="AA36" i="6" s="1"/>
  <c r="S36" i="6"/>
  <c r="T36" i="6" s="1"/>
  <c r="P36" i="6"/>
  <c r="L36" i="6"/>
  <c r="Z35" i="6"/>
  <c r="AA35" i="6" s="1"/>
  <c r="S35" i="6"/>
  <c r="T35" i="6" s="1"/>
  <c r="P35" i="6"/>
  <c r="L35" i="6"/>
  <c r="Z34" i="6"/>
  <c r="AA34" i="6" s="1"/>
  <c r="S34" i="6"/>
  <c r="T34" i="6" s="1"/>
  <c r="P34" i="6"/>
  <c r="L34" i="6"/>
  <c r="Z33" i="6"/>
  <c r="AA33" i="6" s="1"/>
  <c r="S33" i="6"/>
  <c r="T33" i="6" s="1"/>
  <c r="P33" i="6"/>
  <c r="L33" i="6"/>
  <c r="Z32" i="6"/>
  <c r="AA32" i="6" s="1"/>
  <c r="S32" i="6"/>
  <c r="T32" i="6" s="1"/>
  <c r="P32" i="6"/>
  <c r="L32" i="6"/>
  <c r="Z31" i="6"/>
  <c r="AA31" i="6" s="1"/>
  <c r="S31" i="6"/>
  <c r="T31" i="6" s="1"/>
  <c r="P31" i="6"/>
  <c r="L31" i="6"/>
  <c r="Z30" i="6"/>
  <c r="AA30" i="6" s="1"/>
  <c r="S30" i="6"/>
  <c r="T30" i="6" s="1"/>
  <c r="P30" i="6"/>
  <c r="L30" i="6"/>
  <c r="Z29" i="6"/>
  <c r="AA29" i="6" s="1"/>
  <c r="S29" i="6"/>
  <c r="T29" i="6" s="1"/>
  <c r="P29" i="6"/>
  <c r="L29" i="6"/>
  <c r="Z28" i="6"/>
  <c r="AA28" i="6" s="1"/>
  <c r="S28" i="6"/>
  <c r="T28" i="6" s="1"/>
  <c r="P28" i="6"/>
  <c r="L28" i="6"/>
  <c r="Z27" i="6"/>
  <c r="AA27" i="6" s="1"/>
  <c r="S27" i="6"/>
  <c r="T27" i="6" s="1"/>
  <c r="P27" i="6"/>
  <c r="L27" i="6"/>
  <c r="Z26" i="6"/>
  <c r="AA26" i="6" s="1"/>
  <c r="S26" i="6"/>
  <c r="T26" i="6" s="1"/>
  <c r="P26" i="6"/>
  <c r="L26" i="6"/>
  <c r="Z25" i="6"/>
  <c r="AA25" i="6" s="1"/>
  <c r="S25" i="6"/>
  <c r="T25" i="6" s="1"/>
  <c r="P25" i="6"/>
  <c r="L25" i="6"/>
  <c r="Z24" i="6"/>
  <c r="AA24" i="6" s="1"/>
  <c r="S24" i="6"/>
  <c r="T24" i="6" s="1"/>
  <c r="P24" i="6"/>
  <c r="L24" i="6"/>
  <c r="Z23" i="6"/>
  <c r="AA23" i="6" s="1"/>
  <c r="S23" i="6"/>
  <c r="T23" i="6" s="1"/>
  <c r="P23" i="6"/>
  <c r="L23" i="6"/>
  <c r="Z22" i="6"/>
  <c r="AA22" i="6" s="1"/>
  <c r="S22" i="6"/>
  <c r="T22" i="6" s="1"/>
  <c r="P22" i="6"/>
  <c r="L22" i="6"/>
  <c r="Z21" i="6"/>
  <c r="AA21" i="6" s="1"/>
  <c r="S21" i="6"/>
  <c r="T21" i="6" s="1"/>
  <c r="P21" i="6"/>
  <c r="L21" i="6"/>
  <c r="Z20" i="6"/>
  <c r="AA20" i="6" s="1"/>
  <c r="S20" i="6"/>
  <c r="T20" i="6" s="1"/>
  <c r="P20" i="6"/>
  <c r="L20" i="6"/>
  <c r="Z19" i="6"/>
  <c r="AA19" i="6" s="1"/>
  <c r="S19" i="6"/>
  <c r="T19" i="6" s="1"/>
  <c r="P19" i="6"/>
  <c r="L19" i="6"/>
  <c r="Z18" i="6"/>
  <c r="AA18" i="6" s="1"/>
  <c r="S18" i="6"/>
  <c r="T18" i="6" s="1"/>
  <c r="P18" i="6"/>
  <c r="L18" i="6"/>
  <c r="Z17" i="6"/>
  <c r="AA17" i="6" s="1"/>
  <c r="S17" i="6"/>
  <c r="T17" i="6" s="1"/>
  <c r="P17" i="6"/>
  <c r="L17" i="6"/>
  <c r="Z16" i="6"/>
  <c r="AA16" i="6" s="1"/>
  <c r="S16" i="6"/>
  <c r="T16" i="6" s="1"/>
  <c r="P16" i="6"/>
  <c r="L16" i="6"/>
  <c r="Z15" i="6"/>
  <c r="AA15" i="6" s="1"/>
  <c r="S15" i="6"/>
  <c r="T15" i="6" s="1"/>
  <c r="P15" i="6"/>
  <c r="L15" i="6"/>
  <c r="Z14" i="6"/>
  <c r="AA14" i="6" s="1"/>
  <c r="S14" i="6"/>
  <c r="T14" i="6" s="1"/>
  <c r="P14" i="6"/>
  <c r="L14" i="6"/>
  <c r="Z13" i="6"/>
  <c r="AA13" i="6" s="1"/>
  <c r="S13" i="6"/>
  <c r="T13" i="6" s="1"/>
  <c r="P13" i="6"/>
  <c r="L13" i="6"/>
  <c r="Z12" i="6"/>
  <c r="AA12" i="6" s="1"/>
  <c r="S12" i="6"/>
  <c r="T12" i="6" s="1"/>
  <c r="P12" i="6"/>
  <c r="L12" i="6"/>
  <c r="Z11" i="6"/>
  <c r="AA11" i="6" s="1"/>
  <c r="S11" i="6"/>
  <c r="T11" i="6" s="1"/>
  <c r="P11" i="6"/>
  <c r="L11" i="6"/>
  <c r="Z10" i="6"/>
  <c r="AA10" i="6" s="1"/>
  <c r="S10" i="6"/>
  <c r="T10" i="6" s="1"/>
  <c r="P10" i="6"/>
  <c r="L10" i="6"/>
  <c r="P13" i="8" l="1"/>
  <c r="AB13" i="8" s="1"/>
  <c r="J58" i="8"/>
  <c r="P28" i="12"/>
  <c r="AB28" i="12" s="1"/>
  <c r="J58" i="12"/>
  <c r="P58" i="12" s="1"/>
  <c r="K59" i="9"/>
  <c r="L13" i="9"/>
  <c r="J59" i="9"/>
  <c r="P10" i="10"/>
  <c r="AB10" i="10" s="1"/>
  <c r="L10" i="10"/>
  <c r="L12" i="25"/>
  <c r="P13" i="10"/>
  <c r="AB13" i="10" s="1"/>
  <c r="L10" i="11"/>
  <c r="L28" i="11"/>
  <c r="AB18" i="14"/>
  <c r="AB27" i="14"/>
  <c r="AB11" i="14"/>
  <c r="AB33" i="14"/>
  <c r="AB40" i="14"/>
  <c r="AB26" i="14"/>
  <c r="AB23" i="14"/>
  <c r="AB16" i="14"/>
  <c r="AB20" i="14"/>
  <c r="AB36" i="14"/>
  <c r="AB25" i="14"/>
  <c r="AB29" i="14"/>
  <c r="AB41" i="14"/>
  <c r="AB51" i="14"/>
  <c r="AB21" i="14"/>
  <c r="AB15" i="14"/>
  <c r="AB22" i="14"/>
  <c r="AB52" i="14"/>
  <c r="AB30" i="14"/>
  <c r="AB43" i="14"/>
  <c r="T58" i="13"/>
  <c r="AB11" i="13"/>
  <c r="AB18" i="13"/>
  <c r="AB31" i="13"/>
  <c r="AB27" i="13"/>
  <c r="AB30" i="13"/>
  <c r="AB20" i="13"/>
  <c r="AB40" i="13"/>
  <c r="AB54" i="13"/>
  <c r="AB29" i="13"/>
  <c r="AB41" i="13"/>
  <c r="AB51" i="13"/>
  <c r="AB21" i="13"/>
  <c r="AB33" i="13"/>
  <c r="AB22" i="13"/>
  <c r="AB26" i="13"/>
  <c r="AB15" i="13"/>
  <c r="AB38" i="13"/>
  <c r="AB19" i="13"/>
  <c r="AB52" i="13"/>
  <c r="AB23" i="13"/>
  <c r="AB36" i="13"/>
  <c r="AB16" i="13"/>
  <c r="AB44" i="12"/>
  <c r="AB11" i="12"/>
  <c r="AB23" i="12"/>
  <c r="AB27" i="12"/>
  <c r="AB43" i="12"/>
  <c r="AB36" i="12"/>
  <c r="AB40" i="12"/>
  <c r="AB56" i="12"/>
  <c r="AB18" i="12"/>
  <c r="AB22" i="12"/>
  <c r="AB29" i="12"/>
  <c r="AB33" i="12"/>
  <c r="AB41" i="12"/>
  <c r="AB48" i="12"/>
  <c r="AB15" i="12"/>
  <c r="AB19" i="12"/>
  <c r="AB57" i="12"/>
  <c r="AB26" i="12"/>
  <c r="AB30" i="12"/>
  <c r="AB45" i="12"/>
  <c r="AB38" i="12"/>
  <c r="AB47" i="12"/>
  <c r="AB21" i="12"/>
  <c r="AB52" i="12"/>
  <c r="AB25" i="12"/>
  <c r="AB16" i="12"/>
  <c r="AB20" i="12"/>
  <c r="AB42" i="12"/>
  <c r="AB54" i="12"/>
  <c r="AB39" i="9"/>
  <c r="AB14" i="9"/>
  <c r="AB43" i="11"/>
  <c r="AB16" i="11"/>
  <c r="AB44" i="11"/>
  <c r="AB31" i="11"/>
  <c r="AB20" i="11"/>
  <c r="AB11" i="11"/>
  <c r="AB11" i="10"/>
  <c r="AB52" i="10"/>
  <c r="AB20" i="10"/>
  <c r="AB47" i="10"/>
  <c r="AB44" i="10"/>
  <c r="AB46" i="10"/>
  <c r="AB51" i="10"/>
  <c r="AB24" i="9"/>
  <c r="AB17" i="9"/>
  <c r="AB35" i="9"/>
  <c r="AB32" i="9"/>
  <c r="AB37" i="9"/>
  <c r="AB34" i="9"/>
  <c r="AB40" i="11"/>
  <c r="AB41" i="11"/>
  <c r="AB48" i="11"/>
  <c r="AB57" i="11"/>
  <c r="AB21" i="11"/>
  <c r="AB25" i="11"/>
  <c r="AB29" i="11"/>
  <c r="AB33" i="11"/>
  <c r="AB45" i="11"/>
  <c r="AB54" i="11"/>
  <c r="AB36" i="11"/>
  <c r="AB18" i="11"/>
  <c r="AB30" i="11"/>
  <c r="AB38" i="11"/>
  <c r="AB42" i="11"/>
  <c r="AB46" i="11"/>
  <c r="AB51" i="11"/>
  <c r="AB15" i="11"/>
  <c r="AB19" i="11"/>
  <c r="AB23" i="11"/>
  <c r="AB27" i="11"/>
  <c r="AB22" i="11"/>
  <c r="AB26" i="11"/>
  <c r="AB47" i="11"/>
  <c r="AB52" i="11"/>
  <c r="AB30" i="10"/>
  <c r="AB40" i="10"/>
  <c r="AB22" i="10"/>
  <c r="AB19" i="10"/>
  <c r="AB23" i="10"/>
  <c r="AB27" i="10"/>
  <c r="AB38" i="10"/>
  <c r="AB42" i="10"/>
  <c r="AB25" i="10"/>
  <c r="AB57" i="10"/>
  <c r="AB26" i="10"/>
  <c r="AB54" i="10"/>
  <c r="AB36" i="10"/>
  <c r="AB41" i="10"/>
  <c r="AB45" i="10"/>
  <c r="AB16" i="10"/>
  <c r="AB31" i="10"/>
  <c r="AB29" i="10"/>
  <c r="AB43" i="10"/>
  <c r="AB21" i="10"/>
  <c r="AB18" i="10"/>
  <c r="AB48" i="10"/>
  <c r="AB33" i="10"/>
  <c r="AB19" i="9"/>
  <c r="AB58" i="9"/>
  <c r="AB11" i="9"/>
  <c r="AB21" i="9"/>
  <c r="AB22" i="9"/>
  <c r="AB29" i="9"/>
  <c r="AB33" i="9"/>
  <c r="AB18" i="9"/>
  <c r="AB25" i="9"/>
  <c r="AB38" i="9"/>
  <c r="AB26" i="9"/>
  <c r="AB27" i="9"/>
  <c r="AB31" i="9"/>
  <c r="AB16" i="9"/>
  <c r="AB20" i="9"/>
  <c r="AB36" i="9"/>
  <c r="AB40" i="9"/>
  <c r="AB53" i="9"/>
  <c r="AB30" i="9"/>
  <c r="AB23" i="9"/>
  <c r="AB15" i="9"/>
  <c r="AB55" i="9"/>
  <c r="P28" i="9"/>
  <c r="AB28" i="9" s="1"/>
  <c r="AB41" i="9"/>
  <c r="L13" i="12"/>
  <c r="L28" i="9"/>
  <c r="P13" i="9"/>
  <c r="AB13" i="9" s="1"/>
  <c r="L10" i="9"/>
  <c r="T58" i="15"/>
  <c r="AB19" i="14"/>
  <c r="AB57" i="14"/>
  <c r="T58" i="14"/>
  <c r="AB31" i="14"/>
  <c r="AB54" i="14"/>
  <c r="AB38" i="14"/>
  <c r="AB57" i="13"/>
  <c r="AB25" i="13"/>
  <c r="AB43" i="13"/>
  <c r="T58" i="12"/>
  <c r="AB46" i="12"/>
  <c r="AB31" i="12"/>
  <c r="AB51" i="12"/>
  <c r="T58" i="11"/>
  <c r="T58" i="10"/>
  <c r="AB15" i="10"/>
  <c r="AB42" i="9"/>
  <c r="AB46" i="9"/>
  <c r="AB44" i="9"/>
  <c r="AB45" i="9"/>
  <c r="AB52" i="9"/>
  <c r="T59" i="9"/>
  <c r="AB43" i="9"/>
  <c r="L28" i="8"/>
  <c r="S46" i="8"/>
  <c r="T46" i="8" s="1"/>
  <c r="AB46" i="8" s="1"/>
  <c r="AB30" i="8"/>
  <c r="AB52" i="8"/>
  <c r="AB33" i="8"/>
  <c r="AB31" i="8"/>
  <c r="S45" i="8"/>
  <c r="T45" i="8" s="1"/>
  <c r="AB48" i="8"/>
  <c r="AB43" i="8"/>
  <c r="AB21" i="8"/>
  <c r="AB40" i="8"/>
  <c r="AB41" i="8"/>
  <c r="AB11" i="8"/>
  <c r="AB16" i="8"/>
  <c r="AB19" i="8"/>
  <c r="AB25" i="8"/>
  <c r="AB38" i="8"/>
  <c r="AB44" i="8"/>
  <c r="AB27" i="8"/>
  <c r="AB29" i="8"/>
  <c r="AB22" i="8"/>
  <c r="AB57" i="8"/>
  <c r="AB15" i="8"/>
  <c r="AB18" i="8"/>
  <c r="AB54" i="8"/>
  <c r="AB20" i="8"/>
  <c r="AB23" i="8"/>
  <c r="AB51" i="8"/>
  <c r="AB26" i="8"/>
  <c r="AB42" i="8"/>
  <c r="AB36" i="8"/>
  <c r="AB47" i="8"/>
  <c r="AB174" i="6"/>
  <c r="AB104" i="6"/>
  <c r="S125" i="6"/>
  <c r="T125" i="6" s="1"/>
  <c r="AB125" i="6" s="1"/>
  <c r="AB35" i="6"/>
  <c r="AB99" i="6"/>
  <c r="AB19" i="6"/>
  <c r="AB16" i="6"/>
  <c r="AB66" i="6"/>
  <c r="AB52" i="6"/>
  <c r="AB55" i="6"/>
  <c r="AB107" i="6"/>
  <c r="AB149" i="6"/>
  <c r="AB123" i="6"/>
  <c r="AB18" i="6"/>
  <c r="AB135" i="6"/>
  <c r="AB141" i="6"/>
  <c r="AB39" i="6"/>
  <c r="AB88" i="6"/>
  <c r="AB94" i="6"/>
  <c r="AB51" i="6"/>
  <c r="AB77" i="6"/>
  <c r="AB124" i="6"/>
  <c r="AB49" i="6"/>
  <c r="AB69" i="6"/>
  <c r="AB102" i="6"/>
  <c r="AB138" i="6"/>
  <c r="AB160" i="6"/>
  <c r="AB85" i="6"/>
  <c r="AB109" i="6"/>
  <c r="AB11" i="6"/>
  <c r="AB158" i="6"/>
  <c r="AB171" i="6"/>
  <c r="AB31" i="6"/>
  <c r="AB42" i="6"/>
  <c r="AB113" i="6"/>
  <c r="AB166" i="6"/>
  <c r="AB177" i="6"/>
  <c r="AB63" i="6"/>
  <c r="AB47" i="6"/>
  <c r="AB28" i="6"/>
  <c r="AB89" i="6"/>
  <c r="AB45" i="6"/>
  <c r="AB119" i="6"/>
  <c r="AB136" i="6"/>
  <c r="AB131" i="6"/>
  <c r="AB29" i="6"/>
  <c r="AB32" i="6"/>
  <c r="AB43" i="6"/>
  <c r="AB73" i="6"/>
  <c r="AB111" i="6"/>
  <c r="AB114" i="6"/>
  <c r="AB167" i="6"/>
  <c r="AB57" i="6"/>
  <c r="AB129" i="6"/>
  <c r="AB33" i="6"/>
  <c r="AB41" i="6"/>
  <c r="AB176" i="6"/>
  <c r="M182" i="7"/>
  <c r="Y125" i="7"/>
  <c r="Q182" i="7"/>
  <c r="X182" i="7"/>
  <c r="Y38" i="7"/>
  <c r="Y43" i="7"/>
  <c r="Y70" i="7"/>
  <c r="Y79" i="7"/>
  <c r="Y110" i="7"/>
  <c r="Y156" i="7"/>
  <c r="Y46" i="7"/>
  <c r="Y82" i="7"/>
  <c r="Y91" i="7"/>
  <c r="Y122" i="7"/>
  <c r="Y131" i="7"/>
  <c r="Y138" i="7"/>
  <c r="Y163" i="7"/>
  <c r="Y14" i="7"/>
  <c r="Y22" i="7"/>
  <c r="Y49" i="7"/>
  <c r="Y54" i="7"/>
  <c r="Y85" i="7"/>
  <c r="Y92" i="7"/>
  <c r="Y168" i="7"/>
  <c r="Y179" i="7"/>
  <c r="Y25" i="7"/>
  <c r="Y30" i="7"/>
  <c r="Y74" i="7"/>
  <c r="Y102" i="7"/>
  <c r="Y144" i="7"/>
  <c r="Y151" i="7"/>
  <c r="Y13" i="7"/>
  <c r="X14" i="7"/>
  <c r="AB157" i="6"/>
  <c r="AB59" i="6"/>
  <c r="AB25" i="6"/>
  <c r="AB97" i="6"/>
  <c r="AB37" i="6"/>
  <c r="AB169" i="6"/>
  <c r="AB121" i="6"/>
  <c r="AB145" i="6"/>
  <c r="AB26" i="6"/>
  <c r="AB34" i="6"/>
  <c r="AB44" i="6"/>
  <c r="AB86" i="6"/>
  <c r="AB96" i="6"/>
  <c r="AB106" i="6"/>
  <c r="AB116" i="6"/>
  <c r="AB168" i="6"/>
  <c r="AB178" i="6"/>
  <c r="AB81" i="6"/>
  <c r="AB54" i="6"/>
  <c r="AB76" i="6"/>
  <c r="AB79" i="6"/>
  <c r="AB101" i="6"/>
  <c r="AB126" i="6"/>
  <c r="AB148" i="6"/>
  <c r="AB151" i="6"/>
  <c r="AB173" i="6"/>
  <c r="AB24" i="6"/>
  <c r="AB61" i="6"/>
  <c r="AB74" i="6"/>
  <c r="AB84" i="6"/>
  <c r="AB133" i="6"/>
  <c r="AB146" i="6"/>
  <c r="AB156" i="6"/>
  <c r="AB91" i="6"/>
  <c r="AB64" i="6"/>
  <c r="AB67" i="6"/>
  <c r="AB139" i="6"/>
  <c r="AB161" i="6"/>
  <c r="AB143" i="6"/>
  <c r="AB153" i="6"/>
  <c r="AB14" i="6"/>
  <c r="AB72" i="6"/>
  <c r="AB144" i="6"/>
  <c r="AB21" i="6"/>
  <c r="AB117" i="6"/>
  <c r="AB127" i="6"/>
  <c r="AB179" i="6"/>
  <c r="AB181" i="6"/>
  <c r="P182" i="6"/>
  <c r="AB60" i="6"/>
  <c r="AB132" i="6"/>
  <c r="AB71" i="6"/>
  <c r="AB12" i="6"/>
  <c r="AB95" i="6"/>
  <c r="AB105" i="6"/>
  <c r="AB115" i="6"/>
  <c r="AB48" i="6"/>
  <c r="AB58" i="6"/>
  <c r="AB68" i="6"/>
  <c r="AB120" i="6"/>
  <c r="AB130" i="6"/>
  <c r="AB140" i="6"/>
  <c r="AB163" i="6"/>
  <c r="AB23" i="6"/>
  <c r="AB83" i="6"/>
  <c r="AB93" i="6"/>
  <c r="AB103" i="6"/>
  <c r="AB155" i="6"/>
  <c r="AB165" i="6"/>
  <c r="AB175" i="6"/>
  <c r="AB36" i="6"/>
  <c r="AB98" i="6"/>
  <c r="AB108" i="6"/>
  <c r="AB170" i="6"/>
  <c r="AB13" i="6"/>
  <c r="Z182" i="6"/>
  <c r="AA182" i="6"/>
  <c r="AB22" i="6"/>
  <c r="AB62" i="6"/>
  <c r="AB82" i="6"/>
  <c r="AB92" i="6"/>
  <c r="AB134" i="6"/>
  <c r="AB154" i="6"/>
  <c r="AB164" i="6"/>
  <c r="AB17" i="6"/>
  <c r="AB50" i="6"/>
  <c r="AB70" i="6"/>
  <c r="AB80" i="6"/>
  <c r="AB122" i="6"/>
  <c r="AB142" i="6"/>
  <c r="AB152" i="6"/>
  <c r="AB20" i="6"/>
  <c r="AB27" i="6"/>
  <c r="AB30" i="6"/>
  <c r="AB40" i="6"/>
  <c r="AB65" i="6"/>
  <c r="AB87" i="6"/>
  <c r="AB90" i="6"/>
  <c r="AB112" i="6"/>
  <c r="AB137" i="6"/>
  <c r="AB159" i="6"/>
  <c r="AB162" i="6"/>
  <c r="AB110" i="6"/>
  <c r="AB38" i="6"/>
  <c r="AB10" i="6"/>
  <c r="AB53" i="6"/>
  <c r="AB75" i="6"/>
  <c r="AB78" i="6"/>
  <c r="AB100" i="6"/>
  <c r="AB147" i="6"/>
  <c r="AB150" i="6"/>
  <c r="AB172" i="6"/>
  <c r="AB15" i="6"/>
  <c r="AB46" i="6"/>
  <c r="AB56" i="6"/>
  <c r="AB118" i="6"/>
  <c r="AB128" i="6"/>
  <c r="AB180" i="6"/>
  <c r="Y54" i="5"/>
  <c r="Z54" i="5" s="1"/>
  <c r="R54" i="5"/>
  <c r="S54" i="5" s="1"/>
  <c r="O54" i="5"/>
  <c r="N54" i="5"/>
  <c r="Y188" i="5"/>
  <c r="Z188" i="5" s="1"/>
  <c r="R188" i="5"/>
  <c r="S188" i="5" s="1"/>
  <c r="O188" i="5"/>
  <c r="N188" i="5"/>
  <c r="Y189" i="5"/>
  <c r="Z189" i="5" s="1"/>
  <c r="R189" i="5"/>
  <c r="S189" i="5" s="1"/>
  <c r="O189" i="5"/>
  <c r="N189" i="5"/>
  <c r="Y187" i="5"/>
  <c r="Z187" i="5" s="1"/>
  <c r="R187" i="5"/>
  <c r="S187" i="5" s="1"/>
  <c r="O187" i="5"/>
  <c r="N187" i="5"/>
  <c r="Y186" i="5"/>
  <c r="Z186" i="5" s="1"/>
  <c r="R186" i="5"/>
  <c r="S186" i="5" s="1"/>
  <c r="O186" i="5"/>
  <c r="N186" i="5"/>
  <c r="Y192" i="5"/>
  <c r="Z192" i="5" s="1"/>
  <c r="R192" i="5"/>
  <c r="S192" i="5" s="1"/>
  <c r="O192" i="5"/>
  <c r="N192" i="5"/>
  <c r="Y191" i="5"/>
  <c r="Z191" i="5" s="1"/>
  <c r="R191" i="5"/>
  <c r="S191" i="5" s="1"/>
  <c r="O191" i="5"/>
  <c r="N191" i="5"/>
  <c r="Y190" i="5"/>
  <c r="Z190" i="5" s="1"/>
  <c r="R190" i="5"/>
  <c r="S190" i="5" s="1"/>
  <c r="O190" i="5"/>
  <c r="N190" i="5"/>
  <c r="Y111" i="5"/>
  <c r="Z111" i="5" s="1"/>
  <c r="R111" i="5"/>
  <c r="S111" i="5" s="1"/>
  <c r="O111" i="5"/>
  <c r="N111" i="5"/>
  <c r="Y110" i="5"/>
  <c r="Z110" i="5" s="1"/>
  <c r="R110" i="5"/>
  <c r="S110" i="5" s="1"/>
  <c r="O110" i="5"/>
  <c r="N110" i="5"/>
  <c r="Y109" i="5"/>
  <c r="Z109" i="5" s="1"/>
  <c r="R109" i="5"/>
  <c r="S109" i="5" s="1"/>
  <c r="O109" i="5"/>
  <c r="N109" i="5"/>
  <c r="Y108" i="5"/>
  <c r="Z108" i="5" s="1"/>
  <c r="R108" i="5"/>
  <c r="S108" i="5" s="1"/>
  <c r="O108" i="5"/>
  <c r="N108" i="5"/>
  <c r="Y107" i="5"/>
  <c r="Z107" i="5" s="1"/>
  <c r="R107" i="5"/>
  <c r="S107" i="5" s="1"/>
  <c r="O107" i="5"/>
  <c r="N107" i="5"/>
  <c r="Y158" i="5"/>
  <c r="Z158" i="5" s="1"/>
  <c r="R158" i="5"/>
  <c r="S158" i="5" s="1"/>
  <c r="O158" i="5"/>
  <c r="N158" i="5"/>
  <c r="Y163" i="5"/>
  <c r="Z163" i="5" s="1"/>
  <c r="R163" i="5"/>
  <c r="S163" i="5" s="1"/>
  <c r="O163" i="5"/>
  <c r="N163" i="5"/>
  <c r="Y145" i="5"/>
  <c r="Z145" i="5" s="1"/>
  <c r="R145" i="5"/>
  <c r="S145" i="5" s="1"/>
  <c r="O145" i="5"/>
  <c r="N145" i="5"/>
  <c r="Y144" i="5"/>
  <c r="Z144" i="5" s="1"/>
  <c r="R144" i="5"/>
  <c r="S144" i="5" s="1"/>
  <c r="O144" i="5"/>
  <c r="N144" i="5"/>
  <c r="Y143" i="5"/>
  <c r="Z143" i="5" s="1"/>
  <c r="R143" i="5"/>
  <c r="S143" i="5" s="1"/>
  <c r="O143" i="5"/>
  <c r="N143" i="5"/>
  <c r="Y142" i="5"/>
  <c r="Z142" i="5" s="1"/>
  <c r="R142" i="5"/>
  <c r="S142" i="5" s="1"/>
  <c r="O142" i="5"/>
  <c r="N142" i="5"/>
  <c r="Y141" i="5"/>
  <c r="Z141" i="5" s="1"/>
  <c r="R141" i="5"/>
  <c r="S141" i="5" s="1"/>
  <c r="O141" i="5"/>
  <c r="N141" i="5"/>
  <c r="Y140" i="5"/>
  <c r="Z140" i="5" s="1"/>
  <c r="R140" i="5"/>
  <c r="S140" i="5" s="1"/>
  <c r="O140" i="5"/>
  <c r="N140" i="5"/>
  <c r="X194" i="5"/>
  <c r="W194" i="5"/>
  <c r="V194" i="5"/>
  <c r="U194" i="5"/>
  <c r="T194" i="5"/>
  <c r="Y193" i="5"/>
  <c r="Z193" i="5" s="1"/>
  <c r="R193" i="5"/>
  <c r="S193" i="5" s="1"/>
  <c r="O193" i="5"/>
  <c r="N193" i="5"/>
  <c r="Y185" i="5"/>
  <c r="Z185" i="5" s="1"/>
  <c r="R185" i="5"/>
  <c r="S185" i="5" s="1"/>
  <c r="O185" i="5"/>
  <c r="N185" i="5"/>
  <c r="Y184" i="5"/>
  <c r="Z184" i="5" s="1"/>
  <c r="R184" i="5"/>
  <c r="S184" i="5" s="1"/>
  <c r="O184" i="5"/>
  <c r="N184" i="5"/>
  <c r="Y183" i="5"/>
  <c r="Z183" i="5" s="1"/>
  <c r="R183" i="5"/>
  <c r="S183" i="5" s="1"/>
  <c r="O183" i="5"/>
  <c r="N183" i="5"/>
  <c r="Y182" i="5"/>
  <c r="Z182" i="5" s="1"/>
  <c r="R182" i="5"/>
  <c r="S182" i="5" s="1"/>
  <c r="O182" i="5"/>
  <c r="N182" i="5"/>
  <c r="Y181" i="5"/>
  <c r="Z181" i="5" s="1"/>
  <c r="R181" i="5"/>
  <c r="S181" i="5" s="1"/>
  <c r="O181" i="5"/>
  <c r="N181" i="5"/>
  <c r="Y180" i="5"/>
  <c r="Z180" i="5" s="1"/>
  <c r="R180" i="5"/>
  <c r="S180" i="5" s="1"/>
  <c r="O180" i="5"/>
  <c r="N180" i="5"/>
  <c r="Y179" i="5"/>
  <c r="Z179" i="5" s="1"/>
  <c r="R179" i="5"/>
  <c r="S179" i="5" s="1"/>
  <c r="O179" i="5"/>
  <c r="N179" i="5"/>
  <c r="Y178" i="5"/>
  <c r="Z178" i="5" s="1"/>
  <c r="R178" i="5"/>
  <c r="S178" i="5" s="1"/>
  <c r="O178" i="5"/>
  <c r="N178" i="5"/>
  <c r="Y177" i="5"/>
  <c r="Z177" i="5" s="1"/>
  <c r="R177" i="5"/>
  <c r="S177" i="5" s="1"/>
  <c r="O177" i="5"/>
  <c r="N177" i="5"/>
  <c r="Y176" i="5"/>
  <c r="Z176" i="5" s="1"/>
  <c r="R176" i="5"/>
  <c r="S176" i="5" s="1"/>
  <c r="O176" i="5"/>
  <c r="N176" i="5"/>
  <c r="Y175" i="5"/>
  <c r="Z175" i="5" s="1"/>
  <c r="R175" i="5"/>
  <c r="S175" i="5" s="1"/>
  <c r="O175" i="5"/>
  <c r="N175" i="5"/>
  <c r="Y174" i="5"/>
  <c r="Z174" i="5" s="1"/>
  <c r="R174" i="5"/>
  <c r="S174" i="5" s="1"/>
  <c r="O174" i="5"/>
  <c r="N174" i="5"/>
  <c r="Y173" i="5"/>
  <c r="Z173" i="5" s="1"/>
  <c r="R173" i="5"/>
  <c r="S173" i="5" s="1"/>
  <c r="O173" i="5"/>
  <c r="N173" i="5"/>
  <c r="Y172" i="5"/>
  <c r="Z172" i="5" s="1"/>
  <c r="R172" i="5"/>
  <c r="S172" i="5" s="1"/>
  <c r="O172" i="5"/>
  <c r="N172" i="5"/>
  <c r="Y171" i="5"/>
  <c r="Z171" i="5" s="1"/>
  <c r="R171" i="5"/>
  <c r="S171" i="5" s="1"/>
  <c r="O171" i="5"/>
  <c r="N171" i="5"/>
  <c r="Y170" i="5"/>
  <c r="Z170" i="5" s="1"/>
  <c r="R170" i="5"/>
  <c r="S170" i="5" s="1"/>
  <c r="O170" i="5"/>
  <c r="N170" i="5"/>
  <c r="Y169" i="5"/>
  <c r="Z169" i="5" s="1"/>
  <c r="R169" i="5"/>
  <c r="S169" i="5" s="1"/>
  <c r="O169" i="5"/>
  <c r="N169" i="5"/>
  <c r="Y168" i="5"/>
  <c r="Z168" i="5" s="1"/>
  <c r="R168" i="5"/>
  <c r="S168" i="5" s="1"/>
  <c r="O168" i="5"/>
  <c r="N168" i="5"/>
  <c r="Y167" i="5"/>
  <c r="Z167" i="5" s="1"/>
  <c r="R167" i="5"/>
  <c r="S167" i="5" s="1"/>
  <c r="O167" i="5"/>
  <c r="N167" i="5"/>
  <c r="Y166" i="5"/>
  <c r="Z166" i="5" s="1"/>
  <c r="R166" i="5"/>
  <c r="S166" i="5" s="1"/>
  <c r="O166" i="5"/>
  <c r="N166" i="5"/>
  <c r="Y165" i="5"/>
  <c r="Z165" i="5" s="1"/>
  <c r="R165" i="5"/>
  <c r="S165" i="5" s="1"/>
  <c r="O165" i="5"/>
  <c r="N165" i="5"/>
  <c r="Y164" i="5"/>
  <c r="Z164" i="5" s="1"/>
  <c r="R164" i="5"/>
  <c r="S164" i="5" s="1"/>
  <c r="O164" i="5"/>
  <c r="N164" i="5"/>
  <c r="Y162" i="5"/>
  <c r="Z162" i="5" s="1"/>
  <c r="R162" i="5"/>
  <c r="S162" i="5" s="1"/>
  <c r="O162" i="5"/>
  <c r="N162" i="5"/>
  <c r="Y161" i="5"/>
  <c r="Z161" i="5" s="1"/>
  <c r="R161" i="5"/>
  <c r="S161" i="5" s="1"/>
  <c r="O161" i="5"/>
  <c r="N161" i="5"/>
  <c r="Y160" i="5"/>
  <c r="Z160" i="5" s="1"/>
  <c r="R160" i="5"/>
  <c r="S160" i="5" s="1"/>
  <c r="O160" i="5"/>
  <c r="N160" i="5"/>
  <c r="Y159" i="5"/>
  <c r="Z159" i="5" s="1"/>
  <c r="R159" i="5"/>
  <c r="S159" i="5" s="1"/>
  <c r="O159" i="5"/>
  <c r="N159" i="5"/>
  <c r="Y157" i="5"/>
  <c r="Z157" i="5" s="1"/>
  <c r="R157" i="5"/>
  <c r="S157" i="5" s="1"/>
  <c r="O157" i="5"/>
  <c r="N157" i="5"/>
  <c r="Y156" i="5"/>
  <c r="Z156" i="5" s="1"/>
  <c r="R156" i="5"/>
  <c r="S156" i="5" s="1"/>
  <c r="O156" i="5"/>
  <c r="N156" i="5"/>
  <c r="Y155" i="5"/>
  <c r="Z155" i="5" s="1"/>
  <c r="R155" i="5"/>
  <c r="S155" i="5" s="1"/>
  <c r="O155" i="5"/>
  <c r="N155" i="5"/>
  <c r="Y154" i="5"/>
  <c r="Z154" i="5" s="1"/>
  <c r="R154" i="5"/>
  <c r="S154" i="5" s="1"/>
  <c r="O154" i="5"/>
  <c r="N154" i="5"/>
  <c r="Y153" i="5"/>
  <c r="Z153" i="5" s="1"/>
  <c r="R153" i="5"/>
  <c r="S153" i="5" s="1"/>
  <c r="O153" i="5"/>
  <c r="N153" i="5"/>
  <c r="Y152" i="5"/>
  <c r="Z152" i="5" s="1"/>
  <c r="R152" i="5"/>
  <c r="S152" i="5" s="1"/>
  <c r="O152" i="5"/>
  <c r="N152" i="5"/>
  <c r="Y151" i="5"/>
  <c r="Z151" i="5" s="1"/>
  <c r="R151" i="5"/>
  <c r="S151" i="5" s="1"/>
  <c r="O151" i="5"/>
  <c r="N151" i="5"/>
  <c r="Y150" i="5"/>
  <c r="Z150" i="5" s="1"/>
  <c r="R150" i="5"/>
  <c r="S150" i="5" s="1"/>
  <c r="O150" i="5"/>
  <c r="N150" i="5"/>
  <c r="Y149" i="5"/>
  <c r="Z149" i="5" s="1"/>
  <c r="R149" i="5"/>
  <c r="S149" i="5" s="1"/>
  <c r="O149" i="5"/>
  <c r="N149" i="5"/>
  <c r="Y148" i="5"/>
  <c r="Z148" i="5" s="1"/>
  <c r="R148" i="5"/>
  <c r="S148" i="5" s="1"/>
  <c r="O148" i="5"/>
  <c r="N148" i="5"/>
  <c r="Y147" i="5"/>
  <c r="Z147" i="5" s="1"/>
  <c r="R147" i="5"/>
  <c r="S147" i="5" s="1"/>
  <c r="O147" i="5"/>
  <c r="N147" i="5"/>
  <c r="Y146" i="5"/>
  <c r="Z146" i="5" s="1"/>
  <c r="R146" i="5"/>
  <c r="S146" i="5" s="1"/>
  <c r="O146" i="5"/>
  <c r="N146" i="5"/>
  <c r="Y139" i="5"/>
  <c r="Z139" i="5" s="1"/>
  <c r="R139" i="5"/>
  <c r="S139" i="5" s="1"/>
  <c r="O139" i="5"/>
  <c r="N139" i="5"/>
  <c r="Y138" i="5"/>
  <c r="Z138" i="5" s="1"/>
  <c r="R138" i="5"/>
  <c r="S138" i="5" s="1"/>
  <c r="O138" i="5"/>
  <c r="N138" i="5"/>
  <c r="Y137" i="5"/>
  <c r="Z137" i="5" s="1"/>
  <c r="R137" i="5"/>
  <c r="S137" i="5" s="1"/>
  <c r="O137" i="5"/>
  <c r="N137" i="5"/>
  <c r="Y136" i="5"/>
  <c r="Z136" i="5" s="1"/>
  <c r="R136" i="5"/>
  <c r="S136" i="5" s="1"/>
  <c r="O136" i="5"/>
  <c r="N136" i="5"/>
  <c r="Y135" i="5"/>
  <c r="Z135" i="5" s="1"/>
  <c r="R135" i="5"/>
  <c r="S135" i="5" s="1"/>
  <c r="O135" i="5"/>
  <c r="N135" i="5"/>
  <c r="Y134" i="5"/>
  <c r="Z134" i="5" s="1"/>
  <c r="R134" i="5"/>
  <c r="S134" i="5" s="1"/>
  <c r="O134" i="5"/>
  <c r="N134" i="5"/>
  <c r="Y133" i="5"/>
  <c r="Z133" i="5" s="1"/>
  <c r="R133" i="5"/>
  <c r="S133" i="5" s="1"/>
  <c r="O133" i="5"/>
  <c r="N133" i="5"/>
  <c r="Y132" i="5"/>
  <c r="Z132" i="5" s="1"/>
  <c r="R132" i="5"/>
  <c r="S132" i="5" s="1"/>
  <c r="O132" i="5"/>
  <c r="N132" i="5"/>
  <c r="Y131" i="5"/>
  <c r="Z131" i="5" s="1"/>
  <c r="R131" i="5"/>
  <c r="S131" i="5" s="1"/>
  <c r="O131" i="5"/>
  <c r="N131" i="5"/>
  <c r="Y130" i="5"/>
  <c r="Z130" i="5" s="1"/>
  <c r="R130" i="5"/>
  <c r="S130" i="5" s="1"/>
  <c r="O130" i="5"/>
  <c r="N130" i="5"/>
  <c r="Y129" i="5"/>
  <c r="Z129" i="5" s="1"/>
  <c r="R129" i="5"/>
  <c r="S129" i="5" s="1"/>
  <c r="O129" i="5"/>
  <c r="N129" i="5"/>
  <c r="Y128" i="5"/>
  <c r="Z128" i="5" s="1"/>
  <c r="R128" i="5"/>
  <c r="S128" i="5" s="1"/>
  <c r="O128" i="5"/>
  <c r="N128" i="5"/>
  <c r="Y127" i="5"/>
  <c r="Z127" i="5" s="1"/>
  <c r="R127" i="5"/>
  <c r="S127" i="5" s="1"/>
  <c r="O127" i="5"/>
  <c r="N127" i="5"/>
  <c r="Y126" i="5"/>
  <c r="Z126" i="5" s="1"/>
  <c r="R126" i="5"/>
  <c r="S126" i="5" s="1"/>
  <c r="O126" i="5"/>
  <c r="N126" i="5"/>
  <c r="Y125" i="5"/>
  <c r="Z125" i="5" s="1"/>
  <c r="R125" i="5"/>
  <c r="S125" i="5" s="1"/>
  <c r="O125" i="5"/>
  <c r="N125" i="5"/>
  <c r="Y124" i="5"/>
  <c r="Z124" i="5" s="1"/>
  <c r="R124" i="5"/>
  <c r="S124" i="5" s="1"/>
  <c r="O124" i="5"/>
  <c r="N124" i="5"/>
  <c r="Y123" i="5"/>
  <c r="Z123" i="5" s="1"/>
  <c r="R123" i="5"/>
  <c r="S123" i="5" s="1"/>
  <c r="O123" i="5"/>
  <c r="N123" i="5"/>
  <c r="Y122" i="5"/>
  <c r="Z122" i="5" s="1"/>
  <c r="R122" i="5"/>
  <c r="S122" i="5" s="1"/>
  <c r="O122" i="5"/>
  <c r="N122" i="5"/>
  <c r="Y121" i="5"/>
  <c r="Z121" i="5" s="1"/>
  <c r="R121" i="5"/>
  <c r="S121" i="5" s="1"/>
  <c r="O121" i="5"/>
  <c r="N121" i="5"/>
  <c r="Y120" i="5"/>
  <c r="Z120" i="5" s="1"/>
  <c r="R120" i="5"/>
  <c r="S120" i="5" s="1"/>
  <c r="O120" i="5"/>
  <c r="N120" i="5"/>
  <c r="Y119" i="5"/>
  <c r="Z119" i="5" s="1"/>
  <c r="R119" i="5"/>
  <c r="S119" i="5" s="1"/>
  <c r="O119" i="5"/>
  <c r="N119" i="5"/>
  <c r="Y118" i="5"/>
  <c r="Z118" i="5" s="1"/>
  <c r="R118" i="5"/>
  <c r="S118" i="5" s="1"/>
  <c r="O118" i="5"/>
  <c r="N118" i="5"/>
  <c r="Y117" i="5"/>
  <c r="Z117" i="5" s="1"/>
  <c r="R117" i="5"/>
  <c r="S117" i="5" s="1"/>
  <c r="O117" i="5"/>
  <c r="N117" i="5"/>
  <c r="Y116" i="5"/>
  <c r="Z116" i="5" s="1"/>
  <c r="R116" i="5"/>
  <c r="S116" i="5" s="1"/>
  <c r="O116" i="5"/>
  <c r="N116" i="5"/>
  <c r="Y115" i="5"/>
  <c r="Z115" i="5" s="1"/>
  <c r="R115" i="5"/>
  <c r="S115" i="5" s="1"/>
  <c r="O115" i="5"/>
  <c r="N115" i="5"/>
  <c r="Y114" i="5"/>
  <c r="Z114" i="5" s="1"/>
  <c r="R114" i="5"/>
  <c r="S114" i="5" s="1"/>
  <c r="O114" i="5"/>
  <c r="N114" i="5"/>
  <c r="Y113" i="5"/>
  <c r="Z113" i="5" s="1"/>
  <c r="R113" i="5"/>
  <c r="S113" i="5" s="1"/>
  <c r="O113" i="5"/>
  <c r="N113" i="5"/>
  <c r="Y112" i="5"/>
  <c r="Z112" i="5" s="1"/>
  <c r="R112" i="5"/>
  <c r="S112" i="5" s="1"/>
  <c r="O112" i="5"/>
  <c r="N112" i="5"/>
  <c r="Y106" i="5"/>
  <c r="Z106" i="5" s="1"/>
  <c r="R106" i="5"/>
  <c r="S106" i="5" s="1"/>
  <c r="O106" i="5"/>
  <c r="N106" i="5"/>
  <c r="Y105" i="5"/>
  <c r="Z105" i="5" s="1"/>
  <c r="R105" i="5"/>
  <c r="S105" i="5" s="1"/>
  <c r="O105" i="5"/>
  <c r="N105" i="5"/>
  <c r="Y104" i="5"/>
  <c r="Z104" i="5" s="1"/>
  <c r="R104" i="5"/>
  <c r="S104" i="5" s="1"/>
  <c r="O104" i="5"/>
  <c r="N104" i="5"/>
  <c r="Y103" i="5"/>
  <c r="Z103" i="5" s="1"/>
  <c r="R103" i="5"/>
  <c r="S103" i="5" s="1"/>
  <c r="O103" i="5"/>
  <c r="N103" i="5"/>
  <c r="Y102" i="5"/>
  <c r="Z102" i="5" s="1"/>
  <c r="R102" i="5"/>
  <c r="S102" i="5" s="1"/>
  <c r="O102" i="5"/>
  <c r="N102" i="5"/>
  <c r="Y101" i="5"/>
  <c r="Z101" i="5" s="1"/>
  <c r="R101" i="5"/>
  <c r="S101" i="5" s="1"/>
  <c r="O101" i="5"/>
  <c r="N101" i="5"/>
  <c r="Y100" i="5"/>
  <c r="Z100" i="5" s="1"/>
  <c r="R100" i="5"/>
  <c r="S100" i="5" s="1"/>
  <c r="O100" i="5"/>
  <c r="N100" i="5"/>
  <c r="Y99" i="5"/>
  <c r="Z99" i="5" s="1"/>
  <c r="R99" i="5"/>
  <c r="S99" i="5" s="1"/>
  <c r="O99" i="5"/>
  <c r="N99" i="5"/>
  <c r="Y98" i="5"/>
  <c r="Z98" i="5" s="1"/>
  <c r="R98" i="5"/>
  <c r="S98" i="5" s="1"/>
  <c r="O98" i="5"/>
  <c r="N98" i="5"/>
  <c r="Y97" i="5"/>
  <c r="Z97" i="5" s="1"/>
  <c r="R97" i="5"/>
  <c r="S97" i="5" s="1"/>
  <c r="O97" i="5"/>
  <c r="N97" i="5"/>
  <c r="Y96" i="5"/>
  <c r="Z96" i="5" s="1"/>
  <c r="R96" i="5"/>
  <c r="S96" i="5" s="1"/>
  <c r="O96" i="5"/>
  <c r="N96" i="5"/>
  <c r="Y95" i="5"/>
  <c r="Z95" i="5" s="1"/>
  <c r="R95" i="5"/>
  <c r="S95" i="5" s="1"/>
  <c r="O95" i="5"/>
  <c r="N95" i="5"/>
  <c r="Y94" i="5"/>
  <c r="Z94" i="5" s="1"/>
  <c r="R94" i="5"/>
  <c r="S94" i="5" s="1"/>
  <c r="O94" i="5"/>
  <c r="N94" i="5"/>
  <c r="Y93" i="5"/>
  <c r="Z93" i="5" s="1"/>
  <c r="R93" i="5"/>
  <c r="S93" i="5" s="1"/>
  <c r="O93" i="5"/>
  <c r="N93" i="5"/>
  <c r="Y92" i="5"/>
  <c r="Z92" i="5" s="1"/>
  <c r="R92" i="5"/>
  <c r="S92" i="5" s="1"/>
  <c r="O92" i="5"/>
  <c r="N92" i="5"/>
  <c r="Y91" i="5"/>
  <c r="Z91" i="5" s="1"/>
  <c r="R91" i="5"/>
  <c r="S91" i="5" s="1"/>
  <c r="O91" i="5"/>
  <c r="N91" i="5"/>
  <c r="Y90" i="5"/>
  <c r="Z90" i="5" s="1"/>
  <c r="R90" i="5"/>
  <c r="S90" i="5" s="1"/>
  <c r="O90" i="5"/>
  <c r="N90" i="5"/>
  <c r="Y89" i="5"/>
  <c r="Z89" i="5" s="1"/>
  <c r="R89" i="5"/>
  <c r="S89" i="5" s="1"/>
  <c r="O89" i="5"/>
  <c r="N89" i="5"/>
  <c r="Y88" i="5"/>
  <c r="Z88" i="5" s="1"/>
  <c r="R88" i="5"/>
  <c r="S88" i="5" s="1"/>
  <c r="O88" i="5"/>
  <c r="N88" i="5"/>
  <c r="Y87" i="5"/>
  <c r="Z87" i="5" s="1"/>
  <c r="R87" i="5"/>
  <c r="S87" i="5" s="1"/>
  <c r="O87" i="5"/>
  <c r="N87" i="5"/>
  <c r="Y86" i="5"/>
  <c r="Z86" i="5" s="1"/>
  <c r="R86" i="5"/>
  <c r="S86" i="5" s="1"/>
  <c r="O86" i="5"/>
  <c r="N86" i="5"/>
  <c r="Y85" i="5"/>
  <c r="Z85" i="5" s="1"/>
  <c r="R85" i="5"/>
  <c r="S85" i="5" s="1"/>
  <c r="O85" i="5"/>
  <c r="N85" i="5"/>
  <c r="Y84" i="5"/>
  <c r="Z84" i="5" s="1"/>
  <c r="R84" i="5"/>
  <c r="S84" i="5" s="1"/>
  <c r="O84" i="5"/>
  <c r="N84" i="5"/>
  <c r="Y83" i="5"/>
  <c r="Z83" i="5" s="1"/>
  <c r="R83" i="5"/>
  <c r="S83" i="5" s="1"/>
  <c r="O83" i="5"/>
  <c r="N83" i="5"/>
  <c r="Y82" i="5"/>
  <c r="Z82" i="5" s="1"/>
  <c r="R82" i="5"/>
  <c r="S82" i="5" s="1"/>
  <c r="O82" i="5"/>
  <c r="N82" i="5"/>
  <c r="Y81" i="5"/>
  <c r="Z81" i="5" s="1"/>
  <c r="R81" i="5"/>
  <c r="S81" i="5" s="1"/>
  <c r="O81" i="5"/>
  <c r="N81" i="5"/>
  <c r="Y80" i="5"/>
  <c r="Z80" i="5" s="1"/>
  <c r="R80" i="5"/>
  <c r="S80" i="5" s="1"/>
  <c r="O80" i="5"/>
  <c r="N80" i="5"/>
  <c r="Y79" i="5"/>
  <c r="Z79" i="5" s="1"/>
  <c r="R79" i="5"/>
  <c r="S79" i="5" s="1"/>
  <c r="O79" i="5"/>
  <c r="N79" i="5"/>
  <c r="Y78" i="5"/>
  <c r="Z78" i="5" s="1"/>
  <c r="R78" i="5"/>
  <c r="S78" i="5" s="1"/>
  <c r="O78" i="5"/>
  <c r="N78" i="5"/>
  <c r="Y77" i="5"/>
  <c r="Z77" i="5" s="1"/>
  <c r="R77" i="5"/>
  <c r="S77" i="5" s="1"/>
  <c r="O77" i="5"/>
  <c r="N77" i="5"/>
  <c r="Y76" i="5"/>
  <c r="Z76" i="5" s="1"/>
  <c r="R76" i="5"/>
  <c r="S76" i="5" s="1"/>
  <c r="O76" i="5"/>
  <c r="N76" i="5"/>
  <c r="Y75" i="5"/>
  <c r="Z75" i="5" s="1"/>
  <c r="R75" i="5"/>
  <c r="S75" i="5" s="1"/>
  <c r="O75" i="5"/>
  <c r="N75" i="5"/>
  <c r="Y74" i="5"/>
  <c r="Z74" i="5" s="1"/>
  <c r="R74" i="5"/>
  <c r="S74" i="5" s="1"/>
  <c r="O74" i="5"/>
  <c r="N74" i="5"/>
  <c r="Y73" i="5"/>
  <c r="Z73" i="5" s="1"/>
  <c r="R73" i="5"/>
  <c r="S73" i="5" s="1"/>
  <c r="O73" i="5"/>
  <c r="N73" i="5"/>
  <c r="Y72" i="5"/>
  <c r="Z72" i="5" s="1"/>
  <c r="R72" i="5"/>
  <c r="S72" i="5" s="1"/>
  <c r="O72" i="5"/>
  <c r="N72" i="5"/>
  <c r="Y71" i="5"/>
  <c r="Z71" i="5" s="1"/>
  <c r="R71" i="5"/>
  <c r="S71" i="5" s="1"/>
  <c r="O71" i="5"/>
  <c r="N71" i="5"/>
  <c r="Y70" i="5"/>
  <c r="Z70" i="5" s="1"/>
  <c r="R70" i="5"/>
  <c r="S70" i="5" s="1"/>
  <c r="O70" i="5"/>
  <c r="N70" i="5"/>
  <c r="Y69" i="5"/>
  <c r="Z69" i="5" s="1"/>
  <c r="R69" i="5"/>
  <c r="S69" i="5" s="1"/>
  <c r="O69" i="5"/>
  <c r="N69" i="5"/>
  <c r="Y68" i="5"/>
  <c r="Z68" i="5" s="1"/>
  <c r="R68" i="5"/>
  <c r="S68" i="5" s="1"/>
  <c r="O68" i="5"/>
  <c r="N68" i="5"/>
  <c r="Y67" i="5"/>
  <c r="Z67" i="5" s="1"/>
  <c r="R67" i="5"/>
  <c r="S67" i="5" s="1"/>
  <c r="O67" i="5"/>
  <c r="N67" i="5"/>
  <c r="Y66" i="5"/>
  <c r="Z66" i="5" s="1"/>
  <c r="R66" i="5"/>
  <c r="S66" i="5" s="1"/>
  <c r="O66" i="5"/>
  <c r="N66" i="5"/>
  <c r="Y65" i="5"/>
  <c r="Z65" i="5" s="1"/>
  <c r="R65" i="5"/>
  <c r="S65" i="5" s="1"/>
  <c r="O65" i="5"/>
  <c r="N65" i="5"/>
  <c r="Y64" i="5"/>
  <c r="Z64" i="5" s="1"/>
  <c r="R64" i="5"/>
  <c r="S64" i="5" s="1"/>
  <c r="O64" i="5"/>
  <c r="N64" i="5"/>
  <c r="Y63" i="5"/>
  <c r="Z63" i="5" s="1"/>
  <c r="R63" i="5"/>
  <c r="S63" i="5" s="1"/>
  <c r="O63" i="5"/>
  <c r="N63" i="5"/>
  <c r="Y62" i="5"/>
  <c r="Z62" i="5" s="1"/>
  <c r="R62" i="5"/>
  <c r="S62" i="5" s="1"/>
  <c r="O62" i="5"/>
  <c r="N62" i="5"/>
  <c r="Y61" i="5"/>
  <c r="Z61" i="5" s="1"/>
  <c r="R61" i="5"/>
  <c r="S61" i="5" s="1"/>
  <c r="O61" i="5"/>
  <c r="N61" i="5"/>
  <c r="Y60" i="5"/>
  <c r="Z60" i="5" s="1"/>
  <c r="R60" i="5"/>
  <c r="S60" i="5" s="1"/>
  <c r="O60" i="5"/>
  <c r="N60" i="5"/>
  <c r="Y59" i="5"/>
  <c r="Z59" i="5" s="1"/>
  <c r="R59" i="5"/>
  <c r="S59" i="5" s="1"/>
  <c r="O59" i="5"/>
  <c r="N59" i="5"/>
  <c r="Y58" i="5"/>
  <c r="Z58" i="5" s="1"/>
  <c r="R58" i="5"/>
  <c r="S58" i="5" s="1"/>
  <c r="O58" i="5"/>
  <c r="N58" i="5"/>
  <c r="Y57" i="5"/>
  <c r="Z57" i="5" s="1"/>
  <c r="R57" i="5"/>
  <c r="S57" i="5" s="1"/>
  <c r="O57" i="5"/>
  <c r="N57" i="5"/>
  <c r="Y56" i="5"/>
  <c r="Z56" i="5" s="1"/>
  <c r="R56" i="5"/>
  <c r="S56" i="5" s="1"/>
  <c r="O56" i="5"/>
  <c r="N56" i="5"/>
  <c r="Y55" i="5"/>
  <c r="Z55" i="5" s="1"/>
  <c r="R55" i="5"/>
  <c r="S55" i="5" s="1"/>
  <c r="O55" i="5"/>
  <c r="N55" i="5"/>
  <c r="Y53" i="5"/>
  <c r="Z53" i="5" s="1"/>
  <c r="R53" i="5"/>
  <c r="S53" i="5" s="1"/>
  <c r="O53" i="5"/>
  <c r="N53" i="5"/>
  <c r="Y52" i="5"/>
  <c r="Z52" i="5" s="1"/>
  <c r="R52" i="5"/>
  <c r="S52" i="5" s="1"/>
  <c r="O52" i="5"/>
  <c r="N52" i="5"/>
  <c r="Y51" i="5"/>
  <c r="Z51" i="5" s="1"/>
  <c r="R51" i="5"/>
  <c r="S51" i="5" s="1"/>
  <c r="O51" i="5"/>
  <c r="N51" i="5"/>
  <c r="Y50" i="5"/>
  <c r="Z50" i="5" s="1"/>
  <c r="R50" i="5"/>
  <c r="S50" i="5" s="1"/>
  <c r="O50" i="5"/>
  <c r="N50" i="5"/>
  <c r="Y49" i="5"/>
  <c r="Z49" i="5" s="1"/>
  <c r="R49" i="5"/>
  <c r="S49" i="5" s="1"/>
  <c r="O49" i="5"/>
  <c r="N49" i="5"/>
  <c r="Y48" i="5"/>
  <c r="Z48" i="5" s="1"/>
  <c r="R48" i="5"/>
  <c r="S48" i="5" s="1"/>
  <c r="O48" i="5"/>
  <c r="N48" i="5"/>
  <c r="Y47" i="5"/>
  <c r="Z47" i="5" s="1"/>
  <c r="R47" i="5"/>
  <c r="S47" i="5" s="1"/>
  <c r="O47" i="5"/>
  <c r="N47" i="5"/>
  <c r="Y46" i="5"/>
  <c r="Z46" i="5" s="1"/>
  <c r="R46" i="5"/>
  <c r="S46" i="5" s="1"/>
  <c r="O46" i="5"/>
  <c r="N46" i="5"/>
  <c r="Y45" i="5"/>
  <c r="Z45" i="5" s="1"/>
  <c r="R45" i="5"/>
  <c r="S45" i="5" s="1"/>
  <c r="O45" i="5"/>
  <c r="N45" i="5"/>
  <c r="Y44" i="5"/>
  <c r="Z44" i="5" s="1"/>
  <c r="R44" i="5"/>
  <c r="S44" i="5" s="1"/>
  <c r="O44" i="5"/>
  <c r="N44" i="5"/>
  <c r="Y43" i="5"/>
  <c r="Z43" i="5" s="1"/>
  <c r="R43" i="5"/>
  <c r="S43" i="5" s="1"/>
  <c r="O43" i="5"/>
  <c r="N43" i="5"/>
  <c r="Y42" i="5"/>
  <c r="Z42" i="5" s="1"/>
  <c r="R42" i="5"/>
  <c r="S42" i="5" s="1"/>
  <c r="O42" i="5"/>
  <c r="N42" i="5"/>
  <c r="Y41" i="5"/>
  <c r="Z41" i="5" s="1"/>
  <c r="R41" i="5"/>
  <c r="S41" i="5" s="1"/>
  <c r="O41" i="5"/>
  <c r="N41" i="5"/>
  <c r="Y40" i="5"/>
  <c r="Z40" i="5" s="1"/>
  <c r="R40" i="5"/>
  <c r="S40" i="5" s="1"/>
  <c r="O40" i="5"/>
  <c r="N40" i="5"/>
  <c r="Y39" i="5"/>
  <c r="Z39" i="5" s="1"/>
  <c r="R39" i="5"/>
  <c r="S39" i="5" s="1"/>
  <c r="O39" i="5"/>
  <c r="N39" i="5"/>
  <c r="Y38" i="5"/>
  <c r="Z38" i="5" s="1"/>
  <c r="R38" i="5"/>
  <c r="S38" i="5" s="1"/>
  <c r="O38" i="5"/>
  <c r="N38" i="5"/>
  <c r="Y37" i="5"/>
  <c r="Z37" i="5" s="1"/>
  <c r="R37" i="5"/>
  <c r="S37" i="5" s="1"/>
  <c r="O37" i="5"/>
  <c r="N37" i="5"/>
  <c r="Y36" i="5"/>
  <c r="Z36" i="5" s="1"/>
  <c r="R36" i="5"/>
  <c r="S36" i="5" s="1"/>
  <c r="O36" i="5"/>
  <c r="N36" i="5"/>
  <c r="Y35" i="5"/>
  <c r="Z35" i="5" s="1"/>
  <c r="R35" i="5"/>
  <c r="S35" i="5" s="1"/>
  <c r="O35" i="5"/>
  <c r="N35" i="5"/>
  <c r="Y34" i="5"/>
  <c r="Z34" i="5" s="1"/>
  <c r="R34" i="5"/>
  <c r="S34" i="5" s="1"/>
  <c r="O34" i="5"/>
  <c r="N34" i="5"/>
  <c r="Y33" i="5"/>
  <c r="Z33" i="5" s="1"/>
  <c r="R33" i="5"/>
  <c r="S33" i="5" s="1"/>
  <c r="O33" i="5"/>
  <c r="N33" i="5"/>
  <c r="Y32" i="5"/>
  <c r="Z32" i="5" s="1"/>
  <c r="R32" i="5"/>
  <c r="S32" i="5" s="1"/>
  <c r="O32" i="5"/>
  <c r="N32" i="5"/>
  <c r="Y31" i="5"/>
  <c r="Z31" i="5" s="1"/>
  <c r="R31" i="5"/>
  <c r="S31" i="5" s="1"/>
  <c r="O31" i="5"/>
  <c r="N31" i="5"/>
  <c r="Y30" i="5"/>
  <c r="Z30" i="5" s="1"/>
  <c r="R30" i="5"/>
  <c r="S30" i="5" s="1"/>
  <c r="O30" i="5"/>
  <c r="N30" i="5"/>
  <c r="Y29" i="5"/>
  <c r="Z29" i="5" s="1"/>
  <c r="R29" i="5"/>
  <c r="S29" i="5" s="1"/>
  <c r="O29" i="5"/>
  <c r="N29" i="5"/>
  <c r="Y28" i="5"/>
  <c r="Z28" i="5" s="1"/>
  <c r="R28" i="5"/>
  <c r="S28" i="5" s="1"/>
  <c r="O28" i="5"/>
  <c r="N28" i="5"/>
  <c r="Y27" i="5"/>
  <c r="Z27" i="5" s="1"/>
  <c r="R27" i="5"/>
  <c r="S27" i="5" s="1"/>
  <c r="O27" i="5"/>
  <c r="N27" i="5"/>
  <c r="Y26" i="5"/>
  <c r="Z26" i="5" s="1"/>
  <c r="R26" i="5"/>
  <c r="S26" i="5" s="1"/>
  <c r="O26" i="5"/>
  <c r="N26" i="5"/>
  <c r="Y25" i="5"/>
  <c r="Z25" i="5" s="1"/>
  <c r="R25" i="5"/>
  <c r="S25" i="5" s="1"/>
  <c r="O25" i="5"/>
  <c r="N25" i="5"/>
  <c r="Y24" i="5"/>
  <c r="Z24" i="5" s="1"/>
  <c r="R24" i="5"/>
  <c r="S24" i="5" s="1"/>
  <c r="O24" i="5"/>
  <c r="N24" i="5"/>
  <c r="Y23" i="5"/>
  <c r="Z23" i="5" s="1"/>
  <c r="R23" i="5"/>
  <c r="S23" i="5" s="1"/>
  <c r="O23" i="5"/>
  <c r="N23" i="5"/>
  <c r="Y22" i="5"/>
  <c r="Z22" i="5" s="1"/>
  <c r="R22" i="5"/>
  <c r="S22" i="5" s="1"/>
  <c r="O22" i="5"/>
  <c r="N22" i="5"/>
  <c r="Y21" i="5"/>
  <c r="Z21" i="5" s="1"/>
  <c r="R21" i="5"/>
  <c r="S21" i="5" s="1"/>
  <c r="O21" i="5"/>
  <c r="N21" i="5"/>
  <c r="Y20" i="5"/>
  <c r="Z20" i="5" s="1"/>
  <c r="R20" i="5"/>
  <c r="S20" i="5" s="1"/>
  <c r="O20" i="5"/>
  <c r="N20" i="5"/>
  <c r="Y19" i="5"/>
  <c r="Z19" i="5" s="1"/>
  <c r="R19" i="5"/>
  <c r="S19" i="5" s="1"/>
  <c r="O19" i="5"/>
  <c r="N19" i="5"/>
  <c r="Y18" i="5"/>
  <c r="Z18" i="5" s="1"/>
  <c r="R18" i="5"/>
  <c r="S18" i="5" s="1"/>
  <c r="O18" i="5"/>
  <c r="N18" i="5"/>
  <c r="Y17" i="5"/>
  <c r="Z17" i="5" s="1"/>
  <c r="R17" i="5"/>
  <c r="S17" i="5" s="1"/>
  <c r="O17" i="5"/>
  <c r="N17" i="5"/>
  <c r="Y16" i="5"/>
  <c r="Z16" i="5" s="1"/>
  <c r="R16" i="5"/>
  <c r="S16" i="5" s="1"/>
  <c r="O16" i="5"/>
  <c r="N16" i="5"/>
  <c r="Y15" i="5"/>
  <c r="Z15" i="5" s="1"/>
  <c r="R15" i="5"/>
  <c r="S15" i="5" s="1"/>
  <c r="O15" i="5"/>
  <c r="N15" i="5"/>
  <c r="Y14" i="5"/>
  <c r="Z14" i="5" s="1"/>
  <c r="R14" i="5"/>
  <c r="S14" i="5" s="1"/>
  <c r="O14" i="5"/>
  <c r="N14" i="5"/>
  <c r="Y13" i="5"/>
  <c r="Z13" i="5" s="1"/>
  <c r="R13" i="5"/>
  <c r="S13" i="5" s="1"/>
  <c r="O13" i="5"/>
  <c r="N13" i="5"/>
  <c r="Y12" i="5"/>
  <c r="Z12" i="5" s="1"/>
  <c r="R12" i="5"/>
  <c r="S12" i="5" s="1"/>
  <c r="O12" i="5"/>
  <c r="N12" i="5"/>
  <c r="Y11" i="5"/>
  <c r="Z11" i="5" s="1"/>
  <c r="R11" i="5"/>
  <c r="S11" i="5" s="1"/>
  <c r="O11" i="5"/>
  <c r="N11" i="5"/>
  <c r="Y10" i="5"/>
  <c r="Z10" i="5" s="1"/>
  <c r="R10" i="5"/>
  <c r="S10" i="5" s="1"/>
  <c r="O10" i="5"/>
  <c r="N10" i="5"/>
  <c r="P59" i="9" l="1"/>
  <c r="L58" i="8"/>
  <c r="P58" i="8"/>
  <c r="L58" i="12"/>
  <c r="P12" i="25"/>
  <c r="AB12" i="25" s="1"/>
  <c r="L59" i="9"/>
  <c r="Z57" i="25"/>
  <c r="AA57" i="25" s="1"/>
  <c r="P27" i="25"/>
  <c r="AB27" i="25" s="1"/>
  <c r="L27" i="25"/>
  <c r="P10" i="25"/>
  <c r="L10" i="25"/>
  <c r="AB58" i="10"/>
  <c r="AB58" i="11"/>
  <c r="T58" i="8"/>
  <c r="AB45" i="8"/>
  <c r="T182" i="6"/>
  <c r="Y182" i="7"/>
  <c r="AB182" i="6"/>
  <c r="AA54" i="5"/>
  <c r="AA188" i="5"/>
  <c r="AA186" i="5"/>
  <c r="AA187" i="5"/>
  <c r="AA192" i="5"/>
  <c r="AA189" i="5"/>
  <c r="AA190" i="5"/>
  <c r="AA191" i="5"/>
  <c r="AA109" i="5"/>
  <c r="AA111" i="5"/>
  <c r="AA110" i="5"/>
  <c r="AA107" i="5"/>
  <c r="AA108" i="5"/>
  <c r="AA142" i="5"/>
  <c r="AA158" i="5"/>
  <c r="AA144" i="5"/>
  <c r="AA163" i="5"/>
  <c r="AA143" i="5"/>
  <c r="AA145" i="5"/>
  <c r="AA162" i="5"/>
  <c r="AA53" i="5"/>
  <c r="AA181" i="5"/>
  <c r="AA17" i="5"/>
  <c r="AA141" i="5"/>
  <c r="AA140" i="5"/>
  <c r="AA63" i="5"/>
  <c r="AA127" i="5"/>
  <c r="AA173" i="5"/>
  <c r="AA95" i="5"/>
  <c r="AA42" i="5"/>
  <c r="AA45" i="5"/>
  <c r="AA15" i="5"/>
  <c r="AA29" i="5"/>
  <c r="AA100" i="5"/>
  <c r="AA112" i="5"/>
  <c r="AA126" i="5"/>
  <c r="AA129" i="5"/>
  <c r="AA132" i="5"/>
  <c r="AA146" i="5"/>
  <c r="AA149" i="5"/>
  <c r="AA139" i="5"/>
  <c r="AA65" i="5"/>
  <c r="AA49" i="5"/>
  <c r="AA60" i="5"/>
  <c r="AA23" i="5"/>
  <c r="AA48" i="5"/>
  <c r="AA51" i="5"/>
  <c r="AA84" i="5"/>
  <c r="AA170" i="5"/>
  <c r="AA156" i="5"/>
  <c r="AA184" i="5"/>
  <c r="AA176" i="5"/>
  <c r="AA114" i="5"/>
  <c r="AA137" i="5"/>
  <c r="AA58" i="5"/>
  <c r="AA27" i="5"/>
  <c r="AA41" i="5"/>
  <c r="AA66" i="5"/>
  <c r="AA69" i="5"/>
  <c r="AA74" i="5"/>
  <c r="AA98" i="5"/>
  <c r="AA28" i="5"/>
  <c r="AA88" i="5"/>
  <c r="AA37" i="5"/>
  <c r="AA73" i="5"/>
  <c r="AA55" i="5"/>
  <c r="AA86" i="5"/>
  <c r="AA20" i="5"/>
  <c r="AA83" i="5"/>
  <c r="AA61" i="5"/>
  <c r="AA72" i="5"/>
  <c r="AA104" i="5"/>
  <c r="AA113" i="5"/>
  <c r="AA39" i="5"/>
  <c r="AA96" i="5"/>
  <c r="AA178" i="5"/>
  <c r="AA11" i="5"/>
  <c r="AA30" i="5"/>
  <c r="AA36" i="5"/>
  <c r="AA78" i="5"/>
  <c r="AA81" i="5"/>
  <c r="AA87" i="5"/>
  <c r="AA90" i="5"/>
  <c r="AA93" i="5"/>
  <c r="AA102" i="5"/>
  <c r="AA148" i="5"/>
  <c r="AA151" i="5"/>
  <c r="AA161" i="5"/>
  <c r="AA165" i="5"/>
  <c r="AA174" i="5"/>
  <c r="AA180" i="5"/>
  <c r="AA183" i="5"/>
  <c r="AA18" i="5"/>
  <c r="AA21" i="5"/>
  <c r="AA24" i="5"/>
  <c r="AA40" i="5"/>
  <c r="AA43" i="5"/>
  <c r="AA46" i="5"/>
  <c r="AA52" i="5"/>
  <c r="AA56" i="5"/>
  <c r="AA64" i="5"/>
  <c r="AA67" i="5"/>
  <c r="AA70" i="5"/>
  <c r="AA75" i="5"/>
  <c r="AA105" i="5"/>
  <c r="AA124" i="5"/>
  <c r="AA154" i="5"/>
  <c r="AA168" i="5"/>
  <c r="AA193" i="5"/>
  <c r="AA172" i="5"/>
  <c r="AA14" i="5"/>
  <c r="AA135" i="5"/>
  <c r="AA122" i="5"/>
  <c r="AA97" i="5"/>
  <c r="AA26" i="5"/>
  <c r="AA131" i="5"/>
  <c r="AA12" i="5"/>
  <c r="AA76" i="5"/>
  <c r="AA79" i="5"/>
  <c r="AA91" i="5"/>
  <c r="AA166" i="5"/>
  <c r="AA175" i="5"/>
  <c r="AA85" i="5"/>
  <c r="AA62" i="5"/>
  <c r="Y194" i="5"/>
  <c r="AA19" i="5"/>
  <c r="AA22" i="5"/>
  <c r="AA44" i="5"/>
  <c r="AA57" i="5"/>
  <c r="AA68" i="5"/>
  <c r="AA82" i="5"/>
  <c r="AA94" i="5"/>
  <c r="AA103" i="5"/>
  <c r="AA160" i="5"/>
  <c r="AA179" i="5"/>
  <c r="AA50" i="5"/>
  <c r="AA128" i="5"/>
  <c r="AA134" i="5"/>
  <c r="AA159" i="5"/>
  <c r="AA25" i="5"/>
  <c r="AA47" i="5"/>
  <c r="AA59" i="5"/>
  <c r="AA71" i="5"/>
  <c r="AA106" i="5"/>
  <c r="AA130" i="5"/>
  <c r="AA133" i="5"/>
  <c r="AA38" i="5"/>
  <c r="AA35" i="5"/>
  <c r="AA125" i="5"/>
  <c r="AA136" i="5"/>
  <c r="AA155" i="5"/>
  <c r="AA169" i="5"/>
  <c r="O194" i="5"/>
  <c r="AA77" i="5"/>
  <c r="AA80" i="5"/>
  <c r="AA89" i="5"/>
  <c r="AA92" i="5"/>
  <c r="AA101" i="5"/>
  <c r="AA123" i="5"/>
  <c r="AA153" i="5"/>
  <c r="AA167" i="5"/>
  <c r="AA185" i="5"/>
  <c r="S194" i="5"/>
  <c r="AA33" i="5"/>
  <c r="AA99" i="5"/>
  <c r="AA115" i="5"/>
  <c r="AA118" i="5"/>
  <c r="AA121" i="5"/>
  <c r="Z194" i="5"/>
  <c r="AA31" i="5"/>
  <c r="AA34" i="5"/>
  <c r="AA116" i="5"/>
  <c r="AA119" i="5"/>
  <c r="AA16" i="5"/>
  <c r="AA152" i="5"/>
  <c r="AA10" i="5"/>
  <c r="AA32" i="5"/>
  <c r="AA117" i="5"/>
  <c r="AA120" i="5"/>
  <c r="AA138" i="5"/>
  <c r="AA157" i="5"/>
  <c r="AA171" i="5"/>
  <c r="AA177" i="5"/>
  <c r="AA147" i="5"/>
  <c r="AA150" i="5"/>
  <c r="AA164" i="5"/>
  <c r="AA182" i="5"/>
  <c r="AA13" i="5"/>
  <c r="P57" i="25" l="1"/>
  <c r="AB57" i="25" s="1"/>
  <c r="L57" i="25"/>
  <c r="AB10" i="25"/>
  <c r="AC58" i="8"/>
  <c r="AA194" i="5"/>
  <c r="AB58" i="2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T8" authorId="0" shapeId="0" xr:uid="{9B016890-8C32-4EC5-8112-12364040FCFB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U8" authorId="0" shapeId="0" xr:uid="{F27F142C-9EC6-4402-9327-F5D06D128214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V8" authorId="0" shapeId="0" xr:uid="{D2DD2B2B-68C0-4CB9-B150-B5B291DA84DD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W8" authorId="0" shapeId="0" xr:uid="{EE61A195-60A2-42E5-8FB1-5D07EBFC10A4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X8" authorId="0" shapeId="0" xr:uid="{68F911A0-3D75-4FE5-BA29-565C38B33D3C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R8" authorId="0" shapeId="0" xr:uid="{E6F4D353-6976-4FF8-8884-A4BF046EF278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S8" authorId="0" shapeId="0" xr:uid="{CA636A30-2299-4DE6-A30C-8DCE161DC535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T8" authorId="0" shapeId="0" xr:uid="{5BE9FBD6-ABB2-494E-AF28-DF4AA16AEB80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U8" authorId="0" shapeId="0" xr:uid="{09723D4A-B61F-4A8F-8E38-EC1D8081A02A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V8" authorId="0" shapeId="0" xr:uid="{9BC3E54F-5E8C-427E-B218-962C72978383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F00C34E9-4B68-4C25-869D-EB6AEF78377C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9A24870F-5DF5-4FC6-AE83-11354CC50A4C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9913C361-1133-4048-B2D7-F2A699035840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7030DE7A-1479-4E9C-9248-3505D07024B4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D3D306E7-A472-40E2-A07D-13C265B829AA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545B5C82-F6C5-4A46-83D1-703F0647B69B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1B1F4154-5B9D-47C9-9D06-EC30D04929B0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550FFCF1-6839-4C12-B03A-22F0E7946B7E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A12C04EF-21E3-42DB-B078-42A990E5ADFD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ABCB7AF7-D33E-4835-BF03-AB2268479954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CF6B63C5-06A7-47E5-9CA6-5DB88608CEC1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91BC800D-1BF1-4C91-A473-DA25FEC8B9A7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80FE3DCF-277F-4E47-B838-BD0369609DA4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72554824-3F04-4FF0-A85C-919A0C92138A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A9F7B39E-5867-4D67-8DB0-6A3EBC68A767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BB261A82-A7AC-4F0D-B43F-484180D1F690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DF54D887-F9C9-4BB8-9D73-04E6A870DB57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1A82BB72-3245-482C-AC57-BD9A4070F976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E7A351CC-F7FB-4AFF-AC30-35C906534E23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7656312B-9498-4933-94F2-481EAFD5E95E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28C88D36-9792-4445-9BD2-C5B8E3F4080B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43F0C1F9-86E5-4121-BDE1-5D9398A4EF2F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3970148B-4F6C-4CC3-A565-71B0E9AD51E0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3DD807D6-CE03-4D0C-AF7C-3016CE0BBB02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DD768EF5-0B12-4FEB-8BB8-C937B340ED87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37CCE8BC-0218-4A0C-AC27-D9A29190D790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AEF7F8BD-7D3E-4531-A9ED-8CD397719F33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AF346DD6-78E2-4785-A2E8-5D68D11B45F0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D4B405BE-18BF-4C76-8FEA-FA544C69060D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4A6ACDD9-6D62-48C9-8391-64B5768772B9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2251EB00-F1D7-4AAF-8CC2-547163C88215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6F0DE362-A4EB-45D2-834F-4FFC5E937431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1F51695E-C95E-4848-A951-65DC16FAAF97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5E13844B-AAAE-4859-A971-12B2BC79ECBD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52F5F024-37CE-4A75-ADFC-B1FC3ABF4C56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D0E16110-CA9A-4F8C-81B3-2D5CBEA929F5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88858B03-6CE9-444E-B3D2-B5F0B588AEAA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2C71AC9A-8839-4F17-83BD-B596BF5300BE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636A9E12-4EF5-4BD7-A933-2DDC8B1A9EAD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975D849A-89CE-46A3-A95B-3D7491C9EC30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A42EF5EA-7D5C-420E-868B-5B7E03EF0D08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B6000FD8-0638-4D19-9275-A3CFEB44CC73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9542D25A-5CC5-4598-B56A-21E29BB5E4B5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A99F25B5-99F1-4CE5-A12A-BC2CA6B71178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C93C03A5-C1B8-46B7-ADB0-BBBA4032AE41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E2" authorId="0" shapeId="0" xr:uid="{5AB513B3-EA2A-46AE-A4E4-6E3721A2986E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Dotación y envío a grupos de atención de: lineamientos, recursos digitales y físicos</t>
        </r>
      </text>
    </comment>
    <comment ref="F2" authorId="0" shapeId="0" xr:uid="{BBF0BBC6-3492-4CB4-AD3F-D52E6BC18E33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Asegurar que los grupos de atención reciban lineamientos, recursos digitales y físicos.</t>
        </r>
      </text>
    </comment>
    <comment ref="G2" authorId="0" shapeId="0" xr:uid="{C27B47AE-D036-4E3E-A547-339498378B5D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Implementación de calidad y cumplimiento de objetivos. </t>
        </r>
      </text>
    </comment>
    <comment ref="H2" authorId="0" shapeId="0" xr:uid="{B64CEAB8-050D-4C6D-810B-956BEED297C6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Logística:Listado de participantes, alimentación, etc.</t>
        </r>
      </text>
    </comment>
    <comment ref="I2" authorId="0" shapeId="0" xr:uid="{9F9A28BD-3195-4946-AD4D-29B432C5FBD8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Reporte con base a criterios de calidad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3A6E4C6E-CD7C-4BBD-BF36-E4693262FDA3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E73CB16C-4A6B-47A0-9383-A1B942D84746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1F3DDA48-B65C-495F-9FE2-A94CE33E3714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EB246BB7-342D-4DD7-AA1C-932673217A2D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222954A0-8785-4147-8E8E-B9B148AE8D90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EE9F0511-66B0-4C3B-98B1-0B3EC65F1D7E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36ECA983-1566-4680-A774-008ABB2778E7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0BE0F74E-1777-48C7-B734-ADC5A4C4B8A4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7E58604B-DB92-4C41-96B5-2381D5A7CFD2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D5E53DA5-5E47-4F18-8916-90D29F498F69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9755D128-7627-4CA0-86A9-B4C0F21C0466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88A0177D-D501-4F05-8B4F-542AB2858082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19BDDCD8-0DFD-462C-860D-6853D4669356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6AD8033A-BE58-4B14-8824-6B91DE3E01B6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3D4FF307-A24D-4843-9224-602F9045842A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97473ADA-8A1A-441C-87A5-64E8C3FC97E6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350E92DB-F51B-465B-97B3-4BFDD0DE4DA0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3F299CC1-9684-4FAB-B914-85216620361D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A02CEDF4-7283-4AFC-BCED-6641725B6A9B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4CE91BB1-28C3-4317-9124-270D4B991328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4B5F88D9-41A4-4431-B293-7374C90D30FF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D97E7B72-9B2C-4898-8C18-112E6E4B7756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65BD060A-FC0B-4AA6-AD18-A1760232CC92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E4195984-F2C5-4EBF-997C-868F5FC3AAE1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564C3117-0DE8-474A-9F91-AB851846BD75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06895833-C5F3-47A5-9AD9-3FCA3C9B085D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EE3B93F0-8C65-42A5-A242-46C169448029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52B248DF-BD57-4238-8D59-F371FD21D77F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5D8A2DBB-7EAB-4849-BCD3-4C8C00530397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9D46DAA8-C86C-4F4D-ACB2-2BC2B6D558AF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9EAEB9D2-C8CC-44DE-AA32-36BB560327A2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818B32C7-6E7E-4CBF-9DDB-260C27CCE95B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404CC7B9-A205-44A0-9D40-F8E421A45CDB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8D22591E-CACB-4566-A975-B9F5B3F6E21C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C4DC0A2A-C609-4102-9AC4-C4482B5F502F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029B49F7-FC5B-462E-8683-508C59B30895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68FB14C5-2C10-4C23-8DA1-136856D7389B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DD0133D0-D941-44E2-A813-D8C287C45E51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C4C5D50C-6109-472A-A5E3-C9FD2F79058D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2D82D845-298B-458F-8337-CC2FB67FF8FC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2BBAE090-53CA-4C83-8B00-31A60DED0B52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46560985-3C65-4084-A0FB-C57142C4A9A5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810EECE1-DE27-4B46-9D98-A606C3AA3B43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ECB1AE63-0DAA-48F8-A2FA-7EF7D5026FDD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23391F37-4103-47FC-B388-CF0FEE0029E0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sharedStrings.xml><?xml version="1.0" encoding="utf-8"?>
<sst xmlns="http://schemas.openxmlformats.org/spreadsheetml/2006/main" count="10864" uniqueCount="1103">
  <si>
    <t>ACCION HONDURAS</t>
  </si>
  <si>
    <t>MATRIZ DE EVALUACION DE DESEMPEÑO DEL COLABORADOR</t>
  </si>
  <si>
    <t>Nombre y cargo del Colaborador:</t>
  </si>
  <si>
    <t>Jose Adalid Funes - Técnico de Desarrollo Comunitario</t>
  </si>
  <si>
    <t>Beyquer Odan Maldonado - Coordinador de Área</t>
  </si>
  <si>
    <t>Evaluador:</t>
  </si>
  <si>
    <t>José Orlando Osorto Pérez - Director General</t>
  </si>
  <si>
    <t>VoBo RRHH</t>
  </si>
  <si>
    <t>Jennifer Sabrina Romero Martínez - Especialista en RRHH</t>
  </si>
  <si>
    <t>Area</t>
  </si>
  <si>
    <t>Periodo evaluado</t>
  </si>
  <si>
    <t>Marco de Resultados</t>
  </si>
  <si>
    <t>Responsabilidades del colaborador</t>
  </si>
  <si>
    <t>Cantidad a Lograr</t>
  </si>
  <si>
    <t>Tiempo Definido (dias)</t>
  </si>
  <si>
    <t>Estandares de calidad (Escala de 10)</t>
  </si>
  <si>
    <t>Nota Final</t>
  </si>
  <si>
    <t>Principal</t>
  </si>
  <si>
    <t>Transversal</t>
  </si>
  <si>
    <t>Responsable</t>
  </si>
  <si>
    <t>S</t>
  </si>
  <si>
    <t>SS</t>
  </si>
  <si>
    <t>ML</t>
  </si>
  <si>
    <t>Ext</t>
  </si>
  <si>
    <t>Programada</t>
  </si>
  <si>
    <t>Entregada</t>
  </si>
  <si>
    <t>Diferencia</t>
  </si>
  <si>
    <t>%</t>
  </si>
  <si>
    <t>Programado</t>
  </si>
  <si>
    <t>Puntualidad</t>
  </si>
  <si>
    <t>Resolucion de Problemas</t>
  </si>
  <si>
    <t>Coordinaciión local</t>
  </si>
  <si>
    <t>Nivel de satisfacción de Grupos meta</t>
  </si>
  <si>
    <t>Nivel de preparación</t>
  </si>
  <si>
    <t>Total Estandares (Nota max. 50)</t>
  </si>
  <si>
    <t>PROG</t>
  </si>
  <si>
    <t>MEAL</t>
  </si>
  <si>
    <t>Lider-Prog-EV1</t>
  </si>
  <si>
    <t>H_Salud</t>
  </si>
  <si>
    <t>HB_Nutrición</t>
  </si>
  <si>
    <t>HB041-01_Suplementos_nutricionales_para_niños_con_desnutrición_aguda_grave_o_desnutrición_aguda_moderada</t>
  </si>
  <si>
    <t>Diseñar herramientas y protocolo para Dx.situacional de EV-1</t>
  </si>
  <si>
    <t>Lider-Prog-EV2</t>
  </si>
  <si>
    <t>Diseñar herramientas y protocolo para Dx.situacional de EV-2</t>
  </si>
  <si>
    <t>Lider-Prog-EV3</t>
  </si>
  <si>
    <t>Diseñar herramientas y protocolo para Dx.situacional de EV-3</t>
  </si>
  <si>
    <t>Tecn-Prog-EV-1</t>
  </si>
  <si>
    <t>Levantar Diagnostico situacional de primera infancia</t>
  </si>
  <si>
    <t>Tecn-Prog-EV-2</t>
  </si>
  <si>
    <t>Levantar diagnóstico situacional de NN en el Centro Educativo.</t>
  </si>
  <si>
    <t>Tecn-Prog-EV-3</t>
  </si>
  <si>
    <t>Levantar diagnóstico aptitudinal y de intereses de AJ en las comunidades</t>
  </si>
  <si>
    <t>Procesar y limpiar datos de Dx  para elaborar informe sobre situacion EV-1</t>
  </si>
  <si>
    <t>Procesar y limpiar datos de Dx  para elaborar informe sobre situacion EV-2</t>
  </si>
  <si>
    <t>Procesar y limpiar datos de Dx  para elaborar informe sobre situacion EV-3</t>
  </si>
  <si>
    <t>Organizar evento de socialización de resultados de Dx.situacional EV-1</t>
  </si>
  <si>
    <t>Organizar evento de socialización de resultados de Dx.situacional EV-2</t>
  </si>
  <si>
    <t>Organizar evento de socialización de resultados de Dx.situacional EV-3</t>
  </si>
  <si>
    <t>Desarrollar evento de socialización de resultados de Dx.situacional EV-1</t>
  </si>
  <si>
    <t>Desarrollar evento de socialización de resultados de Dx.situacional EV-2</t>
  </si>
  <si>
    <t>Desarrollar evento de socialización de resultados de Dx.situacional EV-3</t>
  </si>
  <si>
    <t>Buscar y representar a AH en alianzas de coordinacion con socios Proy-EV-1</t>
  </si>
  <si>
    <t>Buscar y representar a AH en alianzas de coordinacion con socios Proy-EV-2</t>
  </si>
  <si>
    <t>Buscar y representar a AH en alianzas de coordinacion con socios Proy-EV-3</t>
  </si>
  <si>
    <t>PROT</t>
  </si>
  <si>
    <t>Lider-Prot-Incid</t>
  </si>
  <si>
    <t>Buscar y representar a AH en alianzas de coordinacion con socios Proteccion e Inc</t>
  </si>
  <si>
    <t>Definir contenidos y lineamientos para organizar y coordinar red de madres guia</t>
  </si>
  <si>
    <t>Definir contenidos y lineamientos para organizar y coordinar MPBC</t>
  </si>
  <si>
    <t>Definir contenidos y lineamientos para organizar y coordinar red Educativa</t>
  </si>
  <si>
    <t>Definir contenidos y lineamientos para organizar y coordinar red de apoyo juvenil</t>
  </si>
  <si>
    <t>Elaboracion de material didactico para Proy- EV-1, según Branding</t>
  </si>
  <si>
    <t>Elaboracion de material didactico para Proy- EV-2, según Branding</t>
  </si>
  <si>
    <t>Elaboracion de material didactico para Proy- EV-3, según Branding</t>
  </si>
  <si>
    <t>Elaboracion de material didactico para Proteccion e Incidencia según Branding</t>
  </si>
  <si>
    <t>Organizar, coordinar y dar asistencia tecnica a Red de madres guía.</t>
  </si>
  <si>
    <t>Organizar, capacitar y monitorear plan de acción de  los MPBC</t>
  </si>
  <si>
    <t>Organizar, coordinar y dar asistencia tecnica a Red Educativa-APF y docente.</t>
  </si>
  <si>
    <t>Organizar, coordinar y dar asistencia tecnica a Red de Apoyo Juvenil</t>
  </si>
  <si>
    <t>RRHH</t>
  </si>
  <si>
    <t>Diseñar e implementar plan de formacion virtual-presencial para ET y red en EV-1</t>
  </si>
  <si>
    <t>Diseñar e implementar plan de formacion virtual-presencial para ET y MPBC</t>
  </si>
  <si>
    <t>Diseñar e implementar plan de formacion virtual-presencial para ET y Red en EV-2</t>
  </si>
  <si>
    <t>Diseñar e implementar plan de formacion virtual-presencial para ET y Red en EV-3</t>
  </si>
  <si>
    <t>COMU</t>
  </si>
  <si>
    <t>PF-Comunicac</t>
  </si>
  <si>
    <t>Diseñar e implementar plan de formacion virtual-presencial en Comunicaciones</t>
  </si>
  <si>
    <t>Completar proceso de capacitación EV-1  virtual-presencial</t>
  </si>
  <si>
    <t>Completar proceso de capacitación EV-2 institucional  virtual-presencial</t>
  </si>
  <si>
    <t>Completar proceso de capacitación EV-3 institucional  virtual-presencial</t>
  </si>
  <si>
    <t>Desarrollar y promover CAP en Red de madres guía</t>
  </si>
  <si>
    <t>Desarrollar y promover CAP en lideres de MPBC</t>
  </si>
  <si>
    <t>Desarrollar y promover CAP en Red Educativa-APF y  docentes</t>
  </si>
  <si>
    <t>Desarrollar y promover CAP en Red de apoyo juvenil</t>
  </si>
  <si>
    <t>Facilitar proceso de formacion sobre politicas de proteccion y salvaguarda</t>
  </si>
  <si>
    <t>Equipo Tecnico</t>
  </si>
  <si>
    <t>Completar capacitacion y firma de politica de proteccion y salvaguarda de NNAJ</t>
  </si>
  <si>
    <t>Actualizar y firmar acuerdos y politicas de proteccion y salvaguarda con lideres EV-1</t>
  </si>
  <si>
    <t>Actualizar y firmar acuerdos y politicas de proteccion y salvaguarda a docentes EV-2</t>
  </si>
  <si>
    <t>Actualizar y firmar acuerdos y politicas de proteccion y salvaguarda con lideres EV-3</t>
  </si>
  <si>
    <t>Actualizar y firmar acuerdos y politicas de proteccion y salvaguarda con MPBC</t>
  </si>
  <si>
    <t>Lider MEAL</t>
  </si>
  <si>
    <t>Actualizar y firmar acuerdos y politicas de proteccion y salvaguarda con apoyos</t>
  </si>
  <si>
    <t>PATR</t>
  </si>
  <si>
    <t>Lider-Patrocinio</t>
  </si>
  <si>
    <t>ADM</t>
  </si>
  <si>
    <t>Lider Adm-RRHH</t>
  </si>
  <si>
    <t>Implementar  metodologías y acciones con grupos meta en Centros ADN</t>
  </si>
  <si>
    <t>Implementar  metodologías y acciones con grupos meta en Centros Educativos</t>
  </si>
  <si>
    <t>Acompañar el desarrollo de plan de vida y formación en liderazgo a AJ</t>
  </si>
  <si>
    <t>Diseñar Guion Metodologico y protocolo para desarrollo de Feria EV-1 y Proteccion</t>
  </si>
  <si>
    <t>Diseñar Guion Metodologico y protocolo para desarrollo de Feria EV-2 y Proteccion</t>
  </si>
  <si>
    <t>Diseñar Guion Metodologico y protocolo para Encuentros Juveniles y Proteccion</t>
  </si>
  <si>
    <t>Organizar e implementar en centros ADN, feria promocional de DDNN en EV-1</t>
  </si>
  <si>
    <t>Organizar e implementar en Escuelas, feria promocional de DDNN en EV-2</t>
  </si>
  <si>
    <t>Organizar e implementar encuentros juveniles EV-3 en la comunidad</t>
  </si>
  <si>
    <t>Realizar visitas de monitoreo y asistencia tecnica a lideres en Proy- EV-1</t>
  </si>
  <si>
    <t>Realizar visitas de monitoreo y asistencia tecnica a lideres en Proy- EV-2</t>
  </si>
  <si>
    <t>Realizar visitas de monitoreo y asistencia tecnica a lideres en Proy- EV-3</t>
  </si>
  <si>
    <t>Realizar visitas de monitoreo y asistencia tecnica a lideres en Proteccion</t>
  </si>
  <si>
    <t>Convocar jardineras de Centros Pre-escolares para socializar acuerdos</t>
  </si>
  <si>
    <t>Diseñar y establecer lineamientos y herramientas para el MEAL</t>
  </si>
  <si>
    <t>Socializar y capacitar a ET sobre uso y aplicación de herramientas de MEAL</t>
  </si>
  <si>
    <t>Socializar y capacitar a Red de Madres guia sobre herramientas de MEAL</t>
  </si>
  <si>
    <t>Socializar y capacitar a Docentes sobre herramientas de MEAL</t>
  </si>
  <si>
    <t>Socializar y capacitar a Red de Apoyo Juvenil sobre herramientas de MEAL</t>
  </si>
  <si>
    <t>Entregar herramientas de MEAL digitales y fisicas a Red de madres guia</t>
  </si>
  <si>
    <t>Entregar herramientas de MEAL digitales y fisicas a Docentes</t>
  </si>
  <si>
    <t>Entregar herramientas de MEAL digitales y fisicas a Red de Apoyo Juvenil</t>
  </si>
  <si>
    <t>Recolectar, revisar y subir en linea los medios de verificacion de EV-1 completos</t>
  </si>
  <si>
    <t>Recolectar, revisar y subir en linea los medios de verificacion de EV-2 completos</t>
  </si>
  <si>
    <t>Recolectar, revisar y subir en linea los medios de verificacion de EV-3 completos</t>
  </si>
  <si>
    <t>Revisar y digitalizar en CAMEL los medios de verificacion en linea</t>
  </si>
  <si>
    <t>Socializar y facilitar a ET lider, herramientas para la elaboracion de informe mensual</t>
  </si>
  <si>
    <t>Elaborar informe mensual y analisis de resultados en Proy-EV-1</t>
  </si>
  <si>
    <t>Elaborar informe mensual y analisis de resultados en Proy-EV-2</t>
  </si>
  <si>
    <t>Elaborar informe mensual y analisis de resultados en Proy-EV-3</t>
  </si>
  <si>
    <t>Elaborar informe mensual y analisis de resultados en Proteccion e incidencia</t>
  </si>
  <si>
    <t>Elaborar informe mensual y analisis de resultados en Patrocinio</t>
  </si>
  <si>
    <t>Revisar, consolidar y enviar a OC en tiempo y forma el informe mensual</t>
  </si>
  <si>
    <t>Liderar la capacitacion y organización para levantamiento de Encuesta Global</t>
  </si>
  <si>
    <t>Completar capacitacion y levantamiento de encuesta global según plan de MEAL</t>
  </si>
  <si>
    <t>Asegurar el cumplimiento y envio de encuesta global según lineamientos</t>
  </si>
  <si>
    <t>Elaborar Reporte de alcance anual o conteo de participantes</t>
  </si>
  <si>
    <t>Socializar y facilitar a ET lider, herramientas para la elaboracion de informe anual</t>
  </si>
  <si>
    <t>Elaborar informe anual y analisis de resultados en Proy-EV-1</t>
  </si>
  <si>
    <t>Elaborar informe anual y analisis de resultados en Proy-EV-2</t>
  </si>
  <si>
    <t>Elaborar informe anual y analisis de resultados en Proy-EV-3</t>
  </si>
  <si>
    <t>Elaborar informe anual y analisis de resultados en Proteccion e incidencia</t>
  </si>
  <si>
    <t>Elaborar informe anual y analisis de resultados en Patrocinio</t>
  </si>
  <si>
    <t>Revisar, consolidar y enviar a OC en tiempo y forma el informe anual</t>
  </si>
  <si>
    <t>Realizar verificacion de campo a las actividades según estandares</t>
  </si>
  <si>
    <t>Realizar diagnostico de satisfaccion a grupos meta</t>
  </si>
  <si>
    <t>Socializar y establecer acuerdos con Jardineras de prebasica</t>
  </si>
  <si>
    <t>Definir y socializar lineamientos para la visibilidad y promocion institucional</t>
  </si>
  <si>
    <t>Recopilar datos promocionales (historias, videos) de actividades EV-1</t>
  </si>
  <si>
    <t>Recopilar y entregar promocionales (historias, videos) de actividades EV-2</t>
  </si>
  <si>
    <t>Recopilar y entregar promocionales (historias, videos) de actividades EV-3</t>
  </si>
  <si>
    <t>Subir recursos promocionales a RRSS y pagina institucional</t>
  </si>
  <si>
    <t xml:space="preserve">Garantizar visibilidad de CF y AH en areas clave y de implementacion EV-1 </t>
  </si>
  <si>
    <t>Garantizar visibilidad de CF y AH en areas clave y de implementacion EV-2</t>
  </si>
  <si>
    <t>Garantizar visibilidad de CF y AH en areas clave y de implementacion EV-3</t>
  </si>
  <si>
    <t>Diseñar e implementar plan de formacion en gestion del patrocinio a ET y liderazgo</t>
  </si>
  <si>
    <t>Tecn-Integral</t>
  </si>
  <si>
    <t>Completar formación personal para la gestion del Patrocinio:</t>
  </si>
  <si>
    <t>Recibir, revisar y procesar correspondencia recibida de OC para las comunidades</t>
  </si>
  <si>
    <t>Liderar la digitalizacion de expedientes</t>
  </si>
  <si>
    <t>Digitalizar expedientes de NNAJ inscritos</t>
  </si>
  <si>
    <t>Facilitar a ET documentos de soporte y recursos para actualizacion de expedientes</t>
  </si>
  <si>
    <t>Actualizar y completar expedientes de NNAJ, mantener actualizado el archivo</t>
  </si>
  <si>
    <t>Facilitar a ET documentos y recursos, para el levantamiento de Correspondencia</t>
  </si>
  <si>
    <t>Completar proceso de entrega de DFCs y carta de agradecimiento según estandares</t>
  </si>
  <si>
    <t>Completar proceso de entrega de correspondencia según Estándares</t>
  </si>
  <si>
    <t>Recibir, revisar y procesar correspondencia proveniente de las comunidades para OC</t>
  </si>
  <si>
    <t>Recopilar y entregar Momentos Mágicos según asignacion</t>
  </si>
  <si>
    <t>Mantener actualizada la Base de datos de la niñez inscrita</t>
  </si>
  <si>
    <t>Propiciar espacios de analisis y toma de decisiones según el estatus de NNA en LM</t>
  </si>
  <si>
    <t>Gestionar nuevas inscripciones, salidas y actualizaciones según analisis de LM</t>
  </si>
  <si>
    <t>Socializar lineamientos y herramientas para el levantamiento de CPR</t>
  </si>
  <si>
    <t>Levantar CPR según lineamientos de calidad, tiempo y forma</t>
  </si>
  <si>
    <t>Establecer lineamientos y protocolo para desarrollar las graduaciones de AJ</t>
  </si>
  <si>
    <t>Organizar eventos de graduacion para AJ que salen del sistema</t>
  </si>
  <si>
    <t>DIR</t>
  </si>
  <si>
    <t>Director Ejecutivo</t>
  </si>
  <si>
    <t>Organizar y atender visitas de CF para conocer avances del socio.</t>
  </si>
  <si>
    <t>Gestionar compras relacionadas con la ejecucion programatica en EV-1</t>
  </si>
  <si>
    <t>Gestionar compras relacionadas con la ejecucion programatica en Proteccion</t>
  </si>
  <si>
    <t>Gestionar compras relacionadas con la ejecucion programatica en EV-2</t>
  </si>
  <si>
    <t>Gestionar compras relacionadas con la ejecucion programatica en EV-3</t>
  </si>
  <si>
    <t>Gestionar entregas a lideres y participantes en EV-1 según estandares administrativos.</t>
  </si>
  <si>
    <t>Gestionar entregas a lideres y participantes en EV-2 según estandares administrativos.</t>
  </si>
  <si>
    <t>Gestionar entregas a lideres y participantes en EV-3 según estandares administrativos.</t>
  </si>
  <si>
    <t>Convocar y liderar Revision periodica de equipo asignado a equipo Tecnico</t>
  </si>
  <si>
    <t>Completar proceso de Revision periodica de equipo asignado</t>
  </si>
  <si>
    <t>Organizar y liderar espacios y metodologia para la planificacion estrategica</t>
  </si>
  <si>
    <t>CEO</t>
  </si>
  <si>
    <t>Participar y apoyar el desarrollo de espacios de planificacion estrategica</t>
  </si>
  <si>
    <t>Organizar y liderar espacios y metodologia para la Planificacion Operativa</t>
  </si>
  <si>
    <t>Participar, apoyar el desarrollo de espacios de Planificacion Operativa para EV-1</t>
  </si>
  <si>
    <t>Participar, apoyar el desarrollo de espacios de Planificacion Operativa para EV-2</t>
  </si>
  <si>
    <t>Participar, apoyar el desarrollo de espacios de Planificacion Operativa para EV-3</t>
  </si>
  <si>
    <t>Participar, apoyar el desarrollo de espacios de Planificacion Operativa en Proteccion</t>
  </si>
  <si>
    <t>Convocar y organizar reuniones de evaluacion con el equipo tecnico</t>
  </si>
  <si>
    <t>Participar en reuniones de evaluacion y analisis del desempeño mensual</t>
  </si>
  <si>
    <t>MMRR</t>
  </si>
  <si>
    <t>Participar en reuniones con donantes y organismos financieros para la MMRR</t>
  </si>
  <si>
    <t>Diseñar y gestionar propuestas y proyectos  para la Movilizacion de Recursos de AH</t>
  </si>
  <si>
    <t>Convocar y liderar jornadas con lideres de areas para coordinar, analizar o evaluar</t>
  </si>
  <si>
    <t>Participar y apoyar desarrollo de jornadas de coordinacion, analisis y evaluacion.</t>
  </si>
  <si>
    <t>Integrar y representar a AH en CdA en Programa EV-1</t>
  </si>
  <si>
    <t>Integrar y representar a AH en CdA en Programa EV-2</t>
  </si>
  <si>
    <t>Integrar y representar a AH en CdA en Programa EV-3</t>
  </si>
  <si>
    <t>Integrar y representar a AH en CdA en Proteccion e Incidencia</t>
  </si>
  <si>
    <t>Integrar y representar a AH en CdA de MEAL</t>
  </si>
  <si>
    <t>Gestionar  la informacion, bases de datos y registros de AH en plataforma digital</t>
  </si>
  <si>
    <t>Apoyar la gestion de informacion, bases de datos y registros de AH en plataforma</t>
  </si>
  <si>
    <t>Conformar comisiones para Jornadas de revision de manuales de procedimientos</t>
  </si>
  <si>
    <t>Participar y apoyar Jornadas de revision de manuales de procedimientos</t>
  </si>
  <si>
    <t>Elaborar boletin institucional</t>
  </si>
  <si>
    <t>Desarrollo de campañas digitales</t>
  </si>
  <si>
    <t>Forma de Ejecucion</t>
  </si>
  <si>
    <t>Personal</t>
  </si>
  <si>
    <t>DX</t>
  </si>
  <si>
    <t>Red de Madres guia</t>
  </si>
  <si>
    <t>Apoyo voluntario</t>
  </si>
  <si>
    <t>Red de Docentes</t>
  </si>
  <si>
    <t>Red de Apoyo Juvenil</t>
  </si>
  <si>
    <t>Sinergia Equipo</t>
  </si>
  <si>
    <t>Organizar evento de socialización de resultados de Dx.situacional EV-1 (apoyos)</t>
  </si>
  <si>
    <t>Organizar evento de socialización de resultados de Dx.situacional EV-2 (apoyos)</t>
  </si>
  <si>
    <t>Organizar evento de socialización de resultados de Dx.situacional EV-3 (apoyos)</t>
  </si>
  <si>
    <t>CI</t>
  </si>
  <si>
    <t>Por Producto</t>
  </si>
  <si>
    <t xml:space="preserve">Elaboracion de material didactico para Proy- EV-1, según Branding (contrato) </t>
  </si>
  <si>
    <t>Elaboracion de material didactico para Proy- EV-2, según Branding (contrato)</t>
  </si>
  <si>
    <t>Elaboracion de material didactico para Proy- EV-3, según Branding (contrato)</t>
  </si>
  <si>
    <t>Elaboracion de material didactico para Proteccion e Incidencia (contrato)</t>
  </si>
  <si>
    <t>Diseñar plan de formacion virtual-presencial para ET y red en EV-1</t>
  </si>
  <si>
    <t>Diseñar plan de formacion virtual-presencial para ET y Red en EV-2</t>
  </si>
  <si>
    <t>Completar proceso de capacitación EV-1 institucional  virtual-presencial</t>
  </si>
  <si>
    <t>Actualizar y firmar acuerdos y politicas de proteccion y salvaguarda con lideres EV-1 (apoyos)</t>
  </si>
  <si>
    <t>Actualizar y firmar acuerdos y politicas de proteccion y salvaguarda a docentes EV-2 (apoyos)</t>
  </si>
  <si>
    <t>Actualizar y firmar acuerdos y politicas de proteccion y salvaguarda con lideres EV-3 (apoyos)</t>
  </si>
  <si>
    <t xml:space="preserve">Actualizar y firmar acuerdos y politicas de proteccion y salvaguarda </t>
  </si>
  <si>
    <t>Realizar visitas de monitoreo y asistencia tecnica a lideres en Proy- EV-1 (CCIT)</t>
  </si>
  <si>
    <t>Realizar visitas de monitoreo y asistencia tecnica a lideres en Proy- EV-2 (CCIT)</t>
  </si>
  <si>
    <t>Realizar visitas de monitoreo y asistencia tecnica a lideres en Proy- EV-3 (CCIT)</t>
  </si>
  <si>
    <t>Realizar visitas de monitoreo y asistencia tecnica a lideres en Proteccion (CCIT)</t>
  </si>
  <si>
    <t>Entregar herramientas de MEAL digitales y fisicas a Red de madres guia (Reunion Mes)</t>
  </si>
  <si>
    <t>Entregar herramientas de MEAL digitales y fisicas a Docentes (Reunion Mes)</t>
  </si>
  <si>
    <t>Entregar herramientas de MEAL digitales y fisicas a Red de Apoyo Juvenil (Reunion)</t>
  </si>
  <si>
    <t>Recolectar, revisar y subir en linea los medios de verificacion de EV-2</t>
  </si>
  <si>
    <t>Revisar y digitalizar en CAMEL los medios de verificacion en linea (Contrato)</t>
  </si>
  <si>
    <t>Completar capacitacion y levantamiento de encuesta global según MEAL (Contrato)</t>
  </si>
  <si>
    <t>Realizar verificacion de campo a las actividades según estandares (contrato)</t>
  </si>
  <si>
    <t>Realizar diagnostico de satisfaccion a grupos meta (contrato)</t>
  </si>
  <si>
    <t>Establecer lineamientos y convocatoria a ET para jornadas de rendicion de cuentas</t>
  </si>
  <si>
    <t>Organizar jornadas de rendicion de cuentas con lideres de EV-1</t>
  </si>
  <si>
    <t>Organizar jornadas de rendicion de cuentas con lideres de EV-2</t>
  </si>
  <si>
    <t>Organizar jornadas de rendicion de cuentas con lideres de EV-3</t>
  </si>
  <si>
    <t>Organizar jornadas de rendicion de cuentas con lideres de MPBC</t>
  </si>
  <si>
    <t>Tecnico Vol. Patrocinio</t>
  </si>
  <si>
    <t>Facilitar a ET documentos de soporte y recursos para actualizar expedientes</t>
  </si>
  <si>
    <t>Organizar y atender visitas de CF para conocer avances en EV-1</t>
  </si>
  <si>
    <t>Organizar y atender visitas de CF para conocer avances en EV-2</t>
  </si>
  <si>
    <t>Organizar y atender visitas de CF para conocer avances en EV-3</t>
  </si>
  <si>
    <t>Organizar y atender visitas de CF para conocer avances en Proteccion</t>
  </si>
  <si>
    <t>Organizar y atender visitas de CF para conocer avances en Patrocinio</t>
  </si>
  <si>
    <t>Organizar y atender visitas de CF para conocer avances en MEAL</t>
  </si>
  <si>
    <t>Gestionar entregas a lideres y participantes EV-1 según estandares admin. (Contrato)</t>
  </si>
  <si>
    <t>Gestionar entregas a lideres y participantes EV-2 según estandares admin. (Contrato)</t>
  </si>
  <si>
    <t>Gestionar entregas a lideres y participantes EV-3 según estandares admin. (Contrato)</t>
  </si>
  <si>
    <t>Participar, apoyar el desarrollo de espacios de Planificacion Operativa en Patrocinio</t>
  </si>
  <si>
    <t>Convocar y dirigir jornadas con lideres de areas para coordinar, analizar o evaluar</t>
  </si>
  <si>
    <t>EMER</t>
  </si>
  <si>
    <t>Representar y activar Plan de atencion y respuesta ante emergencias a EV-1</t>
  </si>
  <si>
    <t>Representar y activar Plan de atencion y respuesta ante emergencias a EV-2</t>
  </si>
  <si>
    <t>Representar y activar Plan de atencion y respuesta ante emergencias a EV-3</t>
  </si>
  <si>
    <t>Representar y activar Plan de atencion y respuesta ante emergencias en Proteccion</t>
  </si>
  <si>
    <t>Desarrollo de campañas digitales EV-1</t>
  </si>
  <si>
    <t>Desarrollo de campañas digitales EV-2</t>
  </si>
  <si>
    <t>Desarrollo de campañas digitales EV-3</t>
  </si>
  <si>
    <t>Desarrollo de campañas digitales Protecc</t>
  </si>
  <si>
    <t>David Alonzo Ramos - Técnico de Desarrollo Comunitario</t>
  </si>
  <si>
    <t>Edwing Armando Lopez Esteves - Lider de Programa EV-3</t>
  </si>
  <si>
    <t>Sector</t>
  </si>
  <si>
    <t>D_Desarrollo_de_la_primera_infancia</t>
  </si>
  <si>
    <t>U_Educación</t>
  </si>
  <si>
    <t>R_Protección</t>
  </si>
  <si>
    <t>L_Medios_de_vida</t>
  </si>
  <si>
    <t>B_Construyendo_Sostenibilidad</t>
  </si>
  <si>
    <t>C_Niños_en_crisis</t>
  </si>
  <si>
    <t>A_Transversal_Incidencia</t>
  </si>
  <si>
    <t>M_Transversal_Salud_mental</t>
  </si>
  <si>
    <t>Y_Transversal_Agencia</t>
  </si>
  <si>
    <t>Z_Administración</t>
  </si>
  <si>
    <t>X_Patrocinio</t>
  </si>
  <si>
    <t>ML_Monitoreo</t>
  </si>
  <si>
    <t>HA_WASH</t>
  </si>
  <si>
    <t>HC_Salud_maternoinfantil</t>
  </si>
  <si>
    <t>HD_Salud_reproductiva</t>
  </si>
  <si>
    <t>HE__Enfermedad_infecciosa</t>
  </si>
  <si>
    <t>DA_Cuidado_receptivo</t>
  </si>
  <si>
    <t>DB_Atención_y_educación_de_la_primera_infancia_en_centros__ECCE</t>
  </si>
  <si>
    <t>UA_Educación_Holística</t>
  </si>
  <si>
    <t>UB_Aprendizaje_fundamental</t>
  </si>
  <si>
    <t>UC_Aprendizaje_socioemocional_(SEL)</t>
  </si>
  <si>
    <t>UD_Acceso_y_retención</t>
  </si>
  <si>
    <t>RA_Seguridad_en_línea</t>
  </si>
  <si>
    <t>RB_Trabajo_infantil</t>
  </si>
  <si>
    <t>RC_Prevención_y_respuesta_a_prácticas_nocivas</t>
  </si>
  <si>
    <t>RD_Protección_infantil_basada_en_la_comunidad</t>
  </si>
  <si>
    <t>LA_Empoderamiento_económico_para_las_familias</t>
  </si>
  <si>
    <t>LB_Empoderamiento_económico_para_los_jóvenes</t>
  </si>
  <si>
    <t>LC_Seguridad_alimentaria</t>
  </si>
  <si>
    <t>BA_Adaptación_climática</t>
  </si>
  <si>
    <t>BB_Cuidado_del_medio_ambiente</t>
  </si>
  <si>
    <t>BC_Reducción_del_Riesgo_de_Desastres__RRD</t>
  </si>
  <si>
    <t>CA_Niños_desplazados_en_crisis_protegidas</t>
  </si>
  <si>
    <t>AA_Incidencia</t>
  </si>
  <si>
    <t>MA_Salud_mental_y_apoyo_psicosocial</t>
  </si>
  <si>
    <t>YA_Agencia_Infantil_y_Juvenil</t>
  </si>
  <si>
    <t>ZA_Gestión_Administrativa</t>
  </si>
  <si>
    <t>XA_Gestión_de_Patrocinios</t>
  </si>
  <si>
    <t>ML_Monitoreo_y_soporte_técnico_del_programa</t>
  </si>
  <si>
    <t>subsector_code</t>
  </si>
  <si>
    <t>subsector_name</t>
  </si>
  <si>
    <t>Fuente_de_Financiamiento_</t>
  </si>
  <si>
    <t>Categoría_de_Gastos_</t>
  </si>
  <si>
    <t>type_of_participants</t>
  </si>
  <si>
    <t>type_of_activitites</t>
  </si>
  <si>
    <t>GFC_Fondo_Global_para_la_Niñez</t>
  </si>
  <si>
    <t>GFC</t>
  </si>
  <si>
    <t>PMA_Programa_Mundial_de_Alimentos</t>
  </si>
  <si>
    <t>PMA</t>
  </si>
  <si>
    <t>HA011-01_Acceso_a_fuentes_de_agua_potable_segura</t>
  </si>
  <si>
    <t>HC061-01_Campañas_de_sensibilización_para_promover_la_prestación_de_servicios_de_salud_y_el_uso_de_profesionales_sanitarios_cualificados</t>
  </si>
  <si>
    <t>HD091-01_Campañas_de_sensibilización_sobre_la_salud_y_los_derechos_sexuales_y_reproductivos_de_los_jóvenes.</t>
  </si>
  <si>
    <t>HE121-01_Campañas_de_concienciación_sobre_la_prevención_de_la_malaria_durante_la_temporada_alta</t>
  </si>
  <si>
    <t>DA141-01_Sesiones_de_capacitación_para_cuidadores_sobre_las_necesidades_y_los_hitos_del_desarrollo_de_la_primera_infancia_en_los_dominios_del_aprendizaje,_la_salud_y_el_bienestar_psicosocial_para_niños_de_0_a_5_años.</t>
  </si>
  <si>
    <t>DB141-01_Capacitación_para_facilitadores/maestros_del_Centro_ECCE_sobre_las_necesidades,_hitos_y_evaluación_del_desarrollo_de_la_primera_infancia_en_los_dominios_del_aprendizaje,_la_salud_y_el_bienestar_psicosocial.</t>
  </si>
  <si>
    <t>UA191-01_Maestros_y_facilitadores_capacitados_en_el_currículo_de_Aprendizaje_Socioemocional_(SEL)_y_protección_infantil</t>
  </si>
  <si>
    <t>UB171-01_Currículos_de_alfabetización_y_aritmética_basados_en_evidencia_identificados_y_adaptados_para_su_uso_en_el_desarrollo_de_currículos_y_materiales</t>
  </si>
  <si>
    <t>UC191-01_Identificar_y_adaptar_el_contenido_de_aprendizaje_socioemocional_(SEL)_al_contexto_local_y_a_los_grupos_de_edad.</t>
  </si>
  <si>
    <t>UD171-01_Rehabilitar_la_infraestructura_escolar_sensible_al_género_y_que_incluya_a_las_personas_con_discapacidad</t>
  </si>
  <si>
    <t>RA351-01_Integración_de_actividades_de_aprendizaje_socioemocional_(SEL)_en_entornos_de_aula_relacionados_con_la_promoción_de_la_seguridad_en_línea_para_niños_y_jóvenes</t>
  </si>
  <si>
    <t>RB251-01_Proporcionar_habilidades_para_la_vida_apropiadas_para_cada_edad,_alfabetización_financiera_y_capacitación_en_habilidades_vocacionales_integradas_con_habilidades_blandas_y_alfabetización_digital_para_la_transición_de_los_niños_mayores_y_los_jóvenes_al_trabajo_decente.</t>
  </si>
  <si>
    <t>RC251-01_Diálogos_comunitarios_para_facilitar_debates_abiertos_con_hombres_y_mujeres_adultos,_ancianos,_líderes_religiosos_y_familias_para_abordar_las_causas_fundamentales_de_las_prácticas_nocivas.</t>
  </si>
  <si>
    <t>RD271-01_Sesión_de_concientización_y_taller_de_capacitación_para_niños,_jóvenes,_padres,_líderes_comunitarios_y_voluntarios_sobre_los_derechos_del_niño,_los_principios_de_protección,_la_gestión_de_casos_y_las_vías_de_derivación.</t>
  </si>
  <si>
    <t>LA411-01_Transferencia_de_efectivo_para_apoyar_la_compra_de_alimentos_de_los_hogares_con_inseguridad_alimentaria</t>
  </si>
  <si>
    <t>LB391-01_Capacitación_modular_en_habilidades_vocacionales,_digitales_y_blandas_(por_ejemplo,_comunicación,_liderazgo,_adaptabilidad)</t>
  </si>
  <si>
    <t>LC411-01_Transferencias_de_efectivo_y_vales_para_apoyar_la_compra_de_alimentos_de_hogares_con_inseguridad_alimentaria</t>
  </si>
  <si>
    <t>BA441-01_Talleres,_pasantías_y_tutorías_para_que_niños_y_jóvenes_desarrollen_conocimientos_y_habilidades_circulares_verdes_centrándose_en_la_acción_climática,_la_sostenibilidad_y_la_gestión_ambiental.</t>
  </si>
  <si>
    <t>BB471-01_Capacitación_de_voluntarios_comunitarios_en_tecnologías_de_energía_renovable_y_de_bajo_consumo_energético_(como_cocinas_de_bajo_consumo_de_combustible_y_otras_fuentes_de_energía_renovable_como_lámparas_solares,_bombas_de_agua_solares,_energía_eólica,_biogás,_energía_hidroeléctrica)_para_reducir_las_emisiones_de_gases_de_efecto_invernadero.</t>
  </si>
  <si>
    <t>BC481-01_Talleres_de_evaluación_de_riesgos_y_resiliencia_en_comunidades_objetivo_para_ayudar_en_el_proceso_de_toma_de_decisiones_informadas_sobre_el_riesgo.</t>
  </si>
  <si>
    <t>CA271-01_Planificar_y_mantener_consultas_periódicas_con_las_estructuras_formales_de_protección_infantil_y_migración_(P1.1.1)</t>
  </si>
  <si>
    <t>AA501-01_Cabildeo</t>
  </si>
  <si>
    <t>MA321-01_Rutinas_estructuradas_y_predecibles_que_integran_actividades_lúdicas,_expresivas_y_socioemocionales_para_promover_la_seguridad_emocional,_la_resiliencia_y_el_desarrollo_cognitivo_y_psicosocial_de_los_niños,_diseñadas_e_implementadas.</t>
  </si>
  <si>
    <t>YA231-01_Jóvenes_capacitados_en_liderazgo,_defensa_y_oratoria_para_prepararlos_para_roles_cívicos.</t>
  </si>
  <si>
    <t>ZA101-01_Mantenimiento_de_hardware_y_software</t>
  </si>
  <si>
    <t>XA101-01_Gestión_de_inscripciones_(incluido_el_análisis)</t>
  </si>
  <si>
    <t>MA101-01_Monitoreo_y_seguimiento_continuo</t>
  </si>
  <si>
    <t>HA</t>
  </si>
  <si>
    <t>1001-_Patrocinio_ChildFund</t>
  </si>
  <si>
    <t>50101-G.de_personal:Salarios</t>
  </si>
  <si>
    <t>Niñez y juventudes</t>
  </si>
  <si>
    <t>Formación de Formadores (ToT)</t>
  </si>
  <si>
    <t xml:space="preserve">TA214-23-01--Transporte y Alimentacion GFC </t>
  </si>
  <si>
    <t>TA213-01-Consultorias-PMA</t>
  </si>
  <si>
    <t>CA_Proteccion_y_respuesta_lideradas _localmente</t>
  </si>
  <si>
    <t>HA012-01_Esfuerzos_de_promoción_para_promover_el_acceso_a_servicios_de_lavado_y_salud</t>
  </si>
  <si>
    <t>HB042-01_Rehabilitación_nutricional_comunitaria_para_niños_desnutridos</t>
  </si>
  <si>
    <t>HC062-01_Sesiones_de_desarrollo_de_capacidades_para_trabajadores_de_la_salud_y_trabajadores_de_salud_comunitarios_sobre_atención_prenatal,_durante_el_parto_y_posparto</t>
  </si>
  <si>
    <t>HD092-01_Diálogos_intergeneracionales_sobre_salud_sexual_y_reproductiva_para_padres_y_jóvenes</t>
  </si>
  <si>
    <t>HE121-02__Talleres_comunitarios_sobre_la_prevención_de_la_malaria_y_el_tratamiento_adecuado_de_la_malaria</t>
  </si>
  <si>
    <t>DA141-02_Sesión_de_capacitación_para_cuidadores_sobre_cómo_monitorear_el_comportamiento_de_sus_hijos_(de_0_a_5_años)_y_las_habilidades_que_han_adquirido_en_situaciones_cotidianas.</t>
  </si>
  <si>
    <t>DB141-02_Capacitación_para_facilitadores/maestros_del_Centro_ECCE_sobre_cómo_monitorear_el_comportamiento_de_los_niños_y_las_habilidades_que_han_adquirido_en_situaciones_cotidianas.</t>
  </si>
  <si>
    <t>UA191-02_Capacitación_de_docentes_sobre_la_incorporación_del_aprendizaje_socioemocional_(SEL)_en_las_lecciones_de_alfabetización_y_aritmética</t>
  </si>
  <si>
    <t>UB171-02_Libros_de_cuentos_y_materiales_multilingües_para_apoyar_el_aprendizaje_fundamental_desarrollados_y_difundidos_entre_niños_y_adolescentes.</t>
  </si>
  <si>
    <t>UC191-02_Capacitar_a_docentes_y_facilitadores_en_Aprendizaje_Socioemocional_(SEL)_y_autoprotección</t>
  </si>
  <si>
    <t>UD171-02_Defensa_comunitaria_para_la_construcción_y_el_mantenimiento_de_escuelas</t>
  </si>
  <si>
    <t>RA351-02_Integración_de_actividades_de_aprendizaje_socioemocional_(SEL)_en_entornos_extracurriculares_relacionados_con_la_promoción_de_la_seguridad_en_línea_para_niños_y_jóvenes</t>
  </si>
  <si>
    <t>RB251-02_Capacitar_y_apoyar_a_los_cuidadores_sobre_medios_de_vida_alternativos_para_reducir_la_dependencia_del_trabajo_infantil</t>
  </si>
  <si>
    <t>RC251-02_Campañas_de_sensibilización_y_educación_para_jóvenes_y_cuidadores_sobre_las_normas_sociales_que_sustentan_las_prácticas_nocivas_y_las_leyes_nacionales_que_las_prohíben.</t>
  </si>
  <si>
    <t>RD271-02_Establecer_y_fortalecer_la_capacidad_de_las_estructuras_formales_e_informales_de_protección_comunitaria_de_la_infancia_(CBCP)_en_materia_de_derechos_del_niño,_principios_de_protección,_gestión_de_casos_y_vías_de_derivación.</t>
  </si>
  <si>
    <t>LA412-01_Programa_de_alimentación_escolar</t>
  </si>
  <si>
    <t>LB391-02_Sesiones_de_habilidades_para_la_vida_y_planificación_profesional_(incluido_el_desarrollo_y_revisión_de_planes_de_vida)</t>
  </si>
  <si>
    <t>LC412-01_Programa_de_alimentación_escolar</t>
  </si>
  <si>
    <t>BA441-02_Desarrollo_y_uso_de_módulos_y_aplicaciones_de_aprendizaje_basados_en_dispositivos_móviles_para_el_acceso_continuo_al_conocimiento_entre_niños_y_jóvenes</t>
  </si>
  <si>
    <t>BB471-02__Sesiones_de_capacitación_comunitaria_sobre_el_diseño,_la_producción_y_la_instalación/aplicación_de_tecnologías_de_energía_renovable_y_de_bajo_consumo_energético_(como_cocinas_de_bajo_consumo_de_combustible_y_otras_fuentes_de_energía_renovable_como_lámparas_solares,_bombas_de_agua_solares,_energía_eólica,_biogás_e_hidroeléctrica)_para_reducir_las_emisiones_de_gases_de_efecto_invernadero_y_promover_prácticas_energéticas_sostenibles.</t>
  </si>
  <si>
    <t>BC481-02_Asistencia_integral_para_salvar_vidas_y_redes_de_seguridad_(incluidos_kits_familiares_de_preparación_para_desastres_personalizados)_durante_y_después_de_la_recuperación_para_las_personas_afectadas_por_desastres:_Asistencia_vital;_albergue,_búsqueda_y_rescate,_asistencia_alimentaria,_agua,_saneamiento_e_higiene_(WASH),_atención_médica,_protección,_salud_mental_y_apoyo_psicosocial._Redes_de_seguridad;_transferencias_de_efectivo,_cupones,_asistencia_alimentaria,_medios_de_vida,_continuidad_educativa,_salud_mental_y_apoyo_psicosocial.</t>
  </si>
  <si>
    <t>CA271-02_Brindar_asistencia_técnica_(ver_definición)_a_los_actores_gubernamentales_en_el_fortalecimiento_del_sistema_de_protección_infantil_(P1.1.2)</t>
  </si>
  <si>
    <t>AA501-02_Campaña</t>
  </si>
  <si>
    <t>MA321-02_Métodos_de_enseñanza_multisensoriales,_basados_en_el_juego_y_centrados_en_el_alumno_utilizados_por_los_docentes</t>
  </si>
  <si>
    <t>YA231-02_Jóvenes_capacitados_sobre_sus_derechos_cívicos,_responsabilidades_y_procesos_democráticos_a_través_de_talleres,_medios_de_comunicación_y_programas_escolares.</t>
  </si>
  <si>
    <t>ZA101-02_Servicios_básicos_para_la_implementación_programática</t>
  </si>
  <si>
    <t>XA101-02_Gestión_de_información_sobre_niños_matriculados</t>
  </si>
  <si>
    <t>MA101-02_Evaluación_de_resultados_de_programas/proyectos</t>
  </si>
  <si>
    <t>HB</t>
  </si>
  <si>
    <t>1003-_Patrocinio_Local_ChildFund</t>
  </si>
  <si>
    <t>50102-G.de_personal:Beneficio_complem</t>
  </si>
  <si>
    <t>Cuidadores</t>
  </si>
  <si>
    <t>Actividades locales-Talleres-Formaciones</t>
  </si>
  <si>
    <t xml:space="preserve">TA214-23-02--Material Didactico GFC </t>
  </si>
  <si>
    <t>TA213-02-Incentivo a Voluntarios-PMA</t>
  </si>
  <si>
    <t>UC_Aprendizaje_socioemocional__SEL</t>
  </si>
  <si>
    <t>HA021-01_Dotación_de_instalaciones_de_higiene_en_la_comunidad</t>
  </si>
  <si>
    <t>HB043-01_Monitoreo_del_peso_y_el_crecimiento_y_reporte_de_datos_de_salud_y_nutrición_para_niños_menores_de_6_años</t>
  </si>
  <si>
    <t>HC063-01_Kits_esenciales_para_el_parto_y_la_atención_del_recién_nacido_a_los_proveedores_de_atención_médica</t>
  </si>
  <si>
    <t>HD093-01_Talleres_de_educación_sexual_integral_para_niños_y_niñas</t>
  </si>
  <si>
    <t>HE122-01_Pruebas_de_diagnóstico_rápido_para_casos_sospechosos_de_malaria</t>
  </si>
  <si>
    <t>DA151-01_Capacitación_para_cuidadores_sobre_cómo_crear_espacios_seguros_para_el_aprendizaje_en_su_hogar_para_niños_de_0_a_5_años.</t>
  </si>
  <si>
    <t>DB141-03_Observación_infantil_y_evaluación_del_desarrollo_integradas_en_las_rutinas_diarias_del_centro.</t>
  </si>
  <si>
    <t>UA191-03__Sesiones_de_coaching_y_aprendizaje_entre_pares_para_docentes_para_reforzar_las_prácticas_de_aprendizaje_socioemocional_(SEL)</t>
  </si>
  <si>
    <t>UB171-03_Maestros/facilitadores_capacitados_para_crear_materiales_de_enseñanza_y_aprendizaje_de_bajo_costo_y_de_origen_local_para_niños_y_adolescentes</t>
  </si>
  <si>
    <t>UC191-03_Maestros_y_facilitadores_capacitados_en_el_currículo_de_Aprendizaje_Socioemocional_(SEL)_y_protección_infantil</t>
  </si>
  <si>
    <t>UD171-03_Las_comunidades_están_vinculadas_al_financiamiento_y_apoyo_técnico_para_iniciativas_educativas</t>
  </si>
  <si>
    <t>RA351-03_Talleres_de_desarrollo_de_capacidades_sobre_habilidades_socioemocionales_relacionadas_con_la_promoción_de_la_seguridad_en_línea_para_niños_y_jóvenes</t>
  </si>
  <si>
    <t>RB252-01__Identificación_y_derivación_de_casos_de_trabajo_infantil_(o_abusos_infantiles)_a_los_servicios_de_apoyo_necesarios</t>
  </si>
  <si>
    <t>RC252-01_Capacitar_y_equipar_a_legisladores,_agentes_del_orden_y_al_poder_judicial_para_implementar_leyes_sobre_prevención_y_respuesta_a_prácticas_nocivas</t>
  </si>
  <si>
    <t>RD272-01_Establecer_sistemas_de_identificación_y_derivación_de_casos,_y_capacitar_a_las_estructuras_de_protección_comunitarias,_a_los_voluntarios_y_líderes_comunitarios_en_el_sistema_de_derivación.</t>
  </si>
  <si>
    <t>LA413-01_Distribución_de_alimentos_en_situaciones_de_emergencia</t>
  </si>
  <si>
    <t>LB392-01_Cursos_cortos_certificados,_pasantías_estructuradas,_aprendizajes_y_observación_laboral_a_través_de_asociaciones_con_empresas_y_sectores_de_alta_demanda.</t>
  </si>
  <si>
    <t>LC413-01_Distribución_de_alimentos_en_situaciones_de_emergencia</t>
  </si>
  <si>
    <t>BA441-03_Formación_en_emprendimiento_y_habilidades_vocacionales_para_oportunidades_económicas_verdes,_azules_y_circulares_y_soluciones_basadas_en_la_naturaleza.</t>
  </si>
  <si>
    <t>BB471-03_Incentivos_y/o_subsidios_para_que_los_hogares_utilicen_tecnologías/prácticas_de_energía_renovable_y_eficiente_y_sostenible_(como_cocinas_de_bajo_consumo_de_combustible_y_fuentes_de_energía_renovables_como_lámparas_solares,_bombas_de_agua_solares,_biogás,_energía_eólica_e_hidroeléctrica)_para_reducir_las_emisiones_de_gases_de_efecto_invernadero.</t>
  </si>
  <si>
    <t>BC482-01_Instalación_de_un_sistema_de_alerta_temprana_basado_en_la_comunidad_para_monitorear_el_desarrollo_de_desastres_(pronosticar_eventos_climáticos_y_meteorológicos_extremos)_en_áreas_de_alto_riesgo.</t>
  </si>
  <si>
    <t>CA271-03_Fortalecer_la_capacidad_profesional_local_para_brindar_servicios_adecuados_de_protección_infantil,_centrados_en_la_gestión_de_casos_y_los_sistemas_de_protección_infantil._(P1.1.3)</t>
  </si>
  <si>
    <t>AA501-03_Asociación_y_creación_de_coaliciones</t>
  </si>
  <si>
    <t>MA321-03_Maestros_capacitados_en_cuidados_sensibles_al_trauma,_desarrollo_emocional_y_educación_inclusiva</t>
  </si>
  <si>
    <t>YA232-01_Participación_de_los_jóvenes_en_el_diseño_e_implementación_de_iniciativas_locales_que_aborden_las_necesidades_de_la_comunidad_(por_ejemplo,_saneamiento,_educación,_acción_climática)</t>
  </si>
  <si>
    <t>ZA101-03_Gestión_de_activos_fijos</t>
  </si>
  <si>
    <t>XA101-03_Gestión_de_la_desafiliación</t>
  </si>
  <si>
    <t>MA101-03_Procesos_de_recopilación_de_datos_de_M&amp;E_(encuesta_global_de_M&amp;E)</t>
  </si>
  <si>
    <t>HC</t>
  </si>
  <si>
    <t>2001-_Children's_DFCs</t>
  </si>
  <si>
    <t>50103-G.de_personal:imp._de_nomina</t>
  </si>
  <si>
    <t>Miembros de la Sociedad Civil</t>
  </si>
  <si>
    <t>Actividades, formación-talleres en escuelas/centros</t>
  </si>
  <si>
    <t xml:space="preserve">TA214-23-03--Capacitaciones- GFC </t>
  </si>
  <si>
    <t>TA213-03-Otros Gastos-PMA</t>
  </si>
  <si>
    <t>HA031-01_Campañas_de_sensibilización_sobre_higiene_y_saneamiento_en_la_comunidad</t>
  </si>
  <si>
    <t>HB044-01_Comidas_escolares</t>
  </si>
  <si>
    <t>HC071-01_Campañas_de_concienciación_para_promover_el_número_recomendado_de_visitas_prenatales</t>
  </si>
  <si>
    <t>HD093-02_Talleres_de_educación_sexual_integral_para_padres_y_cuidadores</t>
  </si>
  <si>
    <t>HE123-01__Suministro_de_mosquiteros_tratados_con_insecticidas_de_larga_duración</t>
  </si>
  <si>
    <t>DA151-02_Capacitación_para_cuidadores_sobre_cómo_crear_juguetes_hechos_a_mano_y_otros_materiales_de_aprendizaje_en_el_hogar_para_niños_de_0_a_5_años.</t>
  </si>
  <si>
    <t>DB151-01_Evaluaciones_de_la_calidad_estructural_(las_características_de_los_educadores_y_los_entornos,_como_el_acceso_a_la_formación_y_los_niveles_educativos)_de_los_centros_ECCE</t>
  </si>
  <si>
    <t>UA191-04_Monitorear_la_integración_del_aprendizaje_socioemocional_(SEL)_a_través_de_observaciones_y_retroalimentación_en_el_aula.</t>
  </si>
  <si>
    <t>UB172-01_Docentes_capacitados_en_prácticas_instruccionales_y_evaluación_formativa</t>
  </si>
  <si>
    <t>UC191-04_Capacitación_de_docentes_sobre_la_incorporación_del_aprendizaje_socioemocional_(SEL)_en_las_lecciones_de_alfabetización_y_aritmética</t>
  </si>
  <si>
    <t>UD172-01_Actividades_de_promoción_de_programas_de_educación_alternativa_y_actividades_de_enriquecimiento</t>
  </si>
  <si>
    <t>RA361-01_Equipar_a_niños_y_jóvenes_con_habilidades_en_tecnologías_de_la_información_y_la_comunicación_(TIC)</t>
  </si>
  <si>
    <t>RB253-01_Diálogos_comunitarios_que_involucran_a_padres,_líderes_y_empleadores_sobre_los_daños_del_trabajo_infantil</t>
  </si>
  <si>
    <t>RC253-01__Realizar_evaluaciones_de_riesgos_y_denuncia_de_prácticas_nocivas_a_través_de_las_vías_de_derivación_de_protección</t>
  </si>
  <si>
    <t>RD281-01_Desarrollar_la_capacidad_de_los_cuidadores_en_materia_de_disciplina_positiva,_comunicación_no_violenta_(positiva),_iniciativas_de_entornos_domésticos_seguros,_desarrollo_infantil_y_para_reconocer_y_responder_a_señales_de_abuso,_negligencia_o_explotación.</t>
  </si>
  <si>
    <t>LA414-01_Suministro_de_suministros_(por_ejemplo,_semillas,_fertilizantes,_tracción,_riego,_etc.)_y_capacitación_para_iniciativas_de_huertos_familiares,_aves_de_corral_y_ganado_menor.</t>
  </si>
  <si>
    <t>LB401-01_Capacitación_sobre_derechos_laborales,_seguridad_en_el_trabajo_y_prevención_de_la_explotación</t>
  </si>
  <si>
    <t>LC414-01_Suministro_de_suministros_(por_ejemplo,_semillas,_fertilizantes,_tracción_con_bueyes,_etc.)_y_capacitación_para_iniciativas_de_huertos_familiares,_aves_de_corral_y_ganado_menor.</t>
  </si>
  <si>
    <t>BA442-01_Formación_de_plataformas_dirigidas_por_niños_y_jóvenes,_como_clubes_escolares,_clubes_juveniles,_consejos_juveniles_y_comités_verdes_en_marcos_de_gobernanza_locales,_nacionales_e_internacionales_de_medio_ambiente,_sostenibilidad_y_adaptación_climática.</t>
  </si>
  <si>
    <t>BB472-01_Campañas_de_concientización_comunitaria,_talleres_y_sesiones_de_capacitación_sobre_prácticas_sostenibles_de_conservación_del_agua,_como_el_uso_eficiente_del_agua,_la_protección_de_las_fuentes_de_agua,_los_humedales,_la_recolección_de_agua_de_lluvia,_el_reciclaje_de_agua,_etc.</t>
  </si>
  <si>
    <t>BC482-02__Servicios_de_información_climática_oportunos_y_basados_en_la_demanda_para_ayudar_en_el_proceso_de_toma_de_decisiones_basadas_en_riesgos:_Servicios_de_información_climática_como_pronósticos_hidrometeorológicos_y_basados_en_impactos_que_incluyen_conocimiento_local_e_indígena_de_(o_información_sobre)_tendencias_e_impactos_climáticos</t>
  </si>
  <si>
    <t>CA272-01_Realizar_sesiones_de_capacitación_para_los_trabajadores_de_primera_línea_(incluido_el_personal_sanitario,_jurídico_y_de_refugios)_sobre_la_identificación_segura_de_problemas_de_protección_infantil,_como_la_trata,_el_abuso,_la_explotación_y_la_negligencia_(P1.2.1)</t>
  </si>
  <si>
    <t>AA501-04_Ejecución_de_eventos</t>
  </si>
  <si>
    <t>MA322-01_Espacios_seguros_(espacios_amigables_para_los_niños)_creados_en_la_comunidad_para_que_los_cuidadores_y_los_niños_se_reúnan_y_participen_en_actividades_psicosociales_que_incluyen_acciones_grupales_que_adaptan_las_prácticas_de_afrontamiento_locales_y_los_valores_culturales.</t>
  </si>
  <si>
    <t>YA233-01_Plataformas_formales_para_jóvenes_(foros_dirigidos_por_jóvenes)_para_abogar_ante_los_responsables_de_políticas,_los_gobiernos_locales,_las_ONG_o_las_instituciones_sobre_políticas_y_cuestiones_que_les_afectan.</t>
  </si>
  <si>
    <t>ZA101-04_Salarios_del_personal_administrativo</t>
  </si>
  <si>
    <t>XA101-04_Gestión_de_correspondencia</t>
  </si>
  <si>
    <t>MA101-04_Salarios_y_beneficios_del_personal_del_programa_(personal_técnico_y_de_implementación)</t>
  </si>
  <si>
    <t>HD</t>
  </si>
  <si>
    <t>2002-_DFC_para_Proy./Comm.</t>
  </si>
  <si>
    <t>50104-G.de_personal:_Indemnizacion</t>
  </si>
  <si>
    <t>Líderes comunitarios</t>
  </si>
  <si>
    <t>Ferias locales o comunitarias</t>
  </si>
  <si>
    <t xml:space="preserve">TA214-23-04--Gastos de Viaje - GFC </t>
  </si>
  <si>
    <t>TA213-04-Salarios y Beneficios-PMA</t>
  </si>
  <si>
    <t>HA031-02_Campañas_de_sensibilización_sobre_higiene_y_salud_para_niños_en_edad_escolar_y_padres</t>
  </si>
  <si>
    <t>HB051-01_Talleres_para_padres_sobre_nutrición_y_alimentación_adecuada_para_cuidadores</t>
  </si>
  <si>
    <t>HC072-01_Sesiones_de_desarrollo_de_capacidades_para_trabajadores_de_la_salud_y_trabajadores_de_salud_comunitarios_sobre_atención_prenatal,_durante_el_parto_y_posparto</t>
  </si>
  <si>
    <t>HD094-01_Talleres_sobre_prácticas_pedagógicas_de_educación_sexual_integral_para_educadores</t>
  </si>
  <si>
    <t>HE124-01_Terapia_de_quimioprevención_de_la_malaria_estacional_durante_la_temporada_de_transmisión</t>
  </si>
  <si>
    <t>DA151-03_Materiales_de_juego_y_aprendizaje_apropiados_según_la_edad_(para_niños_de_0_a_5_años)_desarrollados_y_distribuidos_para_familias_necesitadas.</t>
  </si>
  <si>
    <t>DB151-02_Centros_ECCE_que_cumplen_con_estándares_de_calidad_estructural_(por_ejemplo,_las_características_de_los_educadores_y_entornos_como_el_acceso_a_la_capacitación_y_los_niveles_educativos)_abiertos/disponibles_en_las_comunidades.</t>
  </si>
  <si>
    <t>UA171-01_Docentes_capacitados_en_prácticas_instruccionales_y_evaluación_formativa</t>
  </si>
  <si>
    <t>UB172-02_Docentes_capacitados_en_metodologías_inclusivas_y_centradas_en_el_niño</t>
  </si>
  <si>
    <t>UC191-05_Sesiones_de_coaching_y_aprendizaje_entre_pares_para_docentes_para_reforzar_las_prácticas_SEL</t>
  </si>
  <si>
    <t>UD172-02_Escuelas_dirigidas_por_la_comunidad_establecidas_en_zonas_marginadas</t>
  </si>
  <si>
    <t>RA361-02_Equipar_a_los_docentes_en_el_uso_de_las_tecnologías_de_la_información_y_la_comunicación_(TIC)</t>
  </si>
  <si>
    <t>RB254-01_Campañas_de_concientización_sobre_derechos_laborales,_seguridad_en_el_lugar_de_trabajo,_mecanismos_de_denuncia_y_legislación_para_jóvenes,_padres,_cuidadores_y_miembros_de_la_comunidad.</t>
  </si>
  <si>
    <t>RC254-01_Defensa_dirigida_por_jóvenes_para_hacer_cumplir_el_desarrollo_y_la_implementación_de_políticas_para_abordar_prácticas_nocivas.</t>
  </si>
  <si>
    <t>RD281-02__Difusión_de_mensajes_sobre_prevención_y_protección_contra_la_violencia_dirigidos_a_los_cuidadores</t>
  </si>
  <si>
    <t>LA414-02_Capacitación_en_prácticas_agrícolas_sostenibles_(por_ejemplo,_agronomía,_agroecología,_agroforestería,_agricultura_climáticamente_inteligente)</t>
  </si>
  <si>
    <t>LB401-02_Campañas_de_concientización_comunitaria_sobre_derechos_laborales_y_empleo_no_explotador</t>
  </si>
  <si>
    <t>LC414-02_Capacitación_en_prácticas_agrícolas_sostenibles_(por_ejemplo,_agronomía,_agroecología,_agroforestería,_agricultura_climáticamente_inteligente)</t>
  </si>
  <si>
    <t>BA442-02_Inclusión_de_plataformas_lideradas_por_niños_y_jóvenes_en_el_desarrollo_e_implementación_de_planes_de_sostenibilidad,_medio_ambiente,_clima_y_reducción_del_riesgo_de_desastres.</t>
  </si>
  <si>
    <t>BB472-02__Esfuerzos_locales_de_conservación_para_implementar_prácticas_sostenibles_de_conservación_del_agua,_como_el_uso_eficiente_del_agua,_la_protección_de_las_fuentes_de_agua,_la_recolección_de_agua_de_lluvia,_la_purificación_de_agua_con_energía_solar,_el_reciclaje_de_agua,_etc.</t>
  </si>
  <si>
    <t>BC482-03_Establecimiento_de_sistemas_que_monitoreen_y_evalúen_las_acciones_de_adaptación_de_la_comunidad_a_los_riesgos_de_desastres:_Sistema_que_dé_seguimiento_al_progreso,_identifique_desafíos_y_realice_los_ajustes_necesarios.</t>
  </si>
  <si>
    <t>CA272-02_Desarrollar_y_difundir_vías_de_derivación_fáciles_de_usar_y_procedimientos_operativos_estándar_(POE)_adaptados_a_los_contextos_locales_y_la_dinámica_migratoria_(P1.2.2)</t>
  </si>
  <si>
    <t>AA501-05_Análisis_de_políticas_y_presupuestos</t>
  </si>
  <si>
    <t>MA323-01_Los_programas_de_educación_ambiental_en_las_escuelas_combinan_la_ciencia_ambiental,_las_prácticas_SEL_(control_emocional,_narración_de_historias_y_desarrollo_de_resiliencia)_y_el_desarrollo_de_resiliencia.</t>
  </si>
  <si>
    <t>YA233-02_Espacios_formales_para_que_los_jóvenes_contribuyan_a_los_procesos_de_toma_de_decisiones_a_nivel_comunitario_o_institucional</t>
  </si>
  <si>
    <t>ZA101-05_Fortalecimiento_institucional_de_los_socios_locales</t>
  </si>
  <si>
    <t>HE</t>
  </si>
  <si>
    <t>2003-_DFCs_locales_para_Children</t>
  </si>
  <si>
    <t>50201-Pago_capacitador-facilitador</t>
  </si>
  <si>
    <t>Voluntariados</t>
  </si>
  <si>
    <t>Campañas comunitarias</t>
  </si>
  <si>
    <t xml:space="preserve">TA214-23-05--Mejoras Infraestructura- GFC </t>
  </si>
  <si>
    <t>HB052-01_Campañas_de_sensibilización_sobre_la_lactancia_materna_exclusiva_y_la_alimentación_complementaria</t>
  </si>
  <si>
    <t>HC073-01_Suplementos_esenciales_para_las_mujeres_durante_el_embarazo_(como_hierro_y_ácido_fólico)</t>
  </si>
  <si>
    <t>HD095-01_Talleres_para_líderes_comunitarios_en_educación_integral_en_sexualidad,_igualdad_de_género_y_prevención_de_la_violencia_sexual</t>
  </si>
  <si>
    <t>HE131-01_Monitoreo_regular_de_tuberculosis_activa_e_infección_de_tuberculosis_para_aquellos_en_contacto_con_pacientes_con_tuberculosis</t>
  </si>
  <si>
    <t>DA201-01_Capacitación_en_cuidado_receptivo_para_cuidadores_de_niños_de_0_a_5_años_a_través_de_sesiones_de_entrega_de_contenido_presenciales_y/o_remotas</t>
  </si>
  <si>
    <t>DB152-01_Evaluación_de_la_calidad_del_proceso_(la_calidad_de_las_interacciones_y_actividades_que_experimentan_los_niños_mientras_asisten_a_un_entorno_ECCE)_en_los_centros_ECCE</t>
  </si>
  <si>
    <t>UA171-02_Docentes_capacitados_en_metodologías_inclusivas_y_centradas_en_el_niño</t>
  </si>
  <si>
    <t>UB172-03_Maestros_y_asociaciones_de_padres_y_maestros_(PTAs)_capacitados_en_enseñanza_inclusiva_y_transformadora_de_género</t>
  </si>
  <si>
    <t>UC191-06_Sesiones_de_coaching_y_aprendizaje_entre_pares_para_docentes_para_apoyar_la_autoeficacia_de_los_estudiantes</t>
  </si>
  <si>
    <t>UD172-03_Asociaciones_de_padres_y_maestros_(PTAs)_y_autoridades_educativas_capacitadas_para_monitorear_la_asistencia_mediante_tecnología</t>
  </si>
  <si>
    <t>RA361-03_Capacitación_de_cuidadores_en_habilidades_en_Tecnologías_de_la_Información_y_la_Comunicación_(TIC)</t>
  </si>
  <si>
    <t>RB254-02_Campañas_de_concientización_dirigidas_a_empleadores_y_socios_del_sector_privado_sobre_derechos_laborales,_seguridad_en_el_lugar_de_trabajo,_mecanismos_de_denuncia_y_otras_prácticas_laborales_éticas_(prevención_y_respuesta).</t>
  </si>
  <si>
    <t>RC271-01_Desarrollar_la_capacidad_de_las_estructuras_de_protección_infantil_comunitarias_(incluidas_las_redes_de_asistentes_jurídicos)_en_materia_de_prevención_de_prácticas_nocivas,_mecanismos_de_denuncia_y_derivación.</t>
  </si>
  <si>
    <t>RD281-03_Realizar_sesiones_de_Millas_de_Manos_(MdM)_con_cuidadores</t>
  </si>
  <si>
    <t>LA414-03_Sistemas_de_producción_de_alimentos_basados_​​en_la_familia_y_la_comunidad,_como_huertos_compartidos_y_cooperativas</t>
  </si>
  <si>
    <t>LB402-01_Asociaciones_con_empleadores_para_pasantías_y_colocaciones_en_el_primer_empleo</t>
  </si>
  <si>
    <t>LC414-03_Sistemas_de_producción_de_alimentos_basados_​​en_la_familia_y_la_comunidad,_como_huertos_compartidos_y_cooperativas</t>
  </si>
  <si>
    <t>BA443-01_Integración_del_cambio_climático_y_la_educación_ambiental_en_los_programas_escolares,_incluidas_actividades_intracurriculares,_cocurriculares_y_extracurriculares_como_educación_climática_y_ambiental_en_las_asignaturas,_orientación_profesional_sobre_oportunidades_agrícolas,_proyectos_de_ecoarte_y_actividades_sostenibles_como_el_reciclaje_y_la_conservación_de_la_energía,_ecoescuelas_y_plan_de_estudios_de_restauración_de_ecosistemas_para_jóvenes.</t>
  </si>
  <si>
    <t>BB472-03_Desarrollo_de_sistemas_de_agua_de_uso_múltiple_(infraestructura)_para_uso_doméstico,_producción_agrícola_y_ganadera:_aprovechamiento_de_aguas_subterráneas,_presas_de_valles,_aguas_superficiales_y_atmosféricas.</t>
  </si>
  <si>
    <t>BC483-01_Campañas_de_concientización,_talleres,_sesiones_de_capacitación_para_educar_a_las_comunidades_(involucrando_a_grupos_vulnerables_y_subrepresentados)_sobre_las_causas_del_riesgo_de_desastres,_los_impactos,_los_mitigantes,_las_estrategias_de_afrontamiento,_reducción_de_riesgos_y_respuesta.</t>
  </si>
  <si>
    <t>CA273-01_Realizar_evaluaciones_comunitarias_participativas_para_identificar_las_estructuras_y_brechas_existentes_en_materia_de_protección_infantil_y_las_necesidades_de_protección_infantil_de_la_comunidad_(P1.3.1)</t>
  </si>
  <si>
    <t>AA501-06_Empoderando_a_los_jóvenes_defensores</t>
  </si>
  <si>
    <t>MA324-01_Se_desarrollaron_y_distribuyeron_materiales_educativos_adaptados_culturalmente_sobre_salud_mental_infantil,_signos_tempranos_de_angustia_y_trauma.</t>
  </si>
  <si>
    <t>YA234-01_Espacios_digitales_seguros_y_centros_de_innovación_donde_los_jóvenes_pueden_usar_la_tecnología_para_la_acción_cívica_(como_la_defensa_de_derechos),_la_narración_de_historias_y_el_cambio_social.</t>
  </si>
  <si>
    <t>ZA101-06_Reuniones_para_coordinar_actividades_programáticas_y_de_patrocinio</t>
  </si>
  <si>
    <t>DA</t>
  </si>
  <si>
    <t>3001-_Programa_de_No_patrocinio</t>
  </si>
  <si>
    <t>50202-Material_de_capacitacion</t>
  </si>
  <si>
    <t>Educadores</t>
  </si>
  <si>
    <t>Campañas locales</t>
  </si>
  <si>
    <t>HC081-01_Campañas_de_vacunación,_desparasitación_y_salud</t>
  </si>
  <si>
    <t>HD096-01_Sesiones_de_SSR_en_las_escuelas_a_través_de_docentes</t>
  </si>
  <si>
    <t>HE132-01__Servicios_de_terapia_preventiva_y_tratamiento_para_pacientes_con_tuberculosis_activa_e_infectados_por_tuberculosis</t>
  </si>
  <si>
    <t>DA201-02_Talleres_de_crianza_receptiva_para_cuidadores_de_niños_de_0_a_5_años_centrados_en_la_conexión_emocional,_la_comunicación_y_la_estimulación.</t>
  </si>
  <si>
    <t>DB152-02_Facilitadores_de_ECCE_capacitados_en_el_marco_de_ECCE_adaptado_y_métodos_de_enseñanza_inclusivos</t>
  </si>
  <si>
    <t>UA172-01_Educación_comunitaria_sobre_el_derecho_a_la_educación_gratuita_y_las_alternativas_disponibles</t>
  </si>
  <si>
    <t>UB173-01_Oportunidades_de_aprendizaje_correctivo_(por_ejemplo,_tutorías,_campamentos_de_lectura)</t>
  </si>
  <si>
    <t>UC192-01_Proceso_de_reconocimiento_del_progreso_del_aprendizaje_socioemocional_(SEL)_de_los_estudiantes_establecido_a_través_de_eventos_escolares_y_mecanismos_de_retroalimentación.</t>
  </si>
  <si>
    <t>UD173-01_Proceso_de_reconocimiento_de_logros_estudiantiles_establecido_a_través_de_eventos_y_premios_escolares</t>
  </si>
  <si>
    <t>RA362-01_Desarrollar_la_resiliencia_para_prevenir,_identificar,_denunciar_y_responder_al_daño_en_línea</t>
  </si>
  <si>
    <t>RB255-01_Desarrollo_e_implementación_de_programas_de_reintegración_inclusivos_para_niños_fuera_de_la_escuela_y_niños_trabajadores,_incorporando_atención_psicosocial_y_aprendizaje_personalizado_o_capacitación_en_habilidades.</t>
  </si>
  <si>
    <t>RC271-02_Capacitar_y_equipar_a_legisladores,_agentes_del_orden_y_al_poder_judicial_para_implementar_leyes_sobre_prevención_y_respuesta_a_prácticas_nocivas</t>
  </si>
  <si>
    <t>RD291-01_Trabajar_con_el_gobierno_para_desarrollar_e_institucionalizar_códigos_de_conducta_de_protección_infantil_para_las_escuelas,_garantizando_la_alineación_con_los_estándares_de_protección_infantil.</t>
  </si>
  <si>
    <t>LA421-01_Provisión_de_capital_inicial_y_apoyo_en_especie_(por_ejemplo,_kits_de_herramientas,_ganado,_insumos_agrícolas)_para_micro,_pequeñas_y_medianas_empresas</t>
  </si>
  <si>
    <t>LB402-02_Plataformas_de_participación_entre_jóvenes_y_empleadores_para_promover_prácticas_de_contratación_éticas.</t>
  </si>
  <si>
    <t>LC421-01__Provisión_de_capital_inicial,_apoyo_en_especie_(por_ejemplo,_kits_de_herramientas,_ganado,_insumos_agrícolas)_y/o_activos_productivos_(por_ejemplo,_semillas,_sistemas_de_riego,_tierras,_plataformas_digitales)_y_vínculos_de_mercado.</t>
  </si>
  <si>
    <t>BA443-02_Integración_de_la_agroindustria,_la_agricultura_digital_y_el_desarrollo_de_la_cadena_de_valor_(incluidos_los_certificados_en_agronomía/agricultura_climáticamente_inteligente)_en_los_programas_de_formación_profesional</t>
  </si>
  <si>
    <t>BB473-01_Campañas_de_concientización,_talleres_y_sesiones_de_capacitación_sobre_gestión_sostenible_de_residuos_para_reducir_la_generación_de_residuos,_promover_el_reciclaje_y_hacer_cumplir_la_eliminación_adecuada.</t>
  </si>
  <si>
    <t>BC484-01_Desarrollo_e_implementación_de_planes/estrategias_de_gestión_del_riesgo_de_desastres_para_la_mitigación,_preparación,_reducción_de_riesgos_y_respuesta_ante_desastres_por_parte_de_las_comunidades_(involucrando_a_grupos_vulnerables_y_subrepresentados):_Los_mitigantes_incluyen_la_evaluación_de_riesgos,_la_zonificación,_los_estándares_de_infraestructura,_las_soluciones_basadas_en_la_naturaleza_y_la_AbE;_la_preparación_incluye_un_sistema_de_alerta_temprana,_concientización,_simulacros/simulaciones,_almacenamiento,_capacitación_y_un_plan_de_respuesta;_la_reducción_de_riesgos_incluye_la_integración_de_la_DRM_en_los_planes_de_desarrollo,_la_CBDRM,_las_redes_de_seguridad_y_los_enfoques_inclusivos;_la_respuesta_incluye_la_búsqueda_y_el_rescate,_las_redes_de_seguridad_y_salvamento,_la_coordinación_de_actores_y_el_intercambio_de_información_en_tiempo_real.</t>
  </si>
  <si>
    <t>CA273-02_Desarrollar_las_capacidades_de_las_comunidades_—incluidos_los_jóvenes_y_los_actores_locales—_para_identificar,_responder_y_remitir_de_forma_segura_las_preocupaciones_sobre_protección_infantil,_al_tiempo_que_se_promueven_soluciones_lideradas_localmente_que_reduzcan_los_riesgos_migratorios_y_apoyen_la_reintegración_(P1.3.2)</t>
  </si>
  <si>
    <t>AA501-07_Investigación/generación_de_evidencia_para_respaldar_la_formulación_de_políticas</t>
  </si>
  <si>
    <t>MA324-02_Concienciación_y_capacitación_de_estructuras_comunitarias,_cuidadores,_niños_y/o_jóvenes_sobre_salud_mental_y_vías_de_derivación.</t>
  </si>
  <si>
    <t>YA235-01_Jóvenes_vinculados_con_mentores_y_compañeros_para_compartir_experiencias,_desarrollar_habilidades_y_fomentar_el_diálogo_intergeneracional.</t>
  </si>
  <si>
    <t>DB</t>
  </si>
  <si>
    <t>4001-_Donaciones_/_Proyectos_de_subvenciones</t>
  </si>
  <si>
    <t>50203-Capacitacion:Transporte</t>
  </si>
  <si>
    <t>Trabajadores formales de la Salud</t>
  </si>
  <si>
    <t>Campañas nacionales</t>
  </si>
  <si>
    <t>HC082-01_Taller_sobre_cuidado_cariñoso_con_cuidadores_(salud_infantil,_nutrición_adecuada,_cuidados_receptivos,_oportunidades_para_el_aprendizaje_temprano,_seguridad_y_protección)</t>
  </si>
  <si>
    <t>HD101-01_Depósitos_de_anticonceptivos_y_otros_materiales_sanitarios_(salud_e_higiene_menstrual,_etc.)</t>
  </si>
  <si>
    <t>HE133-01__Campañas_de_concienciación_sobre_la_transmisión_de_la_tuberculosis</t>
  </si>
  <si>
    <t>DA201-03_Grupos_de_aprendizaje_entre_pares_para_cuidadores_de_niños_de_0_a_5_años_para_compartir_experiencias_y_estrategias</t>
  </si>
  <si>
    <t>DB152-03_Sesiones_de_coaching_y_tutoría_para_el_personal_de_ECCE_sobre_gestión_del_aula_y_enseñanza_receptiva</t>
  </si>
  <si>
    <t>UA172-02_Campañas_de_concientización_comunitaria_sobre_la_importancia_de_la_educación_infantil/juvenil_y/o_el_derecho_a_la_educación_gratuita_y_las_alternativas_disponibles</t>
  </si>
  <si>
    <t>UB173-02_Apoyar_a_las_bibliotecas_escolares_y_móviles</t>
  </si>
  <si>
    <t>UC193-01_Talleres_para_cuidadores_sobre_aprendizaje_socioemocional_(SEL)_y_crianza_positiva</t>
  </si>
  <si>
    <t>RA362-02_Identificación_y_derivación_de_casos_de_abuso_en_línea_a_los_servicios_sociales</t>
  </si>
  <si>
    <t>RB256-01_Evaluaciones_de_riesgos_y_denuncia_de_explotación_o_abuso_de_jóvenes_trabajadores</t>
  </si>
  <si>
    <t>RC272-01__Campañas_de_sensibilización_de_líderes_comunitarios_sobre_prevención_y_respuesta_a_prácticas_nocivas</t>
  </si>
  <si>
    <t>RD292-01_Desarrollo_de_capacidades_de_educadores_(maestros)_y_estudiantes_en_el_aprendizaje_socioemocional_(SEL)_y_el_currículo_de_autoprotección</t>
  </si>
  <si>
    <t>LA422-01_Capacitación_en_emprendimiento,_incluyendo_planificación_empresarial,_análisis_de_mercado_y_gestión_financiera.</t>
  </si>
  <si>
    <t>LB402-03_Realizar_exposiciones_profesionales_y_ferias_móviles_de_habilidades,_generando_conciencia_y_oportunidades_de_inscripción.</t>
  </si>
  <si>
    <t>LC422-01__Capacitación_para_jóvenes_en_agronegocios,_desarrollo_de_cadenas_de_valor_y_herramientas_agrícolas_digitales_(incluyendo_planificación_empresarial,_análisis_de_mercado_y_gestión_financiera)</t>
  </si>
  <si>
    <t>BA444-01_Capacitación_en_mentoría_y_liderazgo_para_jóvenes_defensores_ambientales_sobre_acción_climática_y_cuidado_del_medio_ambiente.</t>
  </si>
  <si>
    <t>BB473-02_Esfuerzos_locales_de_conservación_para_reducir_la_generación_de_residuos,_promover_el_reciclaje_y_garantizar_la_eliminación_adecuada</t>
  </si>
  <si>
    <t>BC485-01_Establecimiento_y_capacitación_de_un_equipo_de_respuesta_rápida_ante_desastres_en_gestión_de_riesgos_de_desastres;_mitigantes_(incluida_la_evaluación_de_necesidades_en_situaciones_de_emergencia),_preparación,_reducción_de_riesgos_y_respuestas</t>
  </si>
  <si>
    <t>CA273-03_Facilitar_y_dotar_de_recursos_el_diseño,_la_implementación_y_el_desarrollo_de_iniciativas_de_protección_infantil_lideradas_por_la_comunidad_y_por_refugiados,_incluyendo_el_apoyo_personalizado_para_el_desarrollo_organizacional_y_la_participación_de_niños,_niñas_y_cuidadores._(P1.3.3)</t>
  </si>
  <si>
    <t>AA501-08_Movilización_de_jóvenes_y_niños</t>
  </si>
  <si>
    <t>MA331-01_Sesiones_de_cuidado_para_la_salud_emocional_de_padres_y_cuidadores</t>
  </si>
  <si>
    <t>YA241-01_Foros_inclusivos_formales_donde_los_líderes_comunitarios_y_los_jóvenes_colaboran_para_identificar_preocupaciones_prioritarias_y_diseñar_soluciones_en_conjunto.</t>
  </si>
  <si>
    <t>UA</t>
  </si>
  <si>
    <t>5001-_Contribuciones_de_la_Comunidad</t>
  </si>
  <si>
    <t>50204-Capacitacion:alimentos,_hosped</t>
  </si>
  <si>
    <t>Proveedores de salud no certificados</t>
  </si>
  <si>
    <t>Teatro debate</t>
  </si>
  <si>
    <t>HD111-01_Encuentros_de_niñas,_niños,_adolescentes_y_jóvenes_para_formular_propuestas_sobre_derechos_sexuales_y_reproductivos</t>
  </si>
  <si>
    <t>HE133-02_Talleres_comunitarios_sobre_prevención_de_la_tuberculosis_y_tratamiento_adecuado_de_la_tuberculosis</t>
  </si>
  <si>
    <t>DA201-04_Capacitación_para_estructuras_de_apoyo_comunitario_para_orientar_y_ayudar_a_los_cuidadores_(de_niños_de_0_a_5_años)</t>
  </si>
  <si>
    <t>DB152-04_Sesiones_de_juego_y_aprendizaje_estructuradas_utilizando_materiales_apropiados_para_el_desarrollo.</t>
  </si>
  <si>
    <t>UA211-01_Realizar_talleres_para_cuidadores_sobre_aprendizaje_socioemocional_(SEL)_y_crianza_positiva.</t>
  </si>
  <si>
    <t>UB173-03_Programas_extracurriculares_y_de_recuperación_(por_ejemplo,_tutorías,_clubes)</t>
  </si>
  <si>
    <t>UC193-02_Aprendizaje_socioemocional_(SEL)_y_mensajes_de_protección_difundidos_a_través_de_medios_y_eventos_comunitarios</t>
  </si>
  <si>
    <t>RA371-01_Capacitación_a_cuidadores_sobre_crianza_positiva_y_autoconciencia_sobre_los_riesgos_en_línea</t>
  </si>
  <si>
    <t>RB271-01_Fortalecimiento_de_la_capacidad_de_las_estructuras_de_protección_infantil_comunitaria_(CBCP)_en_materia_de_prevención_y_respuesta_al_trabajo_infantil_y_la_explotación_laboral_juvenil</t>
  </si>
  <si>
    <t>RC311-01_Asociación_entre_jóvenes,_líderes_comunitarios_y_personas_influyentes_para_defender_prácticas_equitativas_y_tolerancia_cero_hacia_la_violencia_de_género_(VG).</t>
  </si>
  <si>
    <t>RD293-01_Crear_y_fortalecer_la_capacidad_de_los_clubes_escolares_en_materia_de_derechos_y_responsabilidades_del_niño,_principios_de_protección,_gestión_de_casos_y_derivación_para_promover_iniciativas_y_actividades_de_defensa_dirigidas_por_niños_y_jóvenes.</t>
  </si>
  <si>
    <t>LA422-02_Capacitación_comunitaria_sobre_transformación_de_la_producción_orgánica</t>
  </si>
  <si>
    <t>LB403-01_Promoción_por_parte_de_líderes_locales_y_jóvenes_ante_el_gobierno_para_promulgar_e_implementar_políticas_que_aborden_el_trabajo_explotador_y_el_desempleo_de_los_jóvenes.</t>
  </si>
  <si>
    <t>LC422-02_Mentoría_y_coaching_para_agronegocios,_desarrollo_de_cadenas_de_valor_y_herramientas_agrícolas_digitales</t>
  </si>
  <si>
    <t>BA444-02_Desarrollo_de_materiales_de_promoción_centrados_en_niños_y_jóvenes_con_OSC,_socios_implementadores_y_niños_y_jóvenes_para_influir_en_las_políticas_gubernamentales_sobre_medio_ambiente_y/o_cambio_climático.</t>
  </si>
  <si>
    <t>BB474-01_Campañas_de_concientización,_talleres_y_sesiones_de_capacitación_sobre_soluciones_basadas_en_la_naturaleza,_como_la_conservación,_gestión_y_restauración_de_bosques,_manglares,_turberas_y_ecosistemas_con_alto_contenido_de_carbono.</t>
  </si>
  <si>
    <t>BC485-02_Campañas_de_concientización_y_talleres_de_capacitación_para_líderes_locales_y_personal_de_respuesta_a_emergencias_sobre_gestión_del_riesgo_de_desastres;_causas_del_riesgo_de_desastres,_impactos,_mitigantes,_afrontamiento,_reducción_de_riesgos_y_estrategias_de_respuesta.</t>
  </si>
  <si>
    <t>CA281-01_Realizar_consultas_participativas_con_niños_y_jóvenes_para_captar_sus_opiniones_para_establecer/mejorar_espacios_seguros_(P2.1.1)</t>
  </si>
  <si>
    <t>AA501-09_Movilización_comunitaria</t>
  </si>
  <si>
    <t>MA331-02_Talleres_grupales_de_apoyo_psicosocial_y_manejo_del_estrés_para_cuidadores</t>
  </si>
  <si>
    <t>YA242-01_Talleres_de_sensibilización_comunitaria_sobre_la_importancia_de_la_participación_de_los_jóvenes</t>
  </si>
  <si>
    <t>UB</t>
  </si>
  <si>
    <t>6001-_Financiación_del_gobierno/departamento_local.</t>
  </si>
  <si>
    <t>50205-Capacitacion:Instalaciones</t>
  </si>
  <si>
    <t>Miembros del Sector Privado</t>
  </si>
  <si>
    <t>Foros</t>
  </si>
  <si>
    <t>MODELO 1</t>
  </si>
  <si>
    <t>HD112-01_Jornada_clínica_amigable_para_adolescentes_en_centros_de_salud_primarios_o_centros_de_salud_comunitarios</t>
  </si>
  <si>
    <t>DA202-01_Visitas_domiciliarias_para_evaluar_necesidades,_modelar_un_cuidado_receptivo_y_brindar_contenido_de_capacitación_(para_niños_de_0_a_5_años)</t>
  </si>
  <si>
    <t>DB152-05_Talleres_de_desarrollo_profesional_para_docentes_sobre_aprendizaje_temprano_y_bienestar_infantil</t>
  </si>
  <si>
    <t>UA211-02_Realizar_sesiones_para_cuidadores_sobre_cómo_apoyar_el_aprendizaje_en_el_hogar.</t>
  </si>
  <si>
    <t>UB173-04_Programas_de_alfabetización_de_adultos_para_empoderar_a_los_cuidadores_en_su_propia_educación</t>
  </si>
  <si>
    <t>UC193-03_Eventos_escolares-comunitarios_para_mostrar_el_aprendizaje_socioemocional_(SEL)_y_los_protocolos_de_protección_infantil.</t>
  </si>
  <si>
    <t>RA371-02_Implementación_de_sesiones_de_desarrollo_socioemocional_y_autocuidado_relacionadas_con_la_seguridad_en_línea_para_niños,_niñas_y_jóvenes</t>
  </si>
  <si>
    <t>RB272-01_Implementación_de_la_política_pública_sobre_trabajo_infantil_y_explotación_y_abuso_sexual_vinculados_a_la_explotación_laboral</t>
  </si>
  <si>
    <t>RC311-02_Fortalecer_los_clubes,_las_campañas_y_la_promoción_dirigidos_por_jóvenes_que_promueven_la_equidad_de_género_y_la_concientización_sobre_la_prevención_de_la_violencia_de_género.</t>
  </si>
  <si>
    <t>RD301-01_Campañas_de_sensibilización_sobre_la_protección_infantil_para_cuidadores</t>
  </si>
  <si>
    <t>LA422-03_Aprendizaje,_tutoría_y_coaching_para_empresas_y_cooperativas</t>
  </si>
  <si>
    <t>LB551-01_Proporcionar_capital_semilla_y_kits_de_inicio_de_negocios_a_jóvenes_emprendedores.</t>
  </si>
  <si>
    <t>LC423-01_Evaluación_de_mercado_e_integración_digital_para_proporcionar_información_de_mercado_en_tiempo_real_para_la_selección_y_el_desarrollo_de_empresas.</t>
  </si>
  <si>
    <t>BA444-03_Incidencia_liderada_por_niños_y_jóvenes_ante_el_gobierno_para_reducir_las_emisiones_de_la_industria,_los_edificios_y_el_transporte_mediante_el_cambio_a_fuentes_de_energía_limpia</t>
  </si>
  <si>
    <t>BB474-02_Actividades_locales_de_conservación,_gestión_y_restauración_de_ecosistemas_con_alto_contenido_de_carbono,_como_bosques_y_manglares,_mediante_la_plantación_de_árboles,_incluida_la_regeneración_a_partir_de_tocones_de_árboles_vivos_y_plántulas_silvestres.</t>
  </si>
  <si>
    <t>BC485-03_Talleres_bianuales_para_ONG_locales_y_grupos_comunitarios_para_colaborar_en_la_movilización_de_recursos_y_la_planificación_de_respuestas_a_emergencias</t>
  </si>
  <si>
    <t>CA281-02_Establecer_espacios_de_protección_con_medidas_de_seguridad_(P2.1.2_)</t>
  </si>
  <si>
    <t>AA501-10_Compromiso_con_los_medios</t>
  </si>
  <si>
    <t>MA331-03_Intervenciones_grupales_para_cuidadores_que_reflejen_prácticas_curativas_locales_y_valores_culturales.</t>
  </si>
  <si>
    <t>YA242-02_Movilización_de_padres,_ancianos_y_jóvenes_en_diálogos_intergeneracionales,_mediación_y_consolidación_de_la_paz_para_fortalecer_la_cohesión_social_y_la_responsabilidad_compartida_de_la_participación_de_los_jóvenes.</t>
  </si>
  <si>
    <t>UC</t>
  </si>
  <si>
    <t>7001-_Otra_Organización_Asociada</t>
  </si>
  <si>
    <t>50206-Tarifa_capacitacion(cost_glob)</t>
  </si>
  <si>
    <t xml:space="preserve">Autoridades gubernamentales </t>
  </si>
  <si>
    <t>Reuniones interinstitucionales</t>
  </si>
  <si>
    <t>HD113-01_Centros_de_salud_comunitarios_para_adolescentes_en_la_comunidad</t>
  </si>
  <si>
    <t>DA203-01_Campañas_comunitarias_para_desafiar_las_normas_de_género_y_promover_responsabilidades_compartidas_de_cuidado_para_niños_de_0_a_5_años</t>
  </si>
  <si>
    <t>DB152-06_Suministro_de_guías_para_docentes_y_conjuntos_de_herramientas_de_actividades_(algunos_de_los_cuales_pueden_incluir_un_enfoque_en_el_aprendizaje_basado_en_el_juego_y_planes_de_estudio_adaptados_al_idioma_y_la_cultura_locales)</t>
  </si>
  <si>
    <t>UB174-01_Competencias_académicas_y_sesiones_de_aprendizaje_interactivo</t>
  </si>
  <si>
    <t>UC193-04__Aprendizaje_socioemocional_(SEL)_integrado_en_los_planes_de_rutinas_diarias_del_aula_y_actividades_extracurriculares</t>
  </si>
  <si>
    <t>RA371-03_Equipar_a_niños_y_jóvenes_con_habilidades_en_tecnologías_de_la_información_y_la_comunicación_(TIC)</t>
  </si>
  <si>
    <t>RB272-02_Involucrar_a_personas_influyentes_locales,_líderes_religiosos_y_sobrevivientes_como_defensores_del_cambio.</t>
  </si>
  <si>
    <t>RC312-01_Capacitar_y_equipar_a_legisladores,_fuerzas_del_orden_y_el_poder_judicial_para_implementar_leyes_de_protección_infantil_sobre_prevención_y_respuesta_a_prácticas_nocivas.</t>
  </si>
  <si>
    <t>RD301-02_Desarrollar_la_capacidad_de_los_líderes_comunitarios_y_los_trabajadores_de_la_salud_sobre_los_derechos_del_niño,_los_principios_de_protección_y_la_gestión_de_casos.</t>
  </si>
  <si>
    <t>LA423-01_Evaluación_de_mercado_e_integración_digital_para_proporcionar_información_de_mercado_en_tiempo_real_para_la_selección_y_el_desarrollo_de_empresas.</t>
  </si>
  <si>
    <t>LB552-01_Capacitación_en_emprendimiento_que_abarca_la_ideación,_planificación_empresarial_y_análisis_de_mercado.</t>
  </si>
  <si>
    <t>LC424-01_Exposiciones_y_ferias_agrícolas_dirigidas_por_jóvenes_para_promover_la_innovación_y_el_emprendimiento</t>
  </si>
  <si>
    <t>BA445-01_Programas_de_capacitación_para_niños,_jóvenes,_padres,_trabajadores_de_la_salud,_maestros,_trabajadores_comunitarios,_comités_de_protección_infantil_sobre_riesgos_para_la_salud_relacionados_con_el_clima,_vulnerabilidades_específicas_de_los_niños,_apoyo_psicosocial_básico_(PSS),_atención_informada_sobre_el_trauma_y_protección_infantil_comunitaria_en_áreas_afectadas_por_el_clima.</t>
  </si>
  <si>
    <t>BB474-03_Esfuerzos_locales_de_conservación_para_conservar_y_restaurar_humedales_degradados,_como_la_demarcación_de_humedales_mediante_el_establecimiento_de_una_zona_de_amortiguación.</t>
  </si>
  <si>
    <t>BC486-01_Espacios_Adaptados_a_la_Infancia_(CFS)_y_servicios_de_apoyo_social_dirigidos_por_jóvenes_para_ayudar_a_los_niños_y_jóvenes_a_afrontar_los_factores_estresantes_debido_a_la_variabilidad_climática;_salud_mental_y_apoyo_psicosocial,_protección,_asesoramiento,_servicios_médicos_y_otros_servicios_sociales.</t>
  </si>
  <si>
    <t>CA281-03_Brindar_capacitación_al_personal_de_espacios_seguros_sobre_protección_infantil,_inclusión_y_métodos_participativos_(P2.1.3)</t>
  </si>
  <si>
    <t>AA501-11_Desarrollo_de_recursos_de_promoción</t>
  </si>
  <si>
    <t>MA331-04_Evaluación_y_derivaciones_de_salud_mental_integradas_en_visitas_domiciliarias_y_programas_de_crianza</t>
  </si>
  <si>
    <t>YA243-01_Identificación_y_vinculación_de_las_comunidades_con_oportunidades_de_financiamiento_que_respalden_proyectos_liderados_por_jóvenes</t>
  </si>
  <si>
    <t>UD</t>
  </si>
  <si>
    <t>50301-Servicios_contratados</t>
  </si>
  <si>
    <t>Socias implementadoras</t>
  </si>
  <si>
    <t>Reuniones locales y asambleas</t>
  </si>
  <si>
    <t>JUL</t>
  </si>
  <si>
    <t>Lider-Prog-Desarrollo PI</t>
  </si>
  <si>
    <t>0610-1980-00214</t>
  </si>
  <si>
    <t>HD114-01_Sesiones_educativas_sobre_los_derechos_sexuales_y_reproductivos_de_los_jóvenes_para_proveedores_de_servicios_de_salud</t>
  </si>
  <si>
    <t>DA203-02_Campañas_y_eventos_comunitarios_para_promover_la_crianza_positiva_y_reconocer_los_esfuerzos_de_los_cuidadores_de_niños_de_0_a_5_años.</t>
  </si>
  <si>
    <t>DB153-01_Maestros/facilitadores_de_ECCE,_maestros_de_primeros_grados_y_cuidadores_capacitados_en_la_transición_de_ECCE_a_primeros_grados_(primaria).</t>
  </si>
  <si>
    <t>UB174-02_Campañas_de_cambio_de_comportamiento_social_para_promover_la_participación_escolar</t>
  </si>
  <si>
    <t>UC194-01_Actividades_de_aprendizaje_socioemocional_(SEL)_implementadas_en_aulas_y_entornos_extracurriculares_utilizando_métodos_apropiados_para_la_edad_(mín._2_veces_por_semana)</t>
  </si>
  <si>
    <t>RA372-01_Trabajar_con_empresas_tecnológicas_y_personas_influyentes_clave_para_implementar_entornos_en_línea_seguros</t>
  </si>
  <si>
    <t>RB273-01_Mapeo_de_los_mecanismos_de_protección_infantil_comunitarios_(MPCI)_formales_e_informales_para_identificar_brechas_y_fortalecer_la_prevención_y_respuesta_comunitaria_a_la_violencia_contra_los_niños</t>
  </si>
  <si>
    <t>RC313-01_Establecer_espacios_seguros,_programas_de_tutoría_e_integrar_la_igualdad_de_género_y_los_derechos_del_niño_en_las_escuelas_y_entornos_comunitarios.</t>
  </si>
  <si>
    <t>RD302-01_Creación_de_espacios_interiores_y_exteriores_seguros_para_niños_y_jóvenes</t>
  </si>
  <si>
    <t>LA431-01_Grupos_de_ahorro_y_préstamo_y_vínculos_con_instituciones_financieras</t>
  </si>
  <si>
    <t>LB552-02_Programas_de_mentoría,_aprendizaje_e_incubación_para_nuevas_empresas_lideradas_por_jóvenes.</t>
  </si>
  <si>
    <t>LC431-01_Grupos_de_ahorro_y_préstamo_centrados_en_la_inversión_agrícola_y_la_seguridad_alimentaria</t>
  </si>
  <si>
    <t>BA445-02_Campañas_de_concientización,_talleres,_sesiones_de_capacitación_para_educar_a_las_comunidades_(involucrando_a_grupos_vulnerables_y_subrepresentados)_sobre_las_causas_del_riesgo_de_desastres,_los_impactos,_los_mitigantes,_las_estrategias_de_afrontamiento,_reducción_de_riesgos_y_respuesta.</t>
  </si>
  <si>
    <t>BB474-04_Incentivos_para_esfuerzos_de_conservación_local,_como_subsidios_para_productos_ecológicos_como_abono_orgánico,_productos_energéticamente_eficientes_y_recompensas_para_esfuerzos_de_conservación_locales_innovadores,_etc.</t>
  </si>
  <si>
    <t>BC487-01_Campañas_de_educación_y_concientización_comunitaria_sobre_infraestructura_resiliente_para_proteger_a_los_hogares_de_eventos_climáticos_y_meteorológicos_extremos_(por_ejemplo,_viviendas_resistentes_a_inundaciones_y_sequías_o_a_prueba_del_clima)</t>
  </si>
  <si>
    <t>CA301-01_Diseñar_y_ofrecer_sesiones_grupales_de_MHPSS_apropiadas_para_la_edad_de_niños_y_jóvenes_(P2.2.1)</t>
  </si>
  <si>
    <t>AA501-12_Desarrollo_de_capacidades_para_los_responsables_de_los_derechos</t>
  </si>
  <si>
    <t>MA331-05_Cuidadores_vinculados_a_grupos_de_apoyo_como_círculos_de_padres,_clubes_de_cuidadores_adolescentes,_grupos_de_abuelos_pares,_asociaciones_de_ahorro_y_préstamo_de_aldeas_con_objetivos_psicosociales.</t>
  </si>
  <si>
    <t>YA243-02_Colaboración_de_las_partes_interesadas_locales_(incluidos_los_sectores_público_y_privado)_para_proporcionar_recursos_(tiempo,_espacio,_financiación_o_tutoría)_para_apoyar_iniciativas_lideradas_por_jóvenes</t>
  </si>
  <si>
    <t>RA</t>
  </si>
  <si>
    <t>50302-Servicios_profesionales</t>
  </si>
  <si>
    <t>Reuniones internas</t>
  </si>
  <si>
    <t>AGO</t>
  </si>
  <si>
    <t>Lider-Prog-Educacion</t>
  </si>
  <si>
    <t>Edwing Armando Lopez Esteves - Coordinador de Programas</t>
  </si>
  <si>
    <t>0801-1968-05630</t>
  </si>
  <si>
    <t>HD115-01_Mapeo_de_los_servicios_de_salud_sexual_y_reproductiva_en_la_comunidad</t>
  </si>
  <si>
    <t>DA204-01__Grupos_de_apoyo_para_padres_cuidadores_varones_de_niños_de_0_a_5_años_para_fomentar_el_aprendizaje_entre_pares_y_el_apoyo_emocional</t>
  </si>
  <si>
    <t>UB174-03_Iniciativas_de_motivación_y_bienestar_docente</t>
  </si>
  <si>
    <t>UC181-01_Capacitación_en_habilidades_para_la_vida_integrada_en_los_planes_de_estudio_y_programas_extracurriculares_existentes_para_adolescentes_y_jóvenes</t>
  </si>
  <si>
    <t>RA381-01_Equipar_a_niños_y_jóvenes_con_habilidades_en_tecnologías_de_la_información_y_la_comunicación_(TIC)</t>
  </si>
  <si>
    <t>RB311-01_Implementación_de_la_política_pública_sobre_trabajo_infantil_y_explotación_y_abuso_sexual_vinculados_a_la_explotación_laboral</t>
  </si>
  <si>
    <t>RC313-02_Implementación_de_programas_escolares_y_comunitarios_que_eduquen_a_los_jóvenes_y_cuidadores_sobre_la_igualdad_de_género,_las_relaciones_respetuosas,_el_consentimiento_y_la_salud_y_los_derechos_sexuales_y_reproductivos_(SDSR)</t>
  </si>
  <si>
    <t>RD311-01_Líderes_comunitarios_capacitados_en_defensa_y_gobernanza_para_mejorar_su_capacidad_de_promover_un_liderazgo_responsable_y_proteger_el_bienestar_de_los_niños_dentro_de_sus_comunidades.</t>
  </si>
  <si>
    <t>LA431-02_Talleres_de_educación_financiera_que_cubren_presupuestos,_ahorro,_crédito_y_banca_móvil.</t>
  </si>
  <si>
    <t>LB552-03_Acceso_a_laboratorios_de_innovación_compartidos,_centros_comunitarios_o_unidades_de_equipos_móviles_en_zonas_rurales_o_periurbanas</t>
  </si>
  <si>
    <t>LC431-02_Asociación_con_instituciones_financieras_para_ofrecer_productos_de_microcrédito_y_seguros_adaptados_a_los_pequeños_agricultores</t>
  </si>
  <si>
    <t>BA445-03_Campañas_de_concientización,_talleres,_sesiones_de_capacitación_en_las_escuelas_para_educar_a_los_estudiantes_(grupos_vulnerables_y_subrepresentados)_sobre_las_causas_del_cambio_climático,_los_impactos,_las_estrategias_de_afrontamiento_y_cómo_prevenir_o_minimizar_las_pérdidas,_proteger_el_medio_ambiente_del_impacto_de_los_peligros_naturales:_a_través_de_días_de_concientización,_concursos_de_carteles_y_debates,_etc.</t>
  </si>
  <si>
    <t>BB475-01_Campañas_de_concienciación_ambiental_dirigidas_por_niños,_jóvenes_y_la_comunidad_sobre_responsabilidad_compartida,_cambio_de_sistemas_para_acciones_sostenibles_y_prácticas_sostenibles.</t>
  </si>
  <si>
    <t>BC491-01_Integración_de_la_educación_en_gestión_de_riesgos_de_desastres_(mitigadores,_preparación_y_respuesta)_en_las_actividades_curriculares_escolares_(actividades_intracurriculares,_cocurriculares_y_extracurriculares):_Integración_como_la_incorporación_de_la_gestión_de_riesgos_de_desastres_en_las_materias,_el_aprendizaje_basado_en_proyectos,_el_arte,_el_teatro,_los_clubes,_los_simulacros,_la_capacitación_de_docentes_y_no_docentes,_el_plan_de_seguridad_escolar</t>
  </si>
  <si>
    <t>CA301-02_Facilitar_grupos_de_apoyo_(incluidos_padres,_maestros_y_otros)_para_abordar_el_estrés,_los_desafíos_de_la_crianza_y_la_resiliencia_emocional_(P2.2.2)</t>
  </si>
  <si>
    <t>AA501-13_CBCPM_y_planificación_de_acciones</t>
  </si>
  <si>
    <t>MA332-01_Programas_de_generación_de_ingresos_(medios_de_vida)_desarrollados_para_incluir_manejo_del_estrés,_apoyo_grupal_y_educación_psicosocial_básica_para_cuidadores</t>
  </si>
  <si>
    <t>YA243-03_Eventos_comunitarios_de_recaudación_de_fondos_para_apoyar_iniciativas_lideradas_por_jóvenes</t>
  </si>
  <si>
    <t>RB</t>
  </si>
  <si>
    <t>50303-Mano_obra_personal_no_regular</t>
  </si>
  <si>
    <t>Asistencia técnica</t>
  </si>
  <si>
    <t>SEP</t>
  </si>
  <si>
    <t>Lider-Prog-Medios Vida</t>
  </si>
  <si>
    <t>Consultoria</t>
  </si>
  <si>
    <t>Eduardo Hernandez Servellon - Oficial Administrativo y RRHH</t>
  </si>
  <si>
    <t>Patricia Carolina Vásquez Martínez - Contador General</t>
  </si>
  <si>
    <t>0809-1985-00011</t>
  </si>
  <si>
    <t>DA204-02_Sesiones_de_capacitación_centradas_en_el_padre_para_cuidadores_varones_de_niños_de_0_a_5_años_sobre_el_cuidado,_el_vínculo_y_el_desarrollo_infantil.</t>
  </si>
  <si>
    <t>UB174-04_Campañas_de_sensibilización_para_promover_la_educación_inclusiva</t>
  </si>
  <si>
    <t>UC181-02_Talleres_para_adolescentes_y_jóvenes_sobre_autoconciencia/reflexión,_regulación_emocional_y_establecimiento_de_metas.</t>
  </si>
  <si>
    <t>RB311-02_Facilitación_de_clubes,_campañas_y_actividades_de_promoción_dirigidos_por_jóvenes_que_promuevan_la_equidad_de_género_y_la_concienciación_sobre_el_trabajo_infantil_y_la_prevención_de_la_violencia_de_género.</t>
  </si>
  <si>
    <t>RC314-01_Facilitación_de_la_coordinación_y_colaboración_intersectoriales_entre_los_sistemas_de_salud,_educación,_justicia_y_protección_infantil_para_prevenir_y_abordar_eficazmente_las_prácticas_nocivas</t>
  </si>
  <si>
    <t>RD311-02_Voluntarios_y_líderes_capacitados_sobre_los_derechos_del_niño_para_mejorar_su_capacidad_de_promover_un_liderazgo_responsable_y_proteger_el_bienestar_de_los_niños_dentro_de_sus_comunidades.</t>
  </si>
  <si>
    <t>LA431-03_Asociación_con_proveedores_de_tecnología_financiera_para_implementar_productos_y_servicios_financieros_móviles_en_áreas_desatendidas</t>
  </si>
  <si>
    <t>LB553-01_Capacitación_y_alianzas_que_vinculan_a_los_jóvenes_con_las_cadenas_de_valor_de_la_agroindustria_y_la_economía_digital</t>
  </si>
  <si>
    <t>LC431-03_Capacitación_en_alfabetización_financiera_con_énfasis_en_la_presupuestación_para_la_producción_de_alimentos_y_la_nutrición_del_hogar</t>
  </si>
  <si>
    <t>BA445-04_Campañas_de_concienciación_dirigidas_por_niños_y_jóvenes_sobre_biodiversidad,_prácticas_sostenibles_de_conservación_del_agua,_restauración_de_humedales_degradados,_gestión_sostenible_de_residuos_y_soluciones_basadas_en_la_naturaleza.</t>
  </si>
  <si>
    <t>BB475-02_Intercambios_de_conocimientos_locales_e_indígenas_e_intercambios_de_conocimientos_intergeneracionales_para_fortalecer_las_soluciones_basadas_en_la_naturaleza_y_la_movilización_comunitaria_para_la_restauración_de_ecosistemas.</t>
  </si>
  <si>
    <t>BC491-02_Campañas_de_concientización,_talleres_y_sesiones_de_capacitación_en_las_escuelas_para_educar_a_los_estudiantes_(grupos_vulnerables_y_subrepresentados)_sobre_las_causas_del_cambio_climático,_los_impactos,_las_estrategias_de_afrontamiento_y_cómo_prevenir_o_minimizar_las_pérdidas,_proteger_el_medio_ambiente_del_impacto_de_los_peligros_naturales:_a_través_de_días_de_concientización,_concursos_de_carteles_y_debates,_etc.</t>
  </si>
  <si>
    <t>CA301-03_Capacitar_a_los_trabajadores_de_primera_línea_en_primeros_auxilios_psicológicos_(PAP)_y_apoyo_psicosocial_básico._(P2.1.3)</t>
  </si>
  <si>
    <t>AA501-14_Apoyo_institucional_al_gobierno_(humano_o_financiero)</t>
  </si>
  <si>
    <t>MA341-01_Protocolos_y_herramientas_de_detección_estandarizados_de_MHPSS_(por_ejemplo,_PHQ-9,_GAD-7,_WHO-5_o_SRQ-20)_desarrollados_y_utilizados_en_escuelas,_centros_de_salud_y/o_entornos_comunitarios_para_identificar_y_derivar_casos_de_salud_mental,_signos_tempranos_de_angustia,_trauma,_ansiedad,_abuso_de_sustancias_para_primeros_auxilios_psicológicos_(PFA),_asesoramiento_y/u_otros_servicios_sociales.</t>
  </si>
  <si>
    <t>YA244-01_Participación_de_los_jóvenes_en_auditorías_sociales,_periodismo_ciudadano_y/o_cuadros_de_mando_comunitarios_para_exigir_responsabilidades_a_las_instituciones</t>
  </si>
  <si>
    <t>RC</t>
  </si>
  <si>
    <t>50401-Suministros_y_Materiales</t>
  </si>
  <si>
    <t>Recolección de datos</t>
  </si>
  <si>
    <t xml:space="preserve">GFC_Fondo_Global_para_la_Niñez </t>
  </si>
  <si>
    <t>OCT</t>
  </si>
  <si>
    <t>Lider-Prog-Proteccion</t>
  </si>
  <si>
    <t>Carlos Eduardo Martínez - Oficial de MEAL</t>
  </si>
  <si>
    <t>0809-2001-00112</t>
  </si>
  <si>
    <t>DA205-01_Mensajes_de_estimulación_temprana_integrados_en_los_servicios_de_salud_infantil_y_otros_servicios_sociales.</t>
  </si>
  <si>
    <t>UB175-01_Proceso_de_reconocimiento_de_logros_estudiantiles_establecido_a_través_de_eventos_y_premios_escolares</t>
  </si>
  <si>
    <t>UC181-03_Sesiones_dirigidas_por_pares_y_clubes_juveniles_para_reforzar_las_habilidades_para_la_vida_de_adolescentes_y_jóvenes.</t>
  </si>
  <si>
    <t>RD312-01_Facilitación_de_plataformas_de_diálogo_entre_representantes_de_la_comunidad_y_actores_gubernamentales_para_desarrollar_y_monitorear_conjuntamente_políticas_de_protección_infantil,_garantizando_que_las_voces_de_la_comunidad_informen_el_diseño_de_políticas,_la_implementación_y_los_mecanismos_de_rendición_de_cuentas.</t>
  </si>
  <si>
    <t>LB554-01_Acceso_a_activos_productivos_(por_ejemplo,_herramientas,_tierras,_plataformas_digitales)_y_modelos_cooperativos.</t>
  </si>
  <si>
    <t>BA446-01_Espacios_Adaptados_a_la_Infancia_(CFS)_y_servicios_de_apoyo_social_dirigidos_por_jóvenes_para_ayudar_a_los_niños_y_jóvenes_a_afrontar_los_factores_estresantes_debido_a_la_variabilidad_climática;_salud_mental_y_apoyo_psicosocial,_protección,_asesoramiento,_servicios_médicos_y_otros_servicios_sociales.</t>
  </si>
  <si>
    <t>BB475-03_Foros_y_plataformas_inclusivos_de_gestión_del_clima_y_el_medio_ambiente,_como_clubes_escolares,_clubes_juveniles,_comités_verdes,_consejos_asesores_juveniles,_COP_(por_ejemplo,_verde,_eco-embajador,_eco-scouts)_para_la_colaboración_en_proyectos_ecológicos.</t>
  </si>
  <si>
    <t>BC491-03_Iniciativas_y_estrategias_dirigidas_por_niños_y_jóvenes,_como_simulacros_periódicos_(inundaciones,_sequías_y_olas_de_calor),_simulación_de_escenarios_de_desastres_locales_y_capacitación_de_estudiantes_y_personal_docente_y_no_docente.</t>
  </si>
  <si>
    <t>CA302-01_Capacitar_a_los_trabajadores_de_primera_línea_sobre_las_normas_y_procedimientos_de_gestión_de_casos_de_protección_infantil._(P3.1.1)</t>
  </si>
  <si>
    <t>AA511-01_Diálogos_y_consultas_sobre_políticas_entre_múltiples_partes_interesadas_facilitados</t>
  </si>
  <si>
    <t>MA342-01_Se_establecieron_puntos_focales_de_MHPSS_y_redes_de_apoyo_entre_pares_(incluidos_clubes_SEL)</t>
  </si>
  <si>
    <t>RD</t>
  </si>
  <si>
    <t>50402-Otros_suministros_y_materiales</t>
  </si>
  <si>
    <t>Discusión de focus group</t>
  </si>
  <si>
    <t>NOV</t>
  </si>
  <si>
    <t>Beyquer Odan Maldonado - Lider de Programa EV-1</t>
  </si>
  <si>
    <t>William Misael Martínez Chévez - Auxiliar Administrativo</t>
  </si>
  <si>
    <t>DA206-01__Materiales_digitales_e_impresos_culturalmente_relevantes_desarrollados_y_difundidos_para_cuidadores_sobre_atención_receptiva_a_niños_de_0_a_5_años</t>
  </si>
  <si>
    <t>UC182-01_Sesiones_de_capacitación_para_docentes_y_facilitadores_sobre_el_desarrollo_de_habilidades_para_la_vida_de_adolescentes_y_jóvenes</t>
  </si>
  <si>
    <t>RD261-01_Participación_de_niños_y_jóvenes_en_la_vida_cívica,_como_sesiones_de_planificación,_votaciones_y_otros_discursos_públicos.</t>
  </si>
  <si>
    <t>LB555-01_Ferias_y_exposiciones_empresariales_dirigidas_por_jóvenes_para_mostrar_innovaciones_y_atraer_inversiones.</t>
  </si>
  <si>
    <t>BA447-01_Intercambios_de_conocimientos_locales_e_indígenas_e_intercambios_de_conocimientos_intergeneracionales_para_fortalecer_las_soluciones_basadas_en_la_naturaleza_y_la_movilización_comunitaria_para_la_restauración_de_ecosistemas.</t>
  </si>
  <si>
    <t>BB476-01_Desarrollo_de_políticas_y_planes_sostenibles,_políticas_de_compras_y_adquisiciones_éticas_y_planes_de_acción_por_parte_de_los_socios_implementadores_locales_y_las_escuelas</t>
  </si>
  <si>
    <t>BC491-04_Iniciativas_y_estrategias_dirigidas_por_niños_y_jóvenes,_como_simulacros_periódicos_(inundaciones,_sequías_y_olas_de_calor),_simulación_de_escenarios_de_desastres_locales_y_capacitación_de_estudiantes_y_personal_docente_y_no_docente.</t>
  </si>
  <si>
    <t>CA302-02_Establecer_vías_de_derivación_y_mapeo_de_servicios_con_actores_locales_de_todos_los_sectores._(P3.1.2)</t>
  </si>
  <si>
    <t>AA511-02__Generación_y_difusión_de_evidencia_para_informar_el_desarrollo_de_políticas</t>
  </si>
  <si>
    <t>MA343-01_Se_establecen_vías_de_derivación_adaptadas_a_los_niños</t>
  </si>
  <si>
    <t>LA</t>
  </si>
  <si>
    <t>50403-Impresiones</t>
  </si>
  <si>
    <t>Reuniones de rendición de cuentas</t>
  </si>
  <si>
    <t>DIC</t>
  </si>
  <si>
    <t>Carmen Suyapa Pavón Almendarez - Oficial de Patrocinio</t>
  </si>
  <si>
    <t>0809-1992-00056</t>
  </si>
  <si>
    <t>UC182-02_Capacitación_y_tutoría_para_docentes_sobre_cómo_impartir_educación_en_habilidades_para_la_vida_a_adolescentes_y_jóvenes.</t>
  </si>
  <si>
    <t>RD261-02_Iniciativas_de_defensa_lideradas_por_jóvenes,_como_campañas,_peticiones,_protestas_pacíficas_o_presentaciones_comunitarias_en_foros_subnacionales,_nacionales_o_de_intervención.</t>
  </si>
  <si>
    <t>LB555-02_Producción_y_distribución_de_programas_o_series_de_podcasts_en_línea,_de_televisión_o_de_radio_que_presenten_historias_de_éxito_de_jóvenes_y_consejos_profesionales_prácticos.</t>
  </si>
  <si>
    <t>BA448-01_Actividades_ambientales_y_sostenibles_dirigidas_por_niños_y_jóvenes_en_la_escuela_(agua,_tierra,_gestión_de_residuos,_plantación_de_árboles,_caminatas_por_la_naturaleza,_excursiones_a_parques_locales,_viajes_de_campamento,_reservas_naturales,_centros_ambientales_y_observación_de_vida_silvestre_para_fomentar_la_conexión_con_la_naturaleza,_etc.)</t>
  </si>
  <si>
    <t>BC492-01_Establecimiento_de_foros_y_plataformas_de_RRD,_como_clubes_escolares,_clubes_juveniles,_consejos_juveniles,_comités_verdes_y_consejos_asesores_juveniles_en_escuelas_seleccionadas</t>
  </si>
  <si>
    <t>CA302-03_Examinar_y_derivar_casos_de_protección_(incluidos_los_de_localización_y_reunificación_familiar_(FTR)_(P3.1.3)</t>
  </si>
  <si>
    <t>AA511-03_Asistencia_técnica_a_organismos_gubernamentales_en_la_elaboración_e_implementación_de_políticas</t>
  </si>
  <si>
    <t>MA343-02_Reuniones_periódicas_de_coordinación_entre_las_estructuras_del_CBCP,_las_escuelas,_las_clínicas_comunitarias_y_otros_proveedores_de_servicios_sociales</t>
  </si>
  <si>
    <t>LB</t>
  </si>
  <si>
    <t>50501-Hospedaje</t>
  </si>
  <si>
    <t>Acciones de incidencia</t>
  </si>
  <si>
    <t>ENE</t>
  </si>
  <si>
    <t>Eliberth Fabricio Galileo García Martínez - Lider de Programa EV-2</t>
  </si>
  <si>
    <t>1211-1981-00305</t>
  </si>
  <si>
    <t>RD261-03_Formación_de_foros_y_redes_liderados_por_jóvenes_y_apoyo_a_sus_actividades_para_fomentar_el_compromiso_cívico_y_la_acción_colectiva.</t>
  </si>
  <si>
    <t>LB555-03_Involucrar_a_personas_influyentes,_líderes_religiosos_y_exalumnos_para_respaldar_las_trayectorias_vocacionales</t>
  </si>
  <si>
    <t>BA448-02_Iniciativas_y_estrategias_dirigidas_por_niños_y_jóvenes,_como_simulacros_periódicos_(inundaciones,_sequías_y_olas_de_calor),_simulación_de_escenarios_de_desastres_locales_y_capacitación_de_estudiantes_y_personal_docente_y_no_docente.</t>
  </si>
  <si>
    <t>BC492-02_Capacitación_para_foros_y_plataformas_escolares_sobre_causas_de_desastres,_mitigantes,_preparación,_reducción_de_riesgos_y_respuesta,_incluidos_liderazgo,_promoción_y_educación_entre_pares.</t>
  </si>
  <si>
    <t>CA302-04_Proporcionar_supervisión_y_capacitación_periódicas_a_los_trabajadores_sociales_para_garantizar_la_calidad_y_la_rendición_de_cuentas._(P3.1.4)</t>
  </si>
  <si>
    <t>AA512-01_Campañas_de_promoción_para_crear_conciencia_sobre_las_leyes_y_los_derechos</t>
  </si>
  <si>
    <t>MA343-03_Se_desarrollaron_procedimientos_operativos_estándar_interinstitucionales_para_responder_a_casos_de_abuso_con_necesidades_de_MHPSS</t>
  </si>
  <si>
    <t>LC</t>
  </si>
  <si>
    <t>50502-Alimentos</t>
  </si>
  <si>
    <t>Visitas domiciliarias</t>
  </si>
  <si>
    <t>FEM</t>
  </si>
  <si>
    <t>Lider Contabil</t>
  </si>
  <si>
    <t>0816-1975-00222</t>
  </si>
  <si>
    <t>LB421-01_Proporcionar_capital_semilla_y_kits_de_inicio_de_negocios_a_jóvenes_emprendedores.</t>
  </si>
  <si>
    <t>BA448-03_Evaluación_de_sostenibilidad_y_medio_ambiente_dirigida_por_niños_y_jóvenes_(a_través_de_encuestas_y_entrevistas)_para_recopilar_comentarios_sobre_los_riesgos_y_peligros_climáticos_en_la_comunidad_y_las_escuelas_para_crear_entornos_de_aprendizaje_sostenibles_dentro_de_la_escuela.</t>
  </si>
  <si>
    <t>BC493-01_Desarrollo_e_implementación_de_la_Gestión_del_Riesgo_de_Desastres_relacionada_con_el_clima_por_parte_de_las_escuelas_objetivo_(incluidos_los_grupos_vulnerables_y_subrepresentados)_para_la_mitigación_de_desastres,_la_preparación,_la_reducción_de_riesgos,_la_respuesta_y_los_planes_de_recuperación_pertinentes_al_contexto:_Planes_como_CB-DRR,_planes_de_respuesta_y_recuperación,_y_EPP,_incluidos_los_planes_de_DRR_para_la_comunidad,_los_adolescentes_y_los_jóvenes.</t>
  </si>
  <si>
    <t>CA303-01_Capacitar_al_personal_de_primera_línea_sobre_protocolos_seguros_de_localización_y_reunificación_familiar_(FTR)_y_estándares_de_cuidado_alternativo_(P3.2.1)</t>
  </si>
  <si>
    <t>AA512-02_Garantes_de_deberes_capacitados_en_mandatos_legales</t>
  </si>
  <si>
    <t>MA343-04_Detección_de_SMAPS_y_psicoeducación_integradas_en_los_servicios_de_los_centros_de_salud_(atención_prenatal_y_posnatal),_apoyo_a_la_subsistencia_y_otros_servicios_sociales_para_adolescentes,_padres_y_cuidadores_adultos.</t>
  </si>
  <si>
    <t>BA</t>
  </si>
  <si>
    <t>50503-Pasajes_Aereos</t>
  </si>
  <si>
    <t>Actividades WASH</t>
  </si>
  <si>
    <t>MAR</t>
  </si>
  <si>
    <t>Asist-Admin</t>
  </si>
  <si>
    <t>Junta Directiva-Accion Honduras</t>
  </si>
  <si>
    <t>Yessenia Milixa Amador - Técnico de Desarrollo Comunitario</t>
  </si>
  <si>
    <t>0809-1977-00223</t>
  </si>
  <si>
    <t>LB422-01_Capacitación_en_emprendimiento_que_abarca_la_ideación,_planificación_empresarial_y_análisis_de_mercado.</t>
  </si>
  <si>
    <t>BA451-01_Capacitación_de_voluntarios_comunitarios_en_tecnologías_de_energía_renovable_y_de_bajo_consumo_energético_(como_cocinas_de_bajo_consumo_de_combustible_y_otras_fuentes_de_energía_renovable_como_lámparas_solares,_bombas_de_agua_solares,_energía_eólica,_biogás,_energía_hidroeléctrica)_para_reducir_las_emisiones_de_gases_de_efecto_invernadero.</t>
  </si>
  <si>
    <t>BC493-02_Suministro_de_recursos_necesarios_para_la_gestión_del_riesgo_de_desastres,_como_botiquines_de_primeros_auxilios_y_suministros_de_emergencia,_a_las_escuelas_seleccionadas.</t>
  </si>
  <si>
    <t>CA303-02_Establecer_o_apoyar_mecanismos_de_coordinación_con_los_sistemas_nacionales_de_búsqueda_y_reunificación_(por_ejemplo,_el_Comité_Internacional_de_la_Cruz_Roja_(CICR),_las_autoridades_de_protección_infantil)_(P3.2.2)</t>
  </si>
  <si>
    <t>AA512-03_Se_han_establecido_o_mejorado_mecanismos_de_seguimiento_y_rendición_de_cuentas_basados_en_la_comunidad</t>
  </si>
  <si>
    <t>MA343-05_Fortalecimiento_de_la_capacidad_de_los_docentes_y_los_comités_escolares_para_reconocer_el_ausentismo_vinculado_al_estrés_psicosocial,_la_discapacidad_o_los_riesgos_de_protección_y_desarrollar_vías_de_derivación_adaptadas_a_los_niños.</t>
  </si>
  <si>
    <t>BB</t>
  </si>
  <si>
    <t>50504-Transporte</t>
  </si>
  <si>
    <t>ABR</t>
  </si>
  <si>
    <t>Tecn-Prog-Desarrollo PI</t>
  </si>
  <si>
    <t>Yimi Alexander Hernández - Técnico de Desarrollo Comunitario</t>
  </si>
  <si>
    <t>0802-2004-00095</t>
  </si>
  <si>
    <t>LB422-02_Programas_de_mentoría,_aprendizaje_e_incubación_para_nuevas_empresas_lideradas_por_jóvenes.</t>
  </si>
  <si>
    <t>BA451-02__Sesiones_de_capacitación_comunitaria_sobre_el_diseño,_la_producción_y_la_instalación/aplicación_de_tecnologías_de_energía_renovable_y_de_bajo_consumo_energético_(como_cocinas_de_bajo_consumo_de_combustible_y_otras_fuentes_de_energía_renovable_como_lámparas_solares,_bombas_de_agua_solares,_energía_eólica,_biogás_e_hidroeléctrica)_para_reducir_las_emisiones_de_gases_de_efecto_invernadero_y_promover_prácticas_energéticas_sostenibles.</t>
  </si>
  <si>
    <t>BC493-03_Asociaciones_entre_escuelas_y_comunidades_locales_para_desarrollar_e_implementar_planes_de_emergencia/gestión_de_riesgos_de_desastres_entre_escuelas_y_comunidades</t>
  </si>
  <si>
    <t>CA303-03_Identificar_y_evaluar_opciones_de_atención_alternativa_apropiadas_al_contexto_(P3.2.3)</t>
  </si>
  <si>
    <t>AA521-01_Proveedores_de_servicios_que_reciben_capacitación_y/o_coaching</t>
  </si>
  <si>
    <t>MA343-06_Sistemas_de_protección_infantil_y_mapeo_CBCP_para_identificar_a_niños_en_riesgo_o_involucrados_en_trabajo_peligroso</t>
  </si>
  <si>
    <t>BC</t>
  </si>
  <si>
    <t>50505-Otros_gastos_de_viaje</t>
  </si>
  <si>
    <t>MAY</t>
  </si>
  <si>
    <t>Tecn-Prog-Educacion</t>
  </si>
  <si>
    <t>0809-1985-00088</t>
  </si>
  <si>
    <t>LB423-01_Capacitación_y_alianzas_que_vinculan_a_los_jóvenes_con_las_cadenas_de_valor_de_la_agroindustria_y_la_economía_digital</t>
  </si>
  <si>
    <t>BA451-03_Incentivos_y/o_subsidios_para_que_los_hogares_utilicen_tecnologías/prácticas_de_energía_renovable_y_eficiente_y_sostenible_(como_cocinas_de_bajo_consumo_de_combustible_y_fuentes_de_energía_renovables_como_lámparas_solares,_bombas_de_agua_solares,_biogás,_energía_eólica_e_hidroeléctrica)_para_reducir_las_emisiones_de_gases_de_efecto_invernadero.</t>
  </si>
  <si>
    <t>BC493-04__Evaluaciones_de_riesgos_y_resiliencia_locales_basadas_en_las_escuelas_(incluida_la_infraestructura_escolar)_para_permitir_la_planificación_y_la_toma_de_decisiones_basadas_en_el_riesgo</t>
  </si>
  <si>
    <t>CA303-04_Apoyar_la_colocación_segura_y_el_seguimiento_de_los_niños_no_acompañados_y_separados_(UASC)_en_opciones_de_cuidado_alternativo_adecuadas_(P3.2.4)</t>
  </si>
  <si>
    <t>AA521-02_Se_desarrollaron_y_distribuyeron_directrices_operativas,_procedimientos_operativos_estándar_(POE)_y_conjuntos_de_herramientas</t>
  </si>
  <si>
    <t>CA</t>
  </si>
  <si>
    <t>50601-DFCs_pagados</t>
  </si>
  <si>
    <t>JUN</t>
  </si>
  <si>
    <t>Tecn-Prog-Medios Vida</t>
  </si>
  <si>
    <t>0809-1997-00031</t>
  </si>
  <si>
    <t>LB424-01_Acceso_a_activos_productivos_(por_ejemplo,_herramientas,_tierras,_plataformas_digitales)_y_modelos_cooperativos.</t>
  </si>
  <si>
    <t>BA452-01_Campañas_de_concientización_comunitaria,_talleres_y_sesiones_de_capacitación_sobre_prácticas_sostenibles_de_conservación_del_agua,_como_el_uso_eficiente_del_agua,_la_protección_de_las_fuentes_de_agua,_los_humedales,_la_recolección_de_agua_de_lluvia,_el_reciclaje_de_agua,_etc.</t>
  </si>
  <si>
    <t>BC494-01_Instalación_de_un_sistema_de_alerta_temprana_en_escuelas_seleccionadas_para_monitorear_la_evolución_de_desastres_(fenómenos_climáticos_y_meteorológicos_extremos)_y_proporcionar_actualizaciones_oportunas_en_todas_las_áreas_de_alto_riesgo,_alertas_meteorológicas_y_avisos_de_evacuación.</t>
  </si>
  <si>
    <t>CA241-01_Realizar_evaluaciones_participativas_con_jóvenes_utilizando_metodologías_apropiadas_para_su_edad_y_su_relevancia_cultural_para_explorar_sus_experiencias_vividas,_las_barreras_que_les_impiden_el_bienestar_y_sus_mecanismos_de_afrontamiento_existentes._(YA1.1.1)</t>
  </si>
  <si>
    <t>AA522-01_Desarrollo_de_sistemas_de_datos_digitales_y_comunitarios</t>
  </si>
  <si>
    <t>AA</t>
  </si>
  <si>
    <t>50602-Proyectos_comunitarios</t>
  </si>
  <si>
    <t>JUL-SEP</t>
  </si>
  <si>
    <t>Tecnico Patrocinio</t>
  </si>
  <si>
    <t>Goel Garcia Alvarado - Técnico de Desarrollo Comunitario</t>
  </si>
  <si>
    <t>0804-1992-00084</t>
  </si>
  <si>
    <t>LB425-01_Ferias_y_exposiciones_empresariales_dirigidas_por_jóvenes_para_mostrar_innovaciones_y_atraer_inversiones.</t>
  </si>
  <si>
    <t>BA452-02__Esfuerzos_locales_de_conservación_para_implementar_prácticas_sostenibles_de_conservación_del_agua,_como_el_uso_eficiente_del_agua,_la_protección_de_las_fuentes_de_agua,_la_recolección_de_agua_de_lluvia,_la_purificación_de_agua_con_energía_solar,_el_reciclaje_de_agua,_etc.</t>
  </si>
  <si>
    <t>BC494-02_Diseño_y_prestación_de_servicios_de_información_climática_oportuna_y_basada_en_la_demanda,_tales_como_pronósticos_meteorológicos,_sistemas_de_alerta_temprana,_información_de_evaluación_de_riesgos_climáticos_y_conocimientos_tradicionales_para_ayudar_en_el_proceso_de_toma_de_decisiones_basado_en_riesgos.</t>
  </si>
  <si>
    <t>CA241-02_Mapear_los_activos_y_recursos_individuales_y_colectivos_de_los_jóvenes,_incluyendo_grupos_liderados_por_jóvenes_y_redes_de_apoyo_informales,_para_fundamentar_el_diseño_de_programas._(YA1.1.2)</t>
  </si>
  <si>
    <t>AA522-02_Se_implementaron_plataformas_conjuntas_de_planificación_y_coordinación_entre_sectores</t>
  </si>
  <si>
    <t>MA</t>
  </si>
  <si>
    <t>50701-Combustible</t>
  </si>
  <si>
    <t>JUL-DIC</t>
  </si>
  <si>
    <t>Nubia Lisseth Medina Munguía - Técnico de Desarrollo Comunitario</t>
  </si>
  <si>
    <t>0802-1985-00094</t>
  </si>
  <si>
    <t>LB426-01_Evaluación_de_mercado_e_integración_digital_para_proporcionar_información_de_mercado_en_tiempo_real_para_la_selección_y_el_desarrollo_de_empresas.</t>
  </si>
  <si>
    <t>BA452-03_Desarrollo_de_sistemas_de_agua_de_uso_múltiple_(infraestructura)_para_uso_doméstico,_producción_agrícola_y_ganadera:_aprovechamiento_de_aguas_subterráneas,_presas_de_valles,_aguas_superficiales_y_atmosféricas.</t>
  </si>
  <si>
    <t>BC495-01_Evaluación_de_sostenibilidad_y_medio_ambiente_dirigida_por_niños_y_jóvenes_(a_través_de_encuestas_y_entrevistas)_para_recopilar_comentarios_sobre_los_riesgos_y_peligros_climáticos_en_la_comunidad_y_las_escuelas_para_crear_entornos_de_aprendizaje_sostenibles_dentro_de_la_escuela.</t>
  </si>
  <si>
    <t>CA241-03_Facilitar_a_los_jóvenes_el_diseño_y_la_dirección_de_iniciativas_comunitarias_basadas_en_los_resultados_de_las_evaluaciones,_promoviendo_la_seguridad,_la_inclusión_y_las_alternativas_locales_a_los_desafíos_de_la_migración_irregular_y_la_reintegración._(YA1.1.3)</t>
  </si>
  <si>
    <t>AA522-03_Evaluaciones_institucionales_y_planificación_de_acciones_de_apoyo</t>
  </si>
  <si>
    <t>YA</t>
  </si>
  <si>
    <t>50702-Mantenimiento_de_vehículos</t>
  </si>
  <si>
    <t>JUL-MAR</t>
  </si>
  <si>
    <t>Roger Neptaly Silva Sánchez - Técnico de Desarrollo Comunitario</t>
  </si>
  <si>
    <t>0809-1984-00317</t>
  </si>
  <si>
    <t>LB431-01_Grupos_de_ahorro_y_préstamo_para_jóvenes_y_vínculos_con_instituciones_financieras_favorables_a_los_jóvenes</t>
  </si>
  <si>
    <t>BA452-04_Esfuerzos_locales_de_conservación_para_conservar_y_restaurar_humedales_degradados,_como_la_demarcación_de_humedales_mediante_el_establecimiento_de_una_zona_de_amortiguación.</t>
  </si>
  <si>
    <t>CA242-01_Impartir_talleres_estructurados_de_habilidades_para_la_vida_y_toma_de_decisiones_que_aumenten_el_conocimiento_de_los_jóvenes_sobre_los_riesgos_relacionados_con_la_migración_y_reduzcan_su_intención_de_migrar,_fomentando_la_confianza,_el_pensamiento_crítico_y_la_capacidad_de_establecer_metas._(YA1.2.1)</t>
  </si>
  <si>
    <t>AA531-01_Líderes_comunitarios,_grupos_juveniles_y_OSC_capacitados_en_incidencia_y_gobernanza</t>
  </si>
  <si>
    <t>ZA</t>
  </si>
  <si>
    <t>50703-Mantenimiento:equipos</t>
  </si>
  <si>
    <t>JUL-JUN</t>
  </si>
  <si>
    <t>Jeniffer Abigail Canales Flores - Técnico de Desarrollo Comunitario</t>
  </si>
  <si>
    <t>0611-1995-00349</t>
  </si>
  <si>
    <t>LB431-02_Talleres_de_educación_financiera_que_cubren_presupuestos,_ahorro,_crédito_y_banca_móvil.</t>
  </si>
  <si>
    <t>BA453-01_Campañas_de_concientización,_talleres_y_sesiones_de_capacitación_sobre_gestión_sostenible_de_residuos_para_reducir_la_generación_de_residuos,_promover_el_reciclaje_y_hacer_cumplir_la_eliminación_adecuada.</t>
  </si>
  <si>
    <t>CA242-02_Facilitar_iniciativas_de_mentoría_y_coaching_entre_pares_que_fortalezcan_la_comprensión_de_los_jóvenes_sobre_los_riesgos_migratorios_mediante_la_autorreflexión,_experiencias_compartidas_y_estrategias_prácticas_para_afrontar_los_desafíos._(YA1.2.2)</t>
  </si>
  <si>
    <t>AA531-02_Se_implementaron_cuadros_de_mando_comunitarios,_auditorías_sociales_y/o_foros_públicos</t>
  </si>
  <si>
    <t>XA</t>
  </si>
  <si>
    <t>50704-Mantenimiento:oficinas</t>
  </si>
  <si>
    <t>Francisca Baiza García - Técnico de Desarrollo Comunitario</t>
  </si>
  <si>
    <t>0804-1984-00828</t>
  </si>
  <si>
    <t>LB431-03_Asociación_con_proveedores_de_tecnología_financiera_para_implementar_productos_y_servicios_financieros_móviles_en_áreas_desatendidas</t>
  </si>
  <si>
    <t>BA453-02_Esfuerzos_locales_de_conservación_para_reducir_la_generación_de_residuos,_promover_el_reciclaje_y_garantizar_la_eliminación_adecuada</t>
  </si>
  <si>
    <t>CA242-03_Apoyar_la_planificación_e_implementación,_impulsadas_por_jóvenes,_de_acciones_comunitarias_que_fomenten_el_liderazgo_y_refuercen_la_toma_de_decisiones_informada_sobre_las_opciones_migratorias._(YA1.2.3)</t>
  </si>
  <si>
    <t>AA531-03__Se_formaron_e_implementaron_plataformas_comunitarias_inclusivas</t>
  </si>
  <si>
    <t>MA_Monitoreo_y_soporte_técnico_del_programa</t>
  </si>
  <si>
    <t>50705-Alquileres-arrendamiento</t>
  </si>
  <si>
    <t>Alex Omar Alvarado A - Técnico de Desarrollo Comunitario</t>
  </si>
  <si>
    <t>0804-2000-00305</t>
  </si>
  <si>
    <t>LB432-01_Abogar_por_cuotas_de_jóvenes_en_los_organismos_de_formulación_de_políticas_agrícolas_y_las_cooperativas_de_agricultores.</t>
  </si>
  <si>
    <t>BA454-01_Campañas_de_concientización,_talleres_y_sesiones_de_capacitación_sobre_soluciones_basadas_en_la_naturaleza,_como_la_conservación,_gestión_y_restauración_de_bosques,_manglares,_turberas_y_ecosistemas_con_alto_contenido_de_carbono.</t>
  </si>
  <si>
    <t>CA421-01_Impartir_educación_y_formación_técnica_y_profesional_(EFTP)_y_aprendizajes_vinculados_a_la_demanda_del_mercado_(por_ejemplo,_energía_limpia,_tecnología_agrícola,_servicios_digitales)_(YA2.1.1)</t>
  </si>
  <si>
    <t>AA532-01__Niños_y_jóvenes_capacitados_en_liderazgo_y_defensa_de_derechos</t>
  </si>
  <si>
    <t>50706-Cargos_bancarios_y_otros_serv</t>
  </si>
  <si>
    <t>Alex Francisco Castillo - Técnico de Desarrollo Comunitario</t>
  </si>
  <si>
    <t>0801-1992-16893</t>
  </si>
  <si>
    <t>LB432-02_Trabajar_con_los_gobiernos_locales_para_asignar_tierras_y_líneas_presupuestarias_específicamente_para_iniciativas_agrícolas_juveniles.</t>
  </si>
  <si>
    <t>BA454-02_Actividades_locales_de_conservación,_gestión_y_restauración_de_ecosistemas_con_alto_contenido_de_carbono,_como_bosques_y_manglares,_mediante_la_plantación_de_árboles,_incluida_la_regeneración_a_partir_de_tocones_de_árboles_vivos_y_plántulas_silvestres.</t>
  </si>
  <si>
    <t>CA421-02_Proporcionar_kits_de_inicio_o_financiación_inicial_para_iniciativas_de_generación_de_ingresos_lideradas_por_jóvenes_(YA2.1.2)</t>
  </si>
  <si>
    <t>AA532-02_Campañas,_foros_y_plataformas_de_participación_digital_lideradas_por_jóvenes</t>
  </si>
  <si>
    <t>50707-Seguros</t>
  </si>
  <si>
    <t>Red de MPBC</t>
  </si>
  <si>
    <t>Nancy Nicol Sevilla M - Técnico de Desarrollo Comunitario</t>
  </si>
  <si>
    <t>0802-1999-00032</t>
  </si>
  <si>
    <t>LB432-03_Brindar_acceso_a_crédito,_subsidios_y_equipos_agrícolas_para_emprendimientos_agrícolas_liderados_por_jóvenes.</t>
  </si>
  <si>
    <t>BA454-03_Intercambios_de_conocimientos_locales_e_indígenas_e_intercambios_de_conocimientos_intergeneracionales_para_fortalecer_las_soluciones_basadas_en_la_naturaleza_y_la_movilización_comunitaria_para_la_restauración_de_ecosistemas.</t>
  </si>
  <si>
    <t>CA421-03_Educación_sobre_técnicas_de_adaptación_climática,_en_particular_en_entornos_agrícolas_(YA2.1.3)</t>
  </si>
  <si>
    <t>AA532-03_Diálogos_intergeneracionales_y_programas_de_mentoría</t>
  </si>
  <si>
    <t>50708-Telefono_e_internet</t>
  </si>
  <si>
    <t>Jhony Alfredo Amador - Técnico de Desarrollo Comunitario</t>
  </si>
  <si>
    <t>LB432-04_Facilitar_modelos_de_agricultura_grupal,_reduciendo_las_barreras_de_propiedad_de_la_tierra_y_los_riesgos_operativos</t>
  </si>
  <si>
    <t>BA455-01_Suministro_de_variedades_de_cultivos_adaptables_y_productivos_al_clima_a_las_familias_agrícolas,_incluidos_híbridos_propensos_a_sequías_e_inundaciones</t>
  </si>
  <si>
    <t>CA422-01_Realizar_un_mapeo_del_mercado_y_de_las_competencias_para_identificar_oportunidades_de_empleo_basadas_en_la_demanda_y_evaluar_las_capacidades_individuales_de_los_jóvenes,_incluyendo_las_habilidades_técnicas,_digitales_y_blandas,_para_fundamentar_rutas_de_subsistencia_personalizadas._(YA2.2.1)</t>
  </si>
  <si>
    <t>50709-Correo_y_fletes</t>
  </si>
  <si>
    <t>Norma Waleska Hernandez - Técnico de Desarrollo Comunitario</t>
  </si>
  <si>
    <t>0809-1995-00445</t>
  </si>
  <si>
    <t>BA456-01_Campañas_de_concienciación_ambiental_dirigidas_por_niños,_jóvenes_y_la_comunidad_sobre_responsabilidad_compartida,_cambio_de_sistemas_para_acciones_sostenibles_y_prácticas_sostenibles.</t>
  </si>
  <si>
    <t>CA422-02_Facilitar_la_interacción_con_empresas_locales_para_la_tutoría_y_la_experiencia_laboral_(YA2.2.2)</t>
  </si>
  <si>
    <t>50710-Servicios_Basicos</t>
  </si>
  <si>
    <t>Osterly Samir Vásquez  - Técnico de Desarrollo Comunitario</t>
  </si>
  <si>
    <t>0815-1999-00266</t>
  </si>
  <si>
    <t>BA456-02_Campañas_de_educación_y_concientización_comunitaria_sobre_infraestructura_resiliente_para_proteger_a_los_hogares_de_eventos_climáticos_y_meteorológicos_extremos_(por_ejemplo,_viviendas_resistentes_a_inundaciones_y_sequías_o_a_prueba_del_clima).</t>
  </si>
  <si>
    <t>CA422-03_Facilitar_grupos_de_ahorro_para_jóvenes_y_conectarlos_con_servicios_financieros_adaptados_a_sus_necesidades_(YA2.2.3)</t>
  </si>
  <si>
    <t>50711-Gastos_varios</t>
  </si>
  <si>
    <t>Eliberth Fabricio Galileo García Martínez - Especialista en soluciones tecnologicas y recursos digitales</t>
  </si>
  <si>
    <t>0809-1998-00030</t>
  </si>
  <si>
    <t>BA456-03_Foros_y_plataformas_inclusivos_de_gestión_del_clima_y_el_medio_ambiente,_como_clubes_escolares,_clubes_juveniles,_comités_verdes,_consejos_asesores_juveniles,_COP_(por_ejemplo,_verde,_eco-embajador,_eco-scouts)_para_la_colaboración_en_proyectos_ecológicos.</t>
  </si>
  <si>
    <t>CA111-01_Realizar_una_evaluación_de_necesidades_y_acceso_para_determinar_las_ubicaciones,_la_frecuencia_y_el_alcance_óptimos_de_la_prestación_de_servicios_de_salud_móviles_(H1.1.1)</t>
  </si>
  <si>
    <t>50901-Equipamiento</t>
  </si>
  <si>
    <t>Jennifer Sabrina Romero Martínez - Especialista en Protección e Incidencia</t>
  </si>
  <si>
    <t>0809-1992-00487</t>
  </si>
  <si>
    <t>BA457-01_Desarrollo_de_políticas_y_planes_sostenibles,_políticas_de_compras_y_adquisiciones_éticas_y_planes_de_acción_por_parte_de_los_socios_implementadores_locales_y_las_escuelas</t>
  </si>
  <si>
    <t>CA111-02_Adquirir,_personalizar_y_equipar_unidades_móviles_de_salud_con_suministros_médicos_esenciales_y_materiales_sensibles_a_las_cuestiones_de_género_y_a_los_jóvenes_(H1.1.2)</t>
  </si>
  <si>
    <t>50902-Muebles_y_accesorios</t>
  </si>
  <si>
    <t>BA461-01_Integración_del_cambio_climático_y_la_educación_ambiental_en_los_programas_escolares,_incluidas_actividades_intracurriculares,_cocurriculares_y_extracurriculares_como_educación_climática_y_ambiental_en_las_asignaturas,_orientación_profesional_sobre_oportunidades_agrícolas,_proyectos_de_ecoarte_y_actividades_sostenibles_como_el_reciclaje_y_la_conservación_de_la_energía,_ecoescuelas_y_plan_de_estudios_de_restauración_de_ecosistemas_para_jóvenes.</t>
  </si>
  <si>
    <t>CA111-03_Establecer_puntos_de_prestación_de_servicios_móviles_o_en_refugios_en_colaboración_con_socios_locales_(H1.1.3)</t>
  </si>
  <si>
    <t>50903-Procesamiento_datos_y_software</t>
  </si>
  <si>
    <t>BA461-02_Iniciativas_y_estrategias_dirigidas_por_niños_y_jóvenes,_como_simulacros_periódicos_(inundaciones,_sequías_y_olas_de_calor),_simulación_de_escenarios_de_desastres_locales_y_capacitación_de_estudiantes_y_personal_docente_y_no_docente.</t>
  </si>
  <si>
    <t>CA111-04_Reclutar_y_desplegar_equipos_móviles_de_salud_multidisciplinarios_(H1.1.4)</t>
  </si>
  <si>
    <t>50904-Otros_activos_fijos</t>
  </si>
  <si>
    <t>BA462-01_Desarrollo_e_implementación_de_la_Gestión_del_Riesgo_de_Desastres_relacionada_con_el_clima_por_parte_de_las_escuelas_objetivo_(incluidos_los_grupos_vulnerables_y_subrepresentados)_para_la_mitigación_de_desastres,_la_preparación,_la_reducción_de_riesgos,_la_respuesta_y_los_planes_de_recuperación_pertinentes_al_contexto:_Planes_como_CB-DRR,_planes_de_respuesta_y_recuperación,_y_EPP,_incluidos_los_planes_de_DRR_para_la_comunidad,_los_adolescentes_y_los_jóvenes.</t>
  </si>
  <si>
    <t>CA112-01_Diseñar_y_difundir_materiales_de_IEC_(Información,_Educación,_Comunicación)_inclusivos_y_culturalmente_integrados_(folletos,_carteles,_mensajes_de_radio)_en_idiomas_locales_sobre_los_servicios_de_salud_disponibles_(H1.2.1)</t>
  </si>
  <si>
    <t>Beyquer Odan Maldonado - Lider Programa EV-1</t>
  </si>
  <si>
    <t>BA463-01__Establecimiento_de_una_visión_y_política_verde_(Estándar_Verde_de_la_UNESCO)_por_parte_de_las_escuelas_destinatarias.</t>
  </si>
  <si>
    <t>CA112-02_Organizar_sesiones_de_diálogo_comunitario_y_sesiones_informativas,_involucrando_a_líderes_juveniles,_cuidadores_y_proveedores_de_servicios_locales._(H1.2.2)</t>
  </si>
  <si>
    <t>Eliberth Fabricio Galileo García Martínez - Lider Programa EV-2</t>
  </si>
  <si>
    <t>BA464-01_Foros_y_plataformas_inclusivos_de_gestión_del_clima_y_el_medio_ambiente,_como_clubes_escolares,_clubes_juveniles,_comités_verdes,_consejos_asesores_juveniles,_COP_(por_ejemplo,_verde,_eco-embajador,_eco-scouts)_para_la_colaboración_en_proyectos_ecológicos.</t>
  </si>
  <si>
    <t>CA113-01_Capacitar_al_personal_de_salud_en_la_prestación_de_servicios_adaptados_a_los_niños_y_adolescentes,_incluidas_las_habilidades_de_comunicación,_la_confidencialidad_y_los_protocolos_de_protección_(H1.3.1)</t>
  </si>
  <si>
    <t>Edwing Armando Lopez Esteves - Lider Programa EV-3</t>
  </si>
  <si>
    <t>BA464-02_Becas_y_subvenciones_para_jóvenes_en_oportunidades_climáticas_y_ambientales.</t>
  </si>
  <si>
    <t>CA113-02_Mejorar_la_infraestructura_física_para_crear_entornos_de_instalaciones_de_salud_seguros,_inclusivos_y_acogedores_para_jóvenes_y_niños_(H1.3.2)</t>
  </si>
  <si>
    <t>Jennifer Sabrina Romero Martínez - Lider en Protección e Incidencia</t>
  </si>
  <si>
    <t>BA464-03_Capacitación,_talleres_y_tutoría_para_clubes_escolares,_clubes_juveniles,_comités_verdes,_consejos_asesores_juveniles,_consejos_juveniles,_plataformas_de_medios,_clubes_sobre_causas_de_desastres_relacionados_con_el_clima,_mitigantes,_preparación,_reducción_de_riesgos_y_respuesta,_incluidos_liderazgo,_defensa_y_educación_entre_pares.</t>
  </si>
  <si>
    <t>CA541-01_Realizar_una_evaluación_de_las_necesidades_de_capacidad_para_identificar_las_brechas_de_conocimientos_y_habilidades_entre_los_proveedores_de_servicios_de_salud_sobre_el_apoyo_a_los_sobrevivientes_de_la_violencia_de_género_(H2.1.1)</t>
  </si>
  <si>
    <t>BA465-01_Actividades_ambientales_y_sostenibles_dirigidas_por_niños_y_jóvenes_en_la_escuela_(agua,_tierra,_gestión_de_residuos,_plantación_de_árboles,_caminatas_por_la_naturaleza,_excursiones_a_parques_locales,_viajes_de_campamento,_reservas_naturales,_centros_ambientales_y_observación_de_vida_silvestre_para_fomentar_la_conexión_con_la_naturaleza,_etc.)</t>
  </si>
  <si>
    <t>CA541-02_Desarrollar_o_adaptar_un_programa_de_capacitación_sobre_atención_centrada_en_el_sobreviviente,_manejo_clínico_de_la_violación_y_vías_de_derivación_(H2.1.2)</t>
  </si>
  <si>
    <t>David Alonzo Ramos - Técnico Programa EV-1</t>
  </si>
  <si>
    <t>BA465-02_Evaluación_de_sostenibilidad_y_medio_ambiente_dirigida_por_niños_y_jóvenes_(a_través_de_encuestas_y_entrevistas)_para_recopilar_comentarios_sobre_los_riesgos_y_peligros_climáticos_en_la_comunidad_y_las_escuelas_para_crear_entornos_de_aprendizaje_sostenibles_dentro_de_la_escuela.</t>
  </si>
  <si>
    <t>CA541-03_Ofrecer_sesiones_de_capacitación_interactivas_basadas_en_competencias_para_los_trabajadores_de_salud_de_primera_línea_y_los_administradores_de_instalaciones_(H2.1.3)</t>
  </si>
  <si>
    <t>Jeniffer Abigail Canales Flores - Técnico Programa EV-2</t>
  </si>
  <si>
    <t>BA466-01_Incentivos_para_esfuerzos_de_conservación_local,_como_subsidios_para_productos_ecológicos_como_abono_orgánico,_productos_energéticamente_eficientes_y_recompensas_para_esfuerzos_de_conservación_locales_innovadores,_etc.</t>
  </si>
  <si>
    <t>CA542-01_Ampliar_el_acceso_a_servicios_de_violencia_de_género_(VG)_centrados_en_las_sobrevivientes_mediante_clínicas_móviles_y_equipos_de_extensión_comunitaria,_garantizando_la_confidencialidad_y_la_seguridad._(H2.2.1)</t>
  </si>
  <si>
    <t>INCID</t>
  </si>
  <si>
    <t>Goel Garcia Alvarado - Técnico Programa EV-3</t>
  </si>
  <si>
    <t>BA466-02__Evaluaciones_de_riesgos_y_resiliencia_locales_basadas_en_las_escuelas_(incluida_la_infraestructura_escolar)_para_permitir_la_planificación_y_la_toma_de_decisiones_basadas_en_el_riesgo</t>
  </si>
  <si>
    <t>CA542-02_Adquirir,_almacenar_y_reponer_periódicamente_botiquines_para_el_tratamiento_post-violación_y_otros_suministros_esenciales_en_centros_de_salud_y_unidades_móviles_específicos._(H2.2.2)</t>
  </si>
  <si>
    <t>Nubia Lisseth Medina Munguía - Técnico en Proteccion e Incidencia</t>
  </si>
  <si>
    <t>BA467-01_Instalación_de_un_sistema_de_alerta_temprana_en_escuelas_seleccionadas_para_monitorear_la_evolución_de_desastres_(fenómenos_climáticos_y_meteorológicos_extremos)_y_proporcionar_actualizaciones_oportunas_en_todas_las_áreas_de_alto_riesgo,_alertas_meteorológicas_y_avisos_de_evacuación.</t>
  </si>
  <si>
    <t>CA542-03_Modernizar_o_adaptar_la_infraestructura_física_para_crear_espacios_privados,_seguros_y_accesibles_para_los_sobrevivientes_dentro_de_los_centros_de_salud_para_la_atención_de_la_VBG_(H2.2.3)</t>
  </si>
  <si>
    <t>Yessenia Milixa Amador - Técnico en Patrocinio</t>
  </si>
  <si>
    <t>BA467-02_Diseño_y_prestación_de_servicios_de_información_climática_oportuna_y_basada_en_la_demanda,_tales_como_pronósticos_meteorológicos,_sistemas_de_alerta_temprana,_información_de_evaluación_de_riesgos_climáticos_y_conocimientos_tradicionales_para_ayudar_en_el_proceso_de_toma_de_decisiones_basado_en_riesgos.</t>
  </si>
  <si>
    <t>CA542-04_Desarrollar,_institucionalizar_y_capacitar_al_personal_sobre_procedimientos_operativos_estándar_(POE)_para_la_gestión_de_casos,_derivaciones_y_documentación_de_violencia_de_género_(VG)_(H2.2.4)</t>
  </si>
  <si>
    <t>CA161-01_Diseñar_y_ofrecer_sesiones_de_educación_no_formal_móviles_o_comunitarias_(E1.1.1)</t>
  </si>
  <si>
    <t>CA161-02_Establecer_espacios_temporales_de_aprendizaje_dentro_de_albergues_de_tránsito_o_espacios_seguros,_garantizando_horarios_flexibles_para_adaptarse_a_las_necesidades_de_movimiento_y_protección._(E1.1.2)</t>
  </si>
  <si>
    <t>CA162-01_Brindar_apoyo_de_divulgación_y_matriculación_a_niños_y_jóvenes_migrantes,_incluyendo_asistencia_con_la_documentación_y_los_procesos_de_matriculación_escolar._(E1.2.1)</t>
  </si>
  <si>
    <t>CA162-02_Implementar_clases_de_recuperación_y_de_apoyo_para_ayudar_a_los_estudiantes_a_superar_las_brechas_académicas_e_integrarse_en_grados_apropiados_para_su_edad._(E1.2.2)</t>
  </si>
  <si>
    <t>CA162-03_Capacitar_a_docentes_y_personal_escolar_sobre_prácticas_inclusivas_y_las_necesidades_y_derechos_específicos_de_los_niños_migrantes_para_reducir_el_estigma_y_mejorar_el_apoyo_en_el_aula._(E1.2.3)</t>
  </si>
  <si>
    <t>CA162-04_Facilitar_sesiones_de_participación_de_la_comunidad_y_los_cuidadores_para_crear_conciencia_sobre_la_importancia_de_la_educación_y_reducir_las_barreras_culturales_o_económicas_para_la_asistencia_(E1.2.4)</t>
  </si>
  <si>
    <t>CA191-01_Impartir_sesiones_de_Aprendizaje_Socioemocional_(ASE)_culturalmente_apropiadas,_utilizando_currículos_que_tengan_en_cuenta_la_edad_y_la_migración,_en_espacios_seguros_y_entornos_de_aprendizaje_no_formal._(E2.1.1)</t>
  </si>
  <si>
    <t>CA191-02_Utilizar_enfoques_basados_en_las_artes,_el_juego_y_las_historias_para_apoyar_la_expresión_emocional,_la_empatía_y_la_conexión_entre_pares_(E2.1.2)</t>
  </si>
  <si>
    <t>CA192-01_Impartir_capacitación_específica_para_facilitadores_y_trabajadores_de_primera_línea_sobre_enfoques_de_Aprendizaje_Socioemocional_(ASE)_culturalmente_sensibles_y_adaptados_a_las_necesidades_de_los_niños_migrantes._(E2.2.1)</t>
  </si>
  <si>
    <t>CA192-02_Establecer_vías_de_derivación_claras_y_fortalecer_la_capacidad_para_identificar_a_los_niños_que_necesitan_servicios_adicionales_de_salud_mental_o_protección_durante_la_programación_del_Aprendizaje_Socioemocional_(ASE)._(E2.2.2)</t>
  </si>
  <si>
    <t>Observación</t>
  </si>
  <si>
    <t>Justificacion</t>
  </si>
  <si>
    <t>Pendiente en tiempo</t>
  </si>
  <si>
    <t>Vencidas</t>
  </si>
  <si>
    <t>Total Estandares (Nota max. 20)</t>
  </si>
  <si>
    <t>Acuerdo de docentes</t>
  </si>
  <si>
    <t xml:space="preserve">Lineamientos de socialización dependen de Lider de E.V. </t>
  </si>
  <si>
    <t>Solicitar información de hojas de movimiento por tecnico a  oficial de patrocinio.</t>
  </si>
  <si>
    <t>Gestionar nuevas inscripciones según analisis de LM</t>
  </si>
  <si>
    <t>Gestionar nuevas salidas según analisis de LM</t>
  </si>
  <si>
    <t>Gestionar actualizaciones (RAM)  según analisis de LM</t>
  </si>
  <si>
    <t>Solicitar datos de actas entregadas a administración</t>
  </si>
  <si>
    <t>T</t>
  </si>
  <si>
    <t xml:space="preserve">Según listados hay una cantidad mayor de NN que participaron en comparación  a lo receptado en KOBO, 246 NN en listados sin diagnóstico reportado. </t>
  </si>
  <si>
    <t>Verificar agenda de reunión</t>
  </si>
  <si>
    <t>Solicitar guión a lider EV1</t>
  </si>
  <si>
    <t>El evento no reportado corresponde a actividad del mes de septiembre dirigida por lider EV1 que no se realizó.</t>
  </si>
  <si>
    <t>Listado no reportado de una base.</t>
  </si>
  <si>
    <t xml:space="preserve">Para completar esta actividad el colaborador tuvo que: Crear expendientes de nuevas inscripciones, agregar RAM a expedientes activos, completar con salida y hoja de movimiento en "departed" pasando expediente a pasivos. </t>
  </si>
  <si>
    <t>Completar proceso de entrega de correspondencia según Estándares (Welcome)</t>
  </si>
  <si>
    <t>Completar proceso de entrega de  correspondencia según Estándares (Respuesta)</t>
  </si>
  <si>
    <t>Colaborador</t>
  </si>
  <si>
    <t>Actividad</t>
  </si>
  <si>
    <t>periodo</t>
  </si>
  <si>
    <t>Progr</t>
  </si>
  <si>
    <t>Entreg</t>
  </si>
  <si>
    <t>Difer</t>
  </si>
  <si>
    <t>Nancy</t>
  </si>
  <si>
    <t>Establecer acuerdo de colaboracion entre docentes y AH</t>
  </si>
  <si>
    <t>OCT-NOV</t>
  </si>
  <si>
    <t>Francisca</t>
  </si>
  <si>
    <t>Alex Alvarado</t>
  </si>
  <si>
    <t>Alex Castillo</t>
  </si>
  <si>
    <t>Adalid</t>
  </si>
  <si>
    <t>Neptali</t>
  </si>
  <si>
    <t>Milixa</t>
  </si>
  <si>
    <t>Jennifer</t>
  </si>
  <si>
    <t>David</t>
  </si>
  <si>
    <t>Jhony</t>
  </si>
  <si>
    <t>Norma</t>
  </si>
  <si>
    <t>Goel</t>
  </si>
  <si>
    <t>Nubia</t>
  </si>
  <si>
    <t>Zamir</t>
  </si>
  <si>
    <t>Yimi</t>
  </si>
  <si>
    <t>Implementación de ficha de supervición a los C.E que implementan PEAS</t>
  </si>
  <si>
    <t>Crianza Respetuosa</t>
  </si>
  <si>
    <t>TOTALES</t>
  </si>
  <si>
    <t>Actividad no establecida en POA</t>
  </si>
  <si>
    <t>Informe cualitativo de la actividad en KOBO (no se refiere a participación de NN en actividades)</t>
  </si>
  <si>
    <t>Ferias comunitarias para promover la crianza positiva y reconocer los esfuerzos de los cuidadores de niños de 0 a 5 años.</t>
  </si>
  <si>
    <t>Sesiones de juega conmigo vinculados al plan de clases de preescolar.</t>
  </si>
  <si>
    <t>Sesiones de Estimulación Temprana en C-ADN</t>
  </si>
  <si>
    <t>Jornadas demostrativas de prácticas nutricionales, láctancia materna y alimentación complementaria.</t>
  </si>
  <si>
    <t>Implementación de ficha de supervisión a los espacios amigables que implementan la estrategia de erradicación de Castigo Físico y trato humillante.</t>
  </si>
  <si>
    <t>Presencia y participación activa para fortalecer e incidir en la ampliación de redes y comites de primera infancia en los municipios de cobertura, para el desarrollo de acciones integrales de las niñez.</t>
  </si>
  <si>
    <t>Participación en alianzas estratégicas y promoción de politicas con redes, espacios de sociedad civil e institucionales para coordinar, asesorar y establecer acciones conjuntas, priorizando los espacios de protección, prevención de violencia a niñez en línea.</t>
  </si>
  <si>
    <t>Visitas de seguimiento y tutoria a jardineras en la implementación de Juega conmigo, gestión el aula y enseñanza receptiva.</t>
  </si>
  <si>
    <t>Facilitación de materiales y recursos didácticos para la educación prebásica, en el desarrollo de la metodología de juega conmigo</t>
  </si>
  <si>
    <t>Ferias comunitarias para la Protección infantil basada en la comunidad mediante la sensibilización y el desarrollo de capacidades de niños, jóvenes, familias, líderes comunitarios, voluntarios y estructuras del CBCP sobre los derechos del niño, la protección, la gestión de casos y las vías de derivación.</t>
  </si>
  <si>
    <t>Reunión/Formación mensual a red de madres guías para desarrollar acciones con cuidadores de niños de 0 a 5 años.</t>
  </si>
  <si>
    <t>Desarrollo de talleres sobre: Aprendizaje socioemocional y conciencia colectiva de problemática  sobre violencia en línea y Ampliar la intervención con la estrategia de PEAS y Bullying en 140 centros de Basica y media con una matricula de 9102 NNAJ  alcanzando un 86% de ellos</t>
  </si>
  <si>
    <t>Equipamiento lúdico-pedagógico en Centros Educativos con el fin de fortalecerlos en materia de derechos del niño, principios de protección, gestión de casos y vías de derivación.</t>
  </si>
  <si>
    <t>Fortalecimiento de capacidades a adolescentes y jóvenes en Participación y liderazgo, habilidades para la vida y ciudadanía a través de eventos juveniles presenciales o virtuales, en centros educativos.</t>
  </si>
  <si>
    <t>Fortalecimiento de capacidades a adolescentes y jóvenes en habilidades para la vida, reducción de riesgos y desastres y proyectos educativos a través de eventos juveniles presenciales o virtuales, a nivel comunitario.</t>
  </si>
  <si>
    <t>Técnico integral</t>
  </si>
  <si>
    <t>Técnico Integral</t>
  </si>
  <si>
    <t>ENE-ABR</t>
  </si>
  <si>
    <t>Participación y vinculación con la red educativa de centros preescolares para: Firmas convenio, adaptación contextual, capacitación a jardineras.</t>
  </si>
  <si>
    <t>Ampliación de equipamiento de Hardware y Software a centros educativos, asegurando: Seguridad en Linea en C.E, EEDS, Reducción de brecha digital, Protocolos de seguridad en Linea</t>
  </si>
  <si>
    <t>Punto focal - CRECER</t>
  </si>
  <si>
    <t>Desarrollo de capacitaciones a docentes sobre: Protección de la niñez, ruta nacional de dereivación de casos, compromiso de salvaguarda.</t>
  </si>
  <si>
    <t>Punto focal - REDES</t>
  </si>
  <si>
    <t>DAVID</t>
  </si>
  <si>
    <t>JHONY</t>
  </si>
  <si>
    <t>NUBIA</t>
  </si>
  <si>
    <t>GOEL</t>
  </si>
  <si>
    <t>ZAMIR</t>
  </si>
  <si>
    <t>ALEX CASTILLO</t>
  </si>
  <si>
    <t>Programa</t>
  </si>
  <si>
    <t>CRECER</t>
  </si>
  <si>
    <t>REDES</t>
  </si>
  <si>
    <t>A</t>
  </si>
  <si>
    <t>B</t>
  </si>
  <si>
    <t>C</t>
  </si>
  <si>
    <t>D</t>
  </si>
  <si>
    <t>E</t>
  </si>
  <si>
    <t>Unidad de medida</t>
  </si>
  <si>
    <t>MPC &lt; 6</t>
  </si>
  <si>
    <t>NN &lt; 6</t>
  </si>
  <si>
    <t>EDUC-C</t>
  </si>
  <si>
    <t>EDUC-PRE</t>
  </si>
  <si>
    <t>NNAJ 6-24</t>
  </si>
  <si>
    <t>DOCENTES</t>
  </si>
  <si>
    <t>NNAJ 6-17</t>
  </si>
  <si>
    <t>AJ 18-24</t>
  </si>
  <si>
    <t>MAYO</t>
  </si>
  <si>
    <t>Seguimiento Soporte Técnico a docentes</t>
  </si>
  <si>
    <t>NEPTALI</t>
  </si>
  <si>
    <t>JENNIFER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</si>
</sst>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2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textRotation="90" wrapText="1"/>
    </xf>
    <xf numFmtId="0" fontId="1" fillId="0" borderId="3" xfId="0" applyFont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165" fontId="2" fillId="0" borderId="1" xfId="0" applyNumberFormat="1" applyFont="1" applyBorder="1" applyAlignment="1">
      <alignment horizontal="right" vertical="center" wrapText="1"/>
    </xf>
    <xf numFmtId="165" fontId="2" fillId="2" borderId="1" xfId="0" applyNumberFormat="1" applyFont="1" applyFill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" fontId="3" fillId="5" borderId="1" xfId="0" applyNumberFormat="1" applyFont="1" applyFill="1" applyBorder="1" applyAlignment="1">
      <alignment horizontal="center" vertical="center" textRotation="90" wrapText="1"/>
    </xf>
    <xf numFmtId="1" fontId="2" fillId="5" borderId="1" xfId="0" applyNumberFormat="1" applyFont="1" applyFill="1" applyBorder="1" applyAlignment="1">
      <alignment horizontal="right" vertical="center" wrapText="1"/>
    </xf>
    <xf numFmtId="0" fontId="3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1" fontId="13" fillId="3" borderId="1" xfId="0" applyNumberFormat="1" applyFont="1" applyFill="1" applyBorder="1" applyAlignment="1">
      <alignment horizontal="righ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textRotation="90" wrapText="1"/>
    </xf>
    <xf numFmtId="0" fontId="2" fillId="4" borderId="1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14" fillId="7" borderId="0" xfId="0" applyFont="1" applyFill="1"/>
    <xf numFmtId="0" fontId="13" fillId="3" borderId="6" xfId="0" applyFont="1" applyFill="1" applyBorder="1" applyAlignment="1">
      <alignment horizontal="center" vertical="center" wrapText="1"/>
    </xf>
    <xf numFmtId="2" fontId="2" fillId="5" borderId="1" xfId="0" applyNumberFormat="1" applyFont="1" applyFill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 vertical="center" wrapText="1"/>
    </xf>
    <xf numFmtId="0" fontId="10" fillId="0" borderId="0" xfId="0" applyFont="1" applyAlignment="1">
      <alignment horizontal="left" vertical="center" wrapText="1"/>
    </xf>
    <xf numFmtId="1" fontId="2" fillId="3" borderId="0" xfId="0" applyNumberFormat="1" applyFont="1" applyFill="1" applyAlignment="1">
      <alignment horizontal="right" vertical="center" wrapText="1"/>
    </xf>
    <xf numFmtId="1" fontId="13" fillId="3" borderId="0" xfId="0" applyNumberFormat="1" applyFont="1" applyFill="1" applyAlignment="1">
      <alignment horizontal="right" vertical="center" wrapText="1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 wrapText="1"/>
    </xf>
    <xf numFmtId="1" fontId="2" fillId="0" borderId="0" xfId="0" applyNumberFormat="1" applyFont="1" applyAlignment="1">
      <alignment horizontal="left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2" fillId="3" borderId="6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horizontal="center" vertical="center" wrapText="1"/>
    </xf>
    <xf numFmtId="1" fontId="2" fillId="3" borderId="4" xfId="0" applyNumberFormat="1" applyFont="1" applyFill="1" applyBorder="1" applyAlignment="1">
      <alignment horizontal="right" vertical="center" wrapText="1"/>
    </xf>
    <xf numFmtId="1" fontId="13" fillId="3" borderId="4" xfId="0" applyNumberFormat="1" applyFont="1" applyFill="1" applyBorder="1" applyAlignment="1">
      <alignment horizontal="right" vertical="center" wrapText="1"/>
    </xf>
    <xf numFmtId="0" fontId="1" fillId="0" borderId="13" xfId="0" applyFont="1" applyBorder="1" applyAlignment="1">
      <alignment horizontal="left" vertical="center" wrapText="1"/>
    </xf>
    <xf numFmtId="1" fontId="2" fillId="0" borderId="13" xfId="0" applyNumberFormat="1" applyFont="1" applyBorder="1" applyAlignment="1">
      <alignment horizontal="left" vertical="center" wrapText="1"/>
    </xf>
    <xf numFmtId="1" fontId="2" fillId="0" borderId="13" xfId="0" applyNumberFormat="1" applyFont="1" applyBorder="1" applyAlignment="1">
      <alignment horizontal="right" vertical="center" wrapText="1"/>
    </xf>
    <xf numFmtId="1" fontId="13" fillId="0" borderId="13" xfId="0" applyNumberFormat="1" applyFont="1" applyBorder="1" applyAlignment="1">
      <alignment horizontal="right" vertical="center" wrapText="1"/>
    </xf>
    <xf numFmtId="0" fontId="13" fillId="3" borderId="4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vertical="center" wrapText="1"/>
    </xf>
    <xf numFmtId="165" fontId="13" fillId="3" borderId="1" xfId="0" applyNumberFormat="1" applyFont="1" applyFill="1" applyBorder="1" applyAlignment="1">
      <alignment horizontal="right" vertical="center" wrapText="1"/>
    </xf>
    <xf numFmtId="0" fontId="13" fillId="3" borderId="1" xfId="0" applyFont="1" applyFill="1" applyBorder="1" applyAlignment="1">
      <alignment horizontal="right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right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0" fillId="4" borderId="1" xfId="0" applyFont="1" applyFill="1" applyBorder="1" applyAlignment="1">
      <alignment horizontal="right" vertical="center" wrapText="1"/>
    </xf>
    <xf numFmtId="165" fontId="10" fillId="0" borderId="1" xfId="0" applyNumberFormat="1" applyFont="1" applyBorder="1" applyAlignment="1">
      <alignment horizontal="right" vertical="center" wrapText="1"/>
    </xf>
    <xf numFmtId="165" fontId="10" fillId="2" borderId="1" xfId="0" applyNumberFormat="1" applyFont="1" applyFill="1" applyBorder="1" applyAlignment="1">
      <alignment horizontal="right" vertical="center" wrapText="1"/>
    </xf>
    <xf numFmtId="1" fontId="10" fillId="5" borderId="1" xfId="0" applyNumberFormat="1" applyFont="1" applyFill="1" applyBorder="1" applyAlignment="1">
      <alignment horizontal="right" vertical="center" wrapText="1"/>
    </xf>
    <xf numFmtId="0" fontId="10" fillId="0" borderId="1" xfId="0" applyFont="1" applyBorder="1" applyAlignment="1">
      <alignment horizontal="right" vertical="center" wrapText="1"/>
    </xf>
    <xf numFmtId="0" fontId="10" fillId="6" borderId="1" xfId="0" applyFont="1" applyFill="1" applyBorder="1" applyAlignment="1">
      <alignment horizontal="right" vertical="center" wrapText="1"/>
    </xf>
    <xf numFmtId="1" fontId="13" fillId="0" borderId="1" xfId="0" applyNumberFormat="1" applyFont="1" applyBorder="1" applyAlignment="1">
      <alignment horizontal="righ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3" xfId="0" applyFont="1" applyFill="1" applyBorder="1" applyAlignment="1">
      <alignment horizontal="left" vertical="center" wrapText="1"/>
    </xf>
    <xf numFmtId="3" fontId="0" fillId="0" borderId="0" xfId="0" applyNumberFormat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165" fontId="0" fillId="0" borderId="1" xfId="0" applyNumberFormat="1" applyBorder="1"/>
    <xf numFmtId="3" fontId="15" fillId="0" borderId="1" xfId="0" applyNumberFormat="1" applyFont="1" applyBorder="1"/>
    <xf numFmtId="0" fontId="15" fillId="0" borderId="1" xfId="0" applyFont="1" applyBorder="1"/>
    <xf numFmtId="165" fontId="15" fillId="0" borderId="1" xfId="0" applyNumberFormat="1" applyFont="1" applyBorder="1"/>
    <xf numFmtId="3" fontId="17" fillId="0" borderId="1" xfId="0" applyNumberFormat="1" applyFont="1" applyBorder="1"/>
    <xf numFmtId="0" fontId="1" fillId="8" borderId="1" xfId="0" applyFont="1" applyFill="1" applyBorder="1" applyAlignment="1">
      <alignment horizontal="center" vertical="center" wrapText="1"/>
    </xf>
    <xf numFmtId="3" fontId="1" fillId="8" borderId="1" xfId="0" applyNumberFormat="1" applyFont="1" applyFill="1" applyBorder="1" applyAlignment="1">
      <alignment horizontal="center" vertical="center" wrapText="1"/>
    </xf>
    <xf numFmtId="3" fontId="1" fillId="9" borderId="1" xfId="0" applyNumberFormat="1" applyFont="1" applyFill="1" applyBorder="1" applyAlignment="1">
      <alignment vertical="center" wrapText="1"/>
    </xf>
    <xf numFmtId="165" fontId="18" fillId="0" borderId="1" xfId="0" applyNumberFormat="1" applyFont="1" applyBorder="1" applyAlignment="1">
      <alignment horizontal="right" vertical="center"/>
    </xf>
    <xf numFmtId="0" fontId="7" fillId="9" borderId="1" xfId="0" applyFont="1" applyFill="1" applyBorder="1" applyAlignment="1">
      <alignment horizontal="center" vertical="center" wrapText="1"/>
    </xf>
    <xf numFmtId="0" fontId="19" fillId="0" borderId="1" xfId="0" applyFont="1" applyBorder="1"/>
    <xf numFmtId="0" fontId="20" fillId="0" borderId="1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8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15" fillId="0" borderId="1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7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165" fontId="13" fillId="3" borderId="4" xfId="0" applyNumberFormat="1" applyFont="1" applyFill="1" applyBorder="1" applyAlignment="1">
      <alignment horizontal="center" vertical="center" wrapText="1"/>
    </xf>
    <xf numFmtId="165" fontId="13" fillId="3" borderId="5" xfId="0" applyNumberFormat="1" applyFont="1" applyFill="1" applyBorder="1" applyAlignment="1">
      <alignment horizontal="center" vertical="center" wrapText="1"/>
    </xf>
    <xf numFmtId="165" fontId="13" fillId="3" borderId="6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76200</xdr:colOff>
      <xdr:row>0</xdr:row>
      <xdr:rowOff>63500</xdr:rowOff>
    </xdr:from>
    <xdr:to>
      <xdr:col>26</xdr:col>
      <xdr:colOff>370352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D33318A-4242-42EE-9A92-809BFC812FD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909050" y="63500"/>
          <a:ext cx="951377" cy="53397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76200</xdr:colOff>
      <xdr:row>0</xdr:row>
      <xdr:rowOff>63500</xdr:rowOff>
    </xdr:from>
    <xdr:to>
      <xdr:col>24</xdr:col>
      <xdr:colOff>310027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0DD3608-279A-4CDD-B4DA-BC4420C3740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909050" y="63500"/>
          <a:ext cx="951377" cy="53397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310028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A328EE-9238-46F3-BC45-B3695BD169F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880600" y="63500"/>
          <a:ext cx="951377" cy="533975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27</xdr:col>
      <xdr:colOff>310027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053EF1D-D4C6-418F-BC14-AD31278B612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909050" y="63500"/>
          <a:ext cx="951377" cy="533975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310028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C7FE4F9-3FED-42B9-B0BB-4650286B42E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6020" y="63500"/>
          <a:ext cx="942487" cy="522545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310028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1B2C97F-6019-4B34-89FB-6C01BA289D7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6020" y="63500"/>
          <a:ext cx="942487" cy="522545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310028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174C649-6C05-457E-8466-D927F2ADBD3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6020" y="63500"/>
          <a:ext cx="942487" cy="522545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310026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BE3A1A9-12E3-4185-8D80-71C14D8CB31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6020" y="63500"/>
          <a:ext cx="942487" cy="522545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310026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BD1FDD-4F39-42A4-92BE-D16AC0FF845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6020" y="63500"/>
          <a:ext cx="942487" cy="522545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310026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DF78FDC-C547-4835-AD21-7B9D50C0F3D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6020" y="63500"/>
          <a:ext cx="942487" cy="522545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310028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9F81199-FA62-4CDA-8F68-1F4B9337FD3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6020" y="63500"/>
          <a:ext cx="942487" cy="522545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310026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36C16CE-183E-4DCF-A157-9B0FD6C454F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6020" y="63500"/>
          <a:ext cx="942487" cy="522545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310026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AFCF94A-A528-432B-B983-BA3FD604BA2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6020" y="63500"/>
          <a:ext cx="942487" cy="522545"/>
        </a:xfrm>
        <a:prstGeom prst="rect">
          <a:avLst/>
        </a:prstGeom>
        <a:noFill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310026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1E76A58-FBF5-4334-9895-83FA37EF025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6020" y="63500"/>
          <a:ext cx="942487" cy="522545"/>
        </a:xfrm>
        <a:prstGeom prst="rect">
          <a:avLst/>
        </a:prstGeom>
        <a:noFill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310026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E76EC3-CF6A-4789-990E-53086B6E91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216650" y="63500"/>
          <a:ext cx="951376" cy="533975"/>
        </a:xfrm>
        <a:prstGeom prst="rect">
          <a:avLst/>
        </a:prstGeom>
        <a:noFill/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310026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598647E-F671-4238-B74B-86D8EE6A15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216650" y="63500"/>
          <a:ext cx="951376" cy="533975"/>
        </a:xfrm>
        <a:prstGeom prst="rect">
          <a:avLst/>
        </a:prstGeom>
        <a:noFill/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310026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229BA04-F74C-499D-99E8-946B16891B4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216650" y="63500"/>
          <a:ext cx="951376" cy="533975"/>
        </a:xfrm>
        <a:prstGeom prst="rect">
          <a:avLst/>
        </a:prstGeom>
        <a:noFill/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310026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8A7C697-9701-494B-B92C-6415C6CD2FE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216650" y="63500"/>
          <a:ext cx="951376" cy="533975"/>
        </a:xfrm>
        <a:prstGeom prst="rect">
          <a:avLst/>
        </a:prstGeom>
        <a:noFill/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310026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9ABE62-FD21-4BCD-97ED-816CC0E0CEB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216650" y="63500"/>
          <a:ext cx="951376" cy="533975"/>
        </a:xfrm>
        <a:prstGeom prst="rect">
          <a:avLst/>
        </a:prstGeom>
        <a:noFill/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27</xdr:col>
      <xdr:colOff>310027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B74969E-43E8-4B10-B059-8BB7C13D4E5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6020" y="63500"/>
          <a:ext cx="942487" cy="522545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ADAL/Desktop/ADAL%20AF-19/1.%20Planificacion%20ADAL%20AF-19/RegionalPLa_v1%20ADAL%20V-EALE.xlsx" TargetMode="External"/><Relationship Id="rId1" Type="http://schemas.openxmlformats.org/officeDocument/2006/relationships/externalLinkPath" Target="/Users/ADAL/Desktop/ADAL%20AF-19/1.%20Planificacion%20ADAL%20AF-19/RegionalPLa_v1%20ADAL%20V-EAL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ADAL/Desktop/ADAL%20AF-19/1.%20Planificacion%20ADAL%20AF-19/Ultimas%20versiones/SILOPLA%20ADAL%20AF19%20Version%20General%204%20jul%2018.xlsx" TargetMode="External"/><Relationship Id="rId1" Type="http://schemas.openxmlformats.org/officeDocument/2006/relationships/externalLinkPath" Target="/Users/ADAL/Desktop/ADAL%20AF-19/1.%20Planificacion%20ADAL%20AF-19/Ultimas%20versiones/SILOPLA%20ADAL%20AF19%20Version%20General%204%20jul%2018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ADAL/Desktop/ADAL%20AF-19/1.%20Planificacion%20ADAL%20AF-19/Version%20Aprobada%20por%20OP/ADAL%20RegionalPLa%20AF19%20NV%20para%20modificar%202.xlsx" TargetMode="External"/><Relationship Id="rId1" Type="http://schemas.openxmlformats.org/officeDocument/2006/relationships/externalLinkPath" Target="/Users/ADAL/Desktop/ADAL%20AF-19/1.%20Planificacion%20ADAL%20AF-19/Version%20Aprobada%20por%20OP/ADAL%20RegionalPLa%20AF19%20NV%20para%20modificar%20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ADAL/Downloads/RegionalPLa_v1%20ADAL%20Ni&#241;ez%20Segura%20y%20Protegida%2018%20de%20julio%202018%20VR.xlsx" TargetMode="External"/><Relationship Id="rId1" Type="http://schemas.openxmlformats.org/officeDocument/2006/relationships/externalLinkPath" Target="/Users/ADAL/Downloads/RegionalPLa_v1%20ADAL%20Ni&#241;ez%20Segura%20y%20Protegida%2018%20de%20julio%202018%20V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dmin Nombres"/>
      <sheetName val="Actividad"/>
      <sheetName val="Creciendo contigo"/>
      <sheetName val="Niñez S P"/>
      <sheetName val="PACTO"/>
      <sheetName val="Me Quiero Me Cuido"/>
      <sheetName val="Protección"/>
      <sheetName val="Gestion de Patrocinio"/>
      <sheetName val="Gestion Administrativa"/>
      <sheetName val="Resumen"/>
      <sheetName val="Guion Metodologico  (2)"/>
      <sheetName val="Tabla Gral de Datos"/>
      <sheetName val="Hoja1"/>
      <sheetName val="Guion Metodologico "/>
      <sheetName val="Planilla de Asistencia "/>
      <sheetName val="Planilla de Asistencia  Sin vin"/>
      <sheetName val="Planilla de Asistencia  Sin (2)"/>
      <sheetName val="Planilla de Asistencia  Sin (3)"/>
      <sheetName val="Planilla de Asistencia  Sin (4)"/>
      <sheetName val="Hoja5"/>
      <sheetName val="Listado Agosto 31"/>
      <sheetName val="Padres Comunitarios"/>
      <sheetName val="Lideres Comunitarios"/>
      <sheetName val="Comunidades"/>
      <sheetName val="Planilla Afiliados"/>
      <sheetName val="Planilla Padres"/>
      <sheetName val="Planilla Lideres"/>
    </sheetNames>
    <sheetDataSet>
      <sheetData sheetId="0">
        <row r="28">
          <cell r="F28" t="str">
            <v>NSI - 6 a 8 años SEXUALIDAD Y SALUD INTEGRAL</v>
          </cell>
        </row>
        <row r="29">
          <cell r="F29" t="str">
            <v>NASI - 9 a 12 años SEXUALIDAD Y SALUD INTEGRAL</v>
          </cell>
        </row>
        <row r="30">
          <cell r="F30" t="str">
            <v>AJSI - 13 a 19 años SEXUALIDAD Y SALUD INTEGRAL</v>
          </cell>
        </row>
        <row r="31">
          <cell r="F31" t="str">
            <v>CSI - Madres, padres y cuidadores primarios de NNA y jóvenes SEXUALIDAD Y SALUD INTEGRAL</v>
          </cell>
        </row>
        <row r="32">
          <cell r="F32" t="str">
            <v>PSI - Personal educativo  SEXUALIDAD Y SALUD INTEGRAL</v>
          </cell>
        </row>
        <row r="33">
          <cell r="F33" t="str">
            <v>LSI - Líderes comunitarios y voluntarios SEXUALIDAD Y SALUD INTEGRAL</v>
          </cell>
        </row>
        <row r="34">
          <cell r="F34" t="str">
            <v>NPI - 6 a 8 años PROMOCIÓN DE LA IGUALDAD DE GÉNERO</v>
          </cell>
        </row>
        <row r="35">
          <cell r="F35" t="str">
            <v>NAPI - 9 a 12 años PROMOCIÓN DE LA IGUALDAD DE GÉNERO</v>
          </cell>
        </row>
        <row r="36">
          <cell r="F36" t="str">
            <v>AJPI - 13 a 19 años PROMOCIÓN DE LA IGUALDAD DE GÉNERO</v>
          </cell>
        </row>
        <row r="37">
          <cell r="F37" t="str">
            <v>CPI - Madres, padres y cuidadores primarios de NNA y jóvenes PROMOCIÓN DE LA IGUALDAD DE GÉNERO</v>
          </cell>
        </row>
        <row r="38">
          <cell r="F38" t="str">
            <v>PPI - Personal educativo PROMOCIÓN DE LA IGUALDAD DE GÉNERO</v>
          </cell>
        </row>
        <row r="39">
          <cell r="F39" t="str">
            <v>LPI - Líderes comunitarios y voluntarios PROMOCIÓN DE LA IGUALDAD DE GÉNERO</v>
          </cell>
        </row>
        <row r="40">
          <cell r="F40" t="str">
            <v>CRRD - padre, madres y cuidadores/as de NNA y jóvenes</v>
          </cell>
        </row>
        <row r="41">
          <cell r="F41" t="str">
            <v>PRRD - personas educativo de NNA y jóvenes</v>
          </cell>
        </row>
        <row r="42">
          <cell r="F42" t="str">
            <v>LRRD - Líderes comunitarios y voluntarios</v>
          </cell>
        </row>
        <row r="43">
          <cell r="F43" t="str">
            <v>AJRRD - NNA y jóvenes de 6 a 19 años</v>
          </cell>
        </row>
        <row r="44">
          <cell r="F44" t="str">
            <v>MM - MOMENTOS MÁGICOS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8">
          <cell r="F28" t="str">
            <v xml:space="preserve">Teresa Vasquez 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8">
          <cell r="F28" t="str">
            <v>23/01/2005</v>
          </cell>
        </row>
      </sheetData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Hoja5"/>
      <sheetName val="Hoja7"/>
      <sheetName val="Hoja3"/>
      <sheetName val="Creciendo contigo"/>
      <sheetName val="Niñez S P"/>
      <sheetName val="PACTO"/>
      <sheetName val="Me Quiero Me Cuido"/>
      <sheetName val="CBCPM"/>
      <sheetName val="Hoja11"/>
      <sheetName val="Resumen"/>
      <sheetName val="Hoja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F3" t="str">
            <v>01 Ferias comunitarias para la socialización del modelo de programa</v>
          </cell>
        </row>
        <row r="4">
          <cell r="F4" t="str">
            <v>02 Aplicación de encuestas CAP inicial y final</v>
          </cell>
        </row>
        <row r="5">
          <cell r="F5" t="str">
            <v>03 Actividad de cierre de ciclo del año (certificado para participantes)</v>
          </cell>
        </row>
        <row r="6">
          <cell r="F6" t="str">
            <v>04 Capacitación y/o preparación de facilitadores en Educación integral de la sexualidad</v>
          </cell>
        </row>
        <row r="7">
          <cell r="F7" t="str">
            <v>05 Talleres para niñas y niños de Educación Integral de la Sexualidad</v>
          </cell>
        </row>
        <row r="8">
          <cell r="F8" t="str">
            <v>06 Talleres para adolescentes y jóvenes de Educación Integral de la Sexualidad</v>
          </cell>
        </row>
        <row r="9">
          <cell r="F9" t="str">
            <v>07 Talleres para jóvenes mayores de 15 años de Educación Integral de la Sexualidad</v>
          </cell>
        </row>
        <row r="10">
          <cell r="F10" t="str">
            <v>08 Talleres para madres, padres y cuidadores en educación integral de la sexualidad</v>
          </cell>
        </row>
        <row r="11">
          <cell r="F11" t="str">
            <v>09 Talleres para madres, padres y cuidadores en           habilidades parentales relacionados a la sexualidad de sus hijos e hijas</v>
          </cell>
        </row>
        <row r="12">
          <cell r="F12" t="str">
            <v xml:space="preserve">10 Talleres para personal docente en prácticas pedagógicas para la educación integral de la sexualidad </v>
          </cell>
        </row>
        <row r="13">
          <cell r="F13" t="str">
            <v>11 Taller de formación para facilitadores en igualdad de género</v>
          </cell>
        </row>
        <row r="14">
          <cell r="F14" t="str">
            <v>12 Talleres a niñas y niños en igualdad de género</v>
          </cell>
        </row>
        <row r="15">
          <cell r="F15" t="str">
            <v>13 Talleres para adolescentes y jóvenes en igualdad de género</v>
          </cell>
        </row>
        <row r="16">
          <cell r="F16" t="str">
            <v>14 Talleres para personal docente en equidad de género</v>
          </cell>
        </row>
        <row r="17">
          <cell r="F17" t="str">
            <v>15 Talleres para padres, madres y cuidadores en igualdad de género</v>
          </cell>
        </row>
        <row r="18">
          <cell r="F18" t="str">
            <v>16 Talleres a niñas, niños en habilidades para la vida que contribuye a la prevención de violencia sexual</v>
          </cell>
        </row>
        <row r="19">
          <cell r="F19" t="str">
            <v xml:space="preserve">17 Talleres para padres, madres y cuidadores en habilidades para la vida que contribuyan a la prevención de violencia sexual </v>
          </cell>
        </row>
        <row r="20">
          <cell r="F20" t="str">
            <v xml:space="preserve">18  Talleres para líderes comunitarios en educación integral de la sexualidad, igualdad de género y prevención de violencia sexual  </v>
          </cell>
        </row>
        <row r="21">
          <cell r="F21" t="str">
            <v>19  Talleres para niñas, niños, adolescentes y jóvenes en habilidades de comunicación para el desarrollo y presentación de propuestas que aborden sus derechos sexuales y reproductivos</v>
          </cell>
        </row>
        <row r="22">
          <cell r="F22" t="str">
            <v xml:space="preserve">20 Reuniones de niñas, niños, adolescentes y jóvenes para la formulación de propuestas sobre derechos sexuales y reproductivos </v>
          </cell>
        </row>
        <row r="23">
          <cell r="F23" t="str">
            <v>21  Reuniones de niñas, niños, adolescentes y jóvenes para la presentación de propuestas sobre derechos sexuales y reproductivos</v>
          </cell>
        </row>
        <row r="24">
          <cell r="F24" t="str">
            <v>22 Talleres para niñas, niños en prevención de riesgos y vulnerabilidades a su salud sexual y reproductiva e integridad en situaciones de emergencia y desastres</v>
          </cell>
        </row>
        <row r="25">
          <cell r="F25" t="str">
            <v>23 Talleres para adolescentes y jóvenes en prevención de riesgos y vulnerabilidad a su salud sexual y reproductiva e integridad en situaciones de emergencia y desastres</v>
          </cell>
        </row>
        <row r="26">
          <cell r="F26" t="str">
            <v xml:space="preserve">24 Talleres para cuidadores y líderes en prevención de riegos y vulnerabilidades en salud sexual y reproductiva e integridad en situaciones de emergencia y desastres para niñas, niños, adolescentes y jóvenes 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dmin Nombres"/>
      <sheetName val="Actividad"/>
      <sheetName val="Agenda Ago-18"/>
      <sheetName val="Tabla Gral de Datos"/>
      <sheetName val="Agenda MR-1 Ago-18"/>
      <sheetName val="Agenda MR-2 Ago-18"/>
      <sheetName val="Programado"/>
      <sheetName val="Ejecutado"/>
      <sheetName val="Ejecutado (2)"/>
      <sheetName val="POA Lepaterique"/>
      <sheetName val="POA Reitoca"/>
      <sheetName val="Resumen"/>
      <sheetName val="Ejecucion"/>
    </sheetNames>
    <sheetDataSet>
      <sheetData sheetId="0">
        <row r="1">
          <cell r="A1" t="str">
            <v>Reuniones Internas</v>
          </cell>
          <cell r="K1" t="str">
            <v>INNAJ Incritos/afiliados</v>
          </cell>
        </row>
        <row r="2">
          <cell r="A2" t="str">
            <v>Talleres de formación de formadores (ToT)</v>
          </cell>
          <cell r="K2" t="str">
            <v>Madre/Padre/cuidador Primario inscrito/afiliado</v>
          </cell>
        </row>
        <row r="3">
          <cell r="A3" t="str">
            <v>Talleres comunitarios</v>
          </cell>
          <cell r="K3" t="str">
            <v>INNAJ comunitarios registrados</v>
          </cell>
        </row>
        <row r="4">
          <cell r="A4" t="str">
            <v>Actividades en escuelas/Colegios/Centro</v>
          </cell>
          <cell r="K4" t="str">
            <v xml:space="preserve">INNAJ comunitarios </v>
          </cell>
        </row>
        <row r="5">
          <cell r="A5" t="str">
            <v>Grupos Focales</v>
          </cell>
          <cell r="K5" t="str">
            <v>Madre/padre/cuidador comunitarios registrados</v>
          </cell>
        </row>
        <row r="6">
          <cell r="A6" t="str">
            <v>Ferias comunitarias</v>
          </cell>
          <cell r="K6" t="str">
            <v xml:space="preserve">Madre/padre/cuidador comunitario </v>
          </cell>
        </row>
        <row r="7">
          <cell r="A7" t="str">
            <v xml:space="preserve">Visitas domiciliarias </v>
          </cell>
          <cell r="K7" t="str">
            <v>Madre/padre o joven guía</v>
          </cell>
        </row>
        <row r="8">
          <cell r="A8" t="str">
            <v>Campañas comunitarias</v>
          </cell>
          <cell r="K8" t="str">
            <v>Talleristas voluntarios</v>
          </cell>
        </row>
        <row r="9">
          <cell r="A9" t="str">
            <v>Campañas locales</v>
          </cell>
          <cell r="K9" t="str">
            <v>Maestra/Maestro</v>
          </cell>
        </row>
        <row r="10">
          <cell r="A10" t="str">
            <v>Campañas Nacionales</v>
          </cell>
          <cell r="K10" t="str">
            <v>Comadrona</v>
          </cell>
        </row>
        <row r="11">
          <cell r="A11" t="str">
            <v>Teatro Debate</v>
          </cell>
          <cell r="E11" t="str">
            <v>ADASBA</v>
          </cell>
          <cell r="K11" t="str">
            <v>Lideresa/ lider comunitario</v>
          </cell>
        </row>
        <row r="12">
          <cell r="A12" t="str">
            <v>Foros</v>
          </cell>
          <cell r="E12" t="str">
            <v>ADASAN</v>
          </cell>
          <cell r="K12" t="str">
            <v>Autoridad Local</v>
          </cell>
        </row>
        <row r="13">
          <cell r="A13" t="str">
            <v>Reuniones interinstitucionales</v>
          </cell>
          <cell r="E13" t="str">
            <v>ADACOZ</v>
          </cell>
          <cell r="K13" t="str">
            <v>Sociedad civil</v>
          </cell>
        </row>
        <row r="14">
          <cell r="A14" t="str">
            <v>Levantamiento de información en campo</v>
          </cell>
          <cell r="E14" t="str">
            <v>ADAL</v>
          </cell>
          <cell r="K14" t="str">
            <v>Personal socia local</v>
          </cell>
        </row>
        <row r="15">
          <cell r="A15" t="str">
            <v>Rendición de cuentas</v>
          </cell>
          <cell r="E15" t="str">
            <v>CASM</v>
          </cell>
          <cell r="K15" t="str">
            <v>N/A</v>
          </cell>
        </row>
        <row r="19">
          <cell r="K19" t="str">
            <v>Salario Personal Regular</v>
          </cell>
        </row>
        <row r="20">
          <cell r="A20" t="str">
            <v>Fondos de patrocinio de Childfund</v>
          </cell>
          <cell r="K20" t="str">
            <v>Beneficios/Prestaciones Sociales</v>
          </cell>
        </row>
        <row r="21">
          <cell r="A21" t="str">
            <v>Otros aportes de Childfund</v>
          </cell>
          <cell r="K21" t="str">
            <v>Pago a capacitadores</v>
          </cell>
        </row>
        <row r="22">
          <cell r="A22" t="str">
            <v>DFC para niños</v>
          </cell>
          <cell r="K22" t="str">
            <v>Material de capacitación</v>
          </cell>
        </row>
        <row r="23">
          <cell r="A23" t="str">
            <v>DFC para proyectos/comunidades</v>
          </cell>
          <cell r="K23" t="str">
            <v>Transporte para capacitación</v>
          </cell>
        </row>
        <row r="24">
          <cell r="A24" t="str">
            <v>Contribuciones de la comunidad-Miscelar</v>
          </cell>
          <cell r="K24" t="str">
            <v>Alimentos y hospedaje-capacitación</v>
          </cell>
        </row>
        <row r="25">
          <cell r="A25" t="str">
            <v>Constribuciones de otras fuentes</v>
          </cell>
          <cell r="K25" t="str">
            <v>Locales de capacitación</v>
          </cell>
        </row>
        <row r="26">
          <cell r="K26" t="str">
            <v>Servicios contratados</v>
          </cell>
        </row>
        <row r="27">
          <cell r="K27" t="str">
            <v>Suministros y Materiales</v>
          </cell>
        </row>
        <row r="28">
          <cell r="A28" t="str">
            <v>NS - SALUD</v>
          </cell>
          <cell r="C28" t="str">
            <v>NAA - Niñez Ambientes Amigables y Seguros</v>
          </cell>
          <cell r="E28" t="str">
            <v>APDV - Adolescentes 15 - 17</v>
          </cell>
          <cell r="F28" t="str">
            <v>NSI - 6 a 8 años SEXUALIDAD Y SALUD INTEGRAL</v>
          </cell>
          <cell r="K28" t="str">
            <v>Impresiones</v>
          </cell>
        </row>
        <row r="29">
          <cell r="A29" t="str">
            <v>ES - SALUD EMBARAZADA</v>
          </cell>
          <cell r="C29" t="str">
            <v>CAA - Cuidadores, Ambientes amigables y seguros</v>
          </cell>
          <cell r="E29" t="str">
            <v>JPDV - Jóvenes 18 - 24</v>
          </cell>
          <cell r="F29" t="str">
            <v>NASI - 9 a 12 años SEXUALIDAD Y SALUD INTEGRAL</v>
          </cell>
          <cell r="K29" t="str">
            <v>Hospedaje</v>
          </cell>
        </row>
        <row r="30">
          <cell r="A30" t="str">
            <v>NA - AUTOCUIDADO</v>
          </cell>
          <cell r="C30" t="str">
            <v>LAA - Lideres Ambientes amigables y seguros</v>
          </cell>
          <cell r="E30" t="str">
            <v>CPDV - Madres, padres y líderes comunitarios</v>
          </cell>
          <cell r="F30" t="str">
            <v>AJSI - 13 a 19 años SEXUALIDAD Y SALUD INTEGRAL</v>
          </cell>
          <cell r="K30" t="str">
            <v xml:space="preserve">Alimentos </v>
          </cell>
        </row>
        <row r="31">
          <cell r="A31" t="str">
            <v>EA - AUTOCUIDADO EMBARAZADAS</v>
          </cell>
          <cell r="C31" t="str">
            <v>CDRP - Cuidadores Docentes Relaciones positivas</v>
          </cell>
          <cell r="E31" t="str">
            <v>APL - Adolescentes 15 - 17</v>
          </cell>
          <cell r="F31" t="str">
            <v>CSI - Madres, padres y cuidadores primarios de NNA y jóvenes SEXUALIDAD Y SALUD INTEGRAL</v>
          </cell>
          <cell r="K31" t="str">
            <v>Pasajes Aéreos</v>
          </cell>
        </row>
        <row r="32">
          <cell r="A32" t="str">
            <v xml:space="preserve">NP - PROTECCIÓN </v>
          </cell>
          <cell r="C32" t="str">
            <v>CRP - Cuidadores relaciones positivas</v>
          </cell>
          <cell r="E32" t="str">
            <v>JPL - Jóvenes 18 - 24</v>
          </cell>
          <cell r="F32" t="str">
            <v>PSI - Personal educativo  SEXUALIDAD Y SALUD INTEGRAL</v>
          </cell>
          <cell r="K32" t="str">
            <v xml:space="preserve">Transporte </v>
          </cell>
        </row>
        <row r="33">
          <cell r="A33" t="str">
            <v>NN - NUTRICIÓN</v>
          </cell>
          <cell r="C33" t="str">
            <v>DRP - Docentes Relaciones positivas</v>
          </cell>
          <cell r="E33" t="str">
            <v>CPL - Madres, padres líderes y comunitarios</v>
          </cell>
          <cell r="F33" t="str">
            <v>LSI - Líderes comunitarios y voluntarios SEXUALIDAD Y SALUD INTEGRAL</v>
          </cell>
          <cell r="K33" t="str">
            <v>Otros gastos de viaje</v>
          </cell>
        </row>
        <row r="34">
          <cell r="A34" t="str">
            <v>EN - EMBARAZADA NUTRICION</v>
          </cell>
          <cell r="C34" t="str">
            <v xml:space="preserve">NARP - NA Relaciones Positivas    </v>
          </cell>
          <cell r="E34" t="str">
            <v>AE - Adolescentes 15 - 17</v>
          </cell>
          <cell r="F34" t="str">
            <v>NPI - 6 a 8 años PROMOCIÓN DE LA IGUALDAD DE GÉNERO</v>
          </cell>
          <cell r="K34" t="str">
            <v>DFCs Pagados</v>
          </cell>
        </row>
        <row r="35">
          <cell r="A35" t="str">
            <v>NPC - PROTECCIÓN CRIANZA POSITIVA</v>
          </cell>
          <cell r="C35" t="str">
            <v>LCP - Líderes comunitarios</v>
          </cell>
          <cell r="E35" t="str">
            <v>JE - Jóvenes 18 - 24</v>
          </cell>
          <cell r="F35" t="str">
            <v>NAPI - 9 a 12 años PROMOCIÓN DE LA IGUALDAD DE GÉNERO</v>
          </cell>
          <cell r="K35" t="str">
            <v>Gasolina</v>
          </cell>
        </row>
        <row r="36">
          <cell r="A36" t="str">
            <v>VPC - VARONES</v>
          </cell>
          <cell r="C36" t="str">
            <v>PRD - Personal Educativo/voluntarios comunidad</v>
          </cell>
          <cell r="E36" t="str">
            <v>CE - Madres, padres líderes y comunitarios</v>
          </cell>
          <cell r="F36" t="str">
            <v>AJPI - 13 a 19 años PROMOCIÓN DE LA IGUALDAD DE GÉNERO</v>
          </cell>
          <cell r="K36" t="str">
            <v>Mantenimiento de Vehiculo</v>
          </cell>
        </row>
        <row r="37">
          <cell r="A37" t="str">
            <v>ND - DESARROLLO</v>
          </cell>
          <cell r="C37" t="str">
            <v>CRD - Madres, padres, cuidadores</v>
          </cell>
          <cell r="E37" t="str">
            <v>AA - Adolescentes 15 - 17</v>
          </cell>
          <cell r="F37" t="str">
            <v>CPI - Madres, padres y cuidadores primarios de NNA y jóvenes PROMOCIÓN DE LA IGUALDAD DE GÉNERO</v>
          </cell>
          <cell r="K37" t="str">
            <v>Mantenimiento - Equipo</v>
          </cell>
        </row>
        <row r="38">
          <cell r="A38" t="str">
            <v>ED - DESARROLLO EMBARAZADA</v>
          </cell>
          <cell r="C38" t="str">
            <v>NRD - NNA</v>
          </cell>
          <cell r="E38" t="str">
            <v>JA - Jóvenes 18 - 24</v>
          </cell>
          <cell r="F38" t="str">
            <v>PPI - Personal educativo PROMOCIÓN DE LA IGUALDAD DE GÉNERO</v>
          </cell>
          <cell r="K38" t="str">
            <v>Mantenimiento - Oficina</v>
          </cell>
        </row>
        <row r="39">
          <cell r="A39" t="str">
            <v>RRD - RRD</v>
          </cell>
          <cell r="C39" t="str">
            <v>LRD - Líderes comunitarios</v>
          </cell>
          <cell r="E39" t="str">
            <v>CA - Madres, padres líderes comunita.</v>
          </cell>
          <cell r="F39" t="str">
            <v>LPI - Líderes comunitarios y voluntarios PROMOCIÓN DE LA IGUALDAD DE GÉNERO</v>
          </cell>
          <cell r="K39" t="str">
            <v>Alquiler</v>
          </cell>
        </row>
        <row r="40">
          <cell r="A40" t="str">
            <v>MM - MOMENTOS MÁGICOS</v>
          </cell>
          <cell r="C40" t="str">
            <v>MM - MOMENTOS MÁGICOS</v>
          </cell>
          <cell r="E40" t="str">
            <v>ARD - Adolescentes 15 - 17</v>
          </cell>
          <cell r="F40" t="str">
            <v>CRRD - padre, madres y cuidadores/as de NNA y jóvenes</v>
          </cell>
          <cell r="K40" t="str">
            <v>Cargos bancarios y otros servicios</v>
          </cell>
        </row>
        <row r="41">
          <cell r="E41" t="str">
            <v>JRD - Jóvenes 18 - 24</v>
          </cell>
          <cell r="F41" t="str">
            <v>PRRD - personas educativo de NNA y jóvenes</v>
          </cell>
          <cell r="K41" t="str">
            <v>Seguros</v>
          </cell>
        </row>
        <row r="42">
          <cell r="E42" t="str">
            <v>CRD - Madres, padres líderes y comunitarios</v>
          </cell>
          <cell r="F42" t="str">
            <v>LRRD - Líderes comunitarios y voluntarios</v>
          </cell>
          <cell r="K42" t="str">
            <v>Teléfono e internet</v>
          </cell>
        </row>
        <row r="43">
          <cell r="E43" t="str">
            <v>MM - MOMENTOS MÁGICOS</v>
          </cell>
          <cell r="F43" t="str">
            <v>AJRRD - NNA y jóvenes de 6 a 19 años</v>
          </cell>
          <cell r="K43" t="str">
            <v>Correo y fletes</v>
          </cell>
        </row>
        <row r="44">
          <cell r="F44" t="str">
            <v>MM - MOMENTOS MÁGICOS</v>
          </cell>
          <cell r="K44" t="str">
            <v>Servicios Basico (agua y luz)</v>
          </cell>
        </row>
        <row r="45">
          <cell r="K45" t="str">
            <v>Regalos en especie (materiales)</v>
          </cell>
        </row>
        <row r="46">
          <cell r="K46" t="str">
            <v>Servicio Donados/Mano de obra</v>
          </cell>
        </row>
        <row r="47">
          <cell r="K47" t="str">
            <v>Incentivos</v>
          </cell>
        </row>
        <row r="48">
          <cell r="K48" t="str">
            <v>Activos Fijos</v>
          </cell>
        </row>
      </sheetData>
      <sheetData sheetId="1">
        <row r="2">
          <cell r="C2" t="str">
            <v xml:space="preserve">Socialización del programa con las comunidades </v>
          </cell>
          <cell r="D2" t="str">
            <v>IA111-01</v>
          </cell>
        </row>
        <row r="3">
          <cell r="C3" t="str">
            <v xml:space="preserve">Conformación de grupos de madres, padres, cuidadores </v>
          </cell>
          <cell r="D3" t="str">
            <v>IA111-02</v>
          </cell>
        </row>
        <row r="4">
          <cell r="C4" t="str">
            <v>Aplicación de encuesta inicial CAP -madres, padres, cuidadores</v>
          </cell>
          <cell r="D4" t="str">
            <v>IA111-03</v>
          </cell>
        </row>
        <row r="5">
          <cell r="C5" t="str">
            <v>Aplicación de encuesta final CAP - madres, padres cuidadores</v>
          </cell>
          <cell r="D5" t="str">
            <v>IA111-04</v>
          </cell>
        </row>
        <row r="6">
          <cell r="C6" t="str">
            <v xml:space="preserve">Implementación sesiones sobre crecimiento y desarrollo de acuerdo al contenido curricular </v>
          </cell>
          <cell r="D6" t="str">
            <v>IA111-04</v>
          </cell>
        </row>
        <row r="7">
          <cell r="C7" t="str">
            <v xml:space="preserve">Aplicación de la Escala de Desarrollo </v>
          </cell>
          <cell r="D7" t="str">
            <v>IA112-01</v>
          </cell>
        </row>
        <row r="8">
          <cell r="C8" t="str">
            <v xml:space="preserve">Implementación sesiones  sobre desarrollo socioemocional y autocuidado </v>
          </cell>
          <cell r="D8" t="str">
            <v>IA121-01</v>
          </cell>
        </row>
        <row r="9">
          <cell r="C9" t="str">
            <v xml:space="preserve">Implementación de Ferias comunitarias de protección de la niñez </v>
          </cell>
          <cell r="D9" t="str">
            <v>IA211-01</v>
          </cell>
        </row>
        <row r="10">
          <cell r="C10" t="str">
            <v xml:space="preserve">Campañas informativas y de sensibilización en protección de la niñez </v>
          </cell>
          <cell r="D10" t="str">
            <v>IA212-01</v>
          </cell>
        </row>
        <row r="11">
          <cell r="C11" t="str">
            <v xml:space="preserve">Reuniones de articulación y seguimiento con Comités Comunitarios de Protección </v>
          </cell>
          <cell r="D11" t="str">
            <v>IA221-01</v>
          </cell>
        </row>
        <row r="12">
          <cell r="C12" t="str">
            <v xml:space="preserve">Participación de líderes comunitarios en espacios y redes inter-institucionales a diferentes niveles para incidir a nivel local y nacional </v>
          </cell>
          <cell r="D12" t="str">
            <v>IA221-02</v>
          </cell>
        </row>
        <row r="13">
          <cell r="C13" t="str">
            <v xml:space="preserve">Rendición de cuentas de las acciones implementadas en las comunidades </v>
          </cell>
          <cell r="D13" t="str">
            <v>IA222-01</v>
          </cell>
        </row>
        <row r="14">
          <cell r="C14" t="str">
            <v xml:space="preserve">Visitas domiciliarias </v>
          </cell>
          <cell r="D14" t="str">
            <v>IA112-02</v>
          </cell>
        </row>
        <row r="15">
          <cell r="C15" t="str">
            <v xml:space="preserve">Participación local  de organizaciones de base comunitaria articulan acciones con redes locales u otras instituciones  </v>
          </cell>
          <cell r="D15" t="str">
            <v>IA221-03</v>
          </cell>
        </row>
        <row r="16">
          <cell r="C16" t="str">
            <v>Seguimiento y monitoreo técnico Programa Creciendo Contigo</v>
          </cell>
          <cell r="D16" t="str">
            <v>IA222-02</v>
          </cell>
        </row>
        <row r="17">
          <cell r="C17" t="str">
            <v>Levantamiento de CVS,M&amp;E nivel 2 y Reportes de Progreso en campo</v>
          </cell>
          <cell r="D17" t="str">
            <v>IA222-03</v>
          </cell>
        </row>
        <row r="18">
          <cell r="C18" t="str">
            <v>Talleres de formación y/o preparación de facilitadores en módulos de crianza positiva, construcción de paz, relaciones positivas y reducción de riesgo y desastres</v>
          </cell>
          <cell r="D18" t="str">
            <v>NA111-01</v>
          </cell>
        </row>
        <row r="19">
          <cell r="C19" t="str">
            <v>Conformación de grupos de madres, padres y cuidadores</v>
          </cell>
          <cell r="D19" t="str">
            <v>NA111-03</v>
          </cell>
        </row>
        <row r="20">
          <cell r="C20" t="str">
            <v>Aplicación de encuesta inicial CAP - madres, padres, cuidadores</v>
          </cell>
          <cell r="D20" t="str">
            <v>NA111-04</v>
          </cell>
        </row>
        <row r="21">
          <cell r="C21" t="str">
            <v>Aplicación de encuesta final CAP  - madres, padres cuidadores</v>
          </cell>
          <cell r="D21" t="str">
            <v>NA111-05</v>
          </cell>
        </row>
        <row r="22">
          <cell r="C22" t="str">
            <v>Talleres para padres, madres y cuidadores de crianza positiva y autoconocimiento</v>
          </cell>
          <cell r="D22" t="str">
            <v>NA111-06</v>
          </cell>
        </row>
        <row r="23">
          <cell r="C23" t="str">
            <v>Socialización del modelo a nivel comunitario</v>
          </cell>
          <cell r="D23" t="str">
            <v>NA111-02</v>
          </cell>
        </row>
        <row r="24">
          <cell r="C24" t="str">
            <v>Talleres para padres, madres y cuidadores en relaciones positivas</v>
          </cell>
          <cell r="D24" t="str">
            <v>NA112-01</v>
          </cell>
        </row>
        <row r="25">
          <cell r="C25" t="str">
            <v xml:space="preserve">Talleres para padres, madres y cuidadores en prevención ante una emergencia </v>
          </cell>
          <cell r="D25" t="str">
            <v>NA113-01</v>
          </cell>
        </row>
        <row r="26">
          <cell r="C26" t="str">
            <v>Conformación de grupos de personal docente</v>
          </cell>
          <cell r="D26" t="str">
            <v>NA121-01</v>
          </cell>
        </row>
        <row r="27">
          <cell r="C27" t="str">
            <v>Aplicación de encuesta inicial CAP - personal docente</v>
          </cell>
          <cell r="D27" t="str">
            <v>NA121-02</v>
          </cell>
        </row>
        <row r="28">
          <cell r="C28" t="str">
            <v>Aplicación de encuesta final CAP  - personal docente</v>
          </cell>
          <cell r="D28" t="str">
            <v>NA121-03</v>
          </cell>
        </row>
        <row r="29">
          <cell r="C29" t="str">
            <v>Talleres para personal docente de ambientes de convivencia pacífica</v>
          </cell>
          <cell r="D29" t="str">
            <v>NA121-04</v>
          </cell>
        </row>
        <row r="30">
          <cell r="C30" t="str">
            <v>Talleres para personal docente en técnicas de disciplina positiva</v>
          </cell>
          <cell r="D30" t="str">
            <v>NA122-01</v>
          </cell>
        </row>
        <row r="31">
          <cell r="C31" t="str">
            <v>Talleres para personal docente en la preparación ante una emergencia</v>
          </cell>
          <cell r="D31" t="str">
            <v>NA123-01</v>
          </cell>
        </row>
        <row r="32">
          <cell r="C32" t="str">
            <v>Conformación de grupos de NNAJ</v>
          </cell>
          <cell r="D32" t="str">
            <v>NA211-01</v>
          </cell>
        </row>
        <row r="33">
          <cell r="C33" t="str">
            <v>Aplicación de encuesta inicial CAP - NNAJ</v>
          </cell>
          <cell r="D33" t="str">
            <v>NA211-02</v>
          </cell>
        </row>
        <row r="34">
          <cell r="C34" t="str">
            <v>Aplicación de encuesta final CAP - NNAJ</v>
          </cell>
          <cell r="D34" t="str">
            <v>NA211-03</v>
          </cell>
        </row>
        <row r="35">
          <cell r="C35" t="str">
            <v>Talleres para niñas, niños y adolescentes en habilidades socioemocionales y resiliencia</v>
          </cell>
          <cell r="D35" t="str">
            <v>NA211-04</v>
          </cell>
        </row>
        <row r="36">
          <cell r="C36" t="str">
            <v>Talleres para niñas, niños y adolescentes en habilidades de autoprotección para crecer sanos y seguros</v>
          </cell>
          <cell r="D36" t="str">
            <v>NA212-01</v>
          </cell>
        </row>
        <row r="37">
          <cell r="C37" t="str">
            <v>Talleres para niñas, niños y adolescentes en comunicación que permita la promoción de ambientes amigables y seguros</v>
          </cell>
          <cell r="D37" t="str">
            <v>NA221-01</v>
          </cell>
        </row>
        <row r="38">
          <cell r="C38" t="str">
            <v>Talleres para niñas, niños y adolescentes en el uso de tecnologías de la información (TICs) que promueven ambientes seguros</v>
          </cell>
          <cell r="D38" t="str">
            <v>NA222-01</v>
          </cell>
        </row>
        <row r="39">
          <cell r="C39" t="str">
            <v>Talleres para niñas, niños y adolescentes de reducción de riesgo ante una emergencia</v>
          </cell>
          <cell r="D39" t="str">
            <v>NA223-01</v>
          </cell>
        </row>
        <row r="40">
          <cell r="C40" t="str">
            <v>Talleres para líderes comunitarios en prevención de violencia hacia la niñez que permitan la construcción de paz en los entornos comunitarios</v>
          </cell>
          <cell r="D40" t="str">
            <v>NA311-01</v>
          </cell>
        </row>
        <row r="41">
          <cell r="C41" t="str">
            <v>Ferias comunitarias que vinculan mecanismos comunitarios de protección y el modelo de programa</v>
          </cell>
          <cell r="D41" t="str">
            <v>NA311-02</v>
          </cell>
        </row>
        <row r="42">
          <cell r="C42" t="str">
            <v>Talleres para líderes comunitarios de  rendición de cuentas en la comunidad que promuevan entornos seguros en la comunidad</v>
          </cell>
          <cell r="D42" t="str">
            <v>NA312-01</v>
          </cell>
        </row>
        <row r="43">
          <cell r="C43" t="str">
            <v>Campañas, asambleas comunitarias o foros promovidas por los líderes comunitarios</v>
          </cell>
          <cell r="D43" t="str">
            <v>NA312-02</v>
          </cell>
        </row>
        <row r="44">
          <cell r="C44" t="str">
            <v xml:space="preserve">Reuniones de articulación y seguimiento con Comités Comunitarios de Protección </v>
          </cell>
          <cell r="D44" t="str">
            <v>NA321-01</v>
          </cell>
        </row>
        <row r="45">
          <cell r="C45" t="str">
            <v xml:space="preserve">Participación de líderes comunitarios en espacios y redes inter-institucionales a diferentes niveles para incidir a nivel local y nacional </v>
          </cell>
          <cell r="D45" t="str">
            <v>NA321-02</v>
          </cell>
        </row>
        <row r="46">
          <cell r="C46" t="str">
            <v xml:space="preserve">Participación local  de organizaciones de base comunitaria articulan acciones con redes locales u otras instituciones  </v>
          </cell>
          <cell r="D46" t="str">
            <v>NA321-03</v>
          </cell>
        </row>
        <row r="47">
          <cell r="C47" t="str">
            <v xml:space="preserve">Rendición de cuentas de las acciones implementadas en las comunidades </v>
          </cell>
          <cell r="D47" t="str">
            <v>NA322-01</v>
          </cell>
        </row>
        <row r="48">
          <cell r="C48" t="str">
            <v>Seguimiento y monitoreo técnico Programa Niñez Segura y Protegida</v>
          </cell>
          <cell r="D48" t="str">
            <v>NA322-02</v>
          </cell>
        </row>
        <row r="49">
          <cell r="C49" t="str">
            <v>Levantamiento de CVS,M&amp;E nivel 2 y Reportes de Progreso en campo</v>
          </cell>
          <cell r="D49" t="str">
            <v>NA322-03</v>
          </cell>
        </row>
        <row r="50">
          <cell r="C50" t="str">
            <v>Socialización del programa con las comunidades</v>
          </cell>
          <cell r="D50" t="str">
            <v>JA111-01</v>
          </cell>
        </row>
        <row r="51">
          <cell r="C51" t="str">
            <v>Acciones de familiarización del equipo técnico sobre las metodologías del Modelo PACTO</v>
          </cell>
          <cell r="D51" t="str">
            <v>JA111-02</v>
          </cell>
        </row>
        <row r="52">
          <cell r="C52" t="str">
            <v>Aplicación de CAP inicial por año</v>
          </cell>
          <cell r="D52" t="str">
            <v>JA111-03</v>
          </cell>
        </row>
        <row r="53">
          <cell r="C53" t="str">
            <v xml:space="preserve">Conformación de grupos de adolescentes y jóvenes, para habilidades de liderazgo </v>
          </cell>
          <cell r="D53" t="str">
            <v>JA111-04</v>
          </cell>
        </row>
        <row r="54">
          <cell r="C54" t="str">
            <v xml:space="preserve">Implementación de sesiones formativas de habilidades liderazgo según MIC y contenido curricular detallado </v>
          </cell>
          <cell r="D54" t="str">
            <v>JA111-05</v>
          </cell>
        </row>
        <row r="55">
          <cell r="C55" t="str">
            <v>Desarrollo de propuestas comunitarias para mejorar sus entornos</v>
          </cell>
          <cell r="D55" t="str">
            <v>JA111-06</v>
          </cell>
        </row>
        <row r="56">
          <cell r="C56" t="str">
            <v xml:space="preserve">Acompañamiento a grupos de jóvenes en el desarrollo de sus proyectos comunitarios. </v>
          </cell>
          <cell r="D56" t="str">
            <v>JA111-07</v>
          </cell>
        </row>
        <row r="57">
          <cell r="C57" t="str">
            <v>Sesiones con madres y padres de familia para sensibilizarlos en el apoyo para sus hijos e hijas</v>
          </cell>
          <cell r="D57" t="str">
            <v>JA111-08</v>
          </cell>
        </row>
        <row r="58">
          <cell r="C58" t="str">
            <v>Ferias comunitarias para la promoción y sensibilización a líderes, lideresas, madres y padres en participación política de adolescentes y jóvenes</v>
          </cell>
          <cell r="D58" t="str">
            <v>JA112-01</v>
          </cell>
        </row>
        <row r="59">
          <cell r="C59" t="str">
            <v xml:space="preserve">Eventos comunitarios de intercambio entre líderes, lideresas, padres e hijos </v>
          </cell>
          <cell r="D59" t="str">
            <v>JA112-02</v>
          </cell>
        </row>
        <row r="60">
          <cell r="C60" t="str">
            <v>Implementación de sesiones formativas de formadores de pares</v>
          </cell>
          <cell r="D60" t="str">
            <v>JA113-01</v>
          </cell>
        </row>
        <row r="61">
          <cell r="C61" t="str">
            <v>Sesiones para el desarrollo de planes de gestión de riesgo</v>
          </cell>
          <cell r="D61" t="str">
            <v>JA114-01</v>
          </cell>
        </row>
        <row r="62">
          <cell r="C62" t="str">
            <v>Implementación de sesiones formativas incidencia y formación cívica</v>
          </cell>
          <cell r="D62" t="str">
            <v>JA121-01</v>
          </cell>
        </row>
        <row r="63">
          <cell r="C63" t="str">
            <v>Campañas informativas, de sensibilización e incidencia en protección de NNAJ.</v>
          </cell>
          <cell r="D63" t="str">
            <v>JA121-02</v>
          </cell>
        </row>
        <row r="64">
          <cell r="C64" t="str">
            <v>Rendición de cuentas de las acciones implementadas en las comunidades</v>
          </cell>
          <cell r="D64" t="str">
            <v>JA121-03</v>
          </cell>
        </row>
        <row r="65">
          <cell r="C65" t="str">
            <v>Reuniones de sensibilización  con madres y padres de familia</v>
          </cell>
          <cell r="D65" t="str">
            <v>JA121-04</v>
          </cell>
        </row>
        <row r="66">
          <cell r="C66" t="str">
            <v xml:space="preserve">Participación de líderes comunitarios en espacios y redes inter-institucionales a diferentes niveles para incidir a nivel local y nacional. </v>
          </cell>
          <cell r="D66" t="str">
            <v>JA121-05</v>
          </cell>
        </row>
        <row r="67">
          <cell r="C67" t="str">
            <v>Espacios y acciones para la participación juvenil</v>
          </cell>
          <cell r="D67" t="str">
            <v>JA121-06</v>
          </cell>
        </row>
        <row r="68">
          <cell r="C68" t="str">
            <v>Sesiones sobre derechos específicos de juventudes</v>
          </cell>
          <cell r="D68" t="str">
            <v>JA122-01</v>
          </cell>
        </row>
        <row r="69">
          <cell r="C69" t="str">
            <v>Acciones de acondicionamiento o equipamiento de  espacios seguros para adolescentes y jóvenes</v>
          </cell>
          <cell r="D69" t="str">
            <v>JA123-01</v>
          </cell>
        </row>
        <row r="70">
          <cell r="C70" t="str">
            <v>Seguimiento y monitoreo técnico Programa PACTO</v>
          </cell>
          <cell r="D70" t="str">
            <v>JA123-02</v>
          </cell>
        </row>
        <row r="71">
          <cell r="C71" t="str">
            <v>Levantamiento de CVS,M&amp;E nivel 2 y Reportes de Progreso en campo</v>
          </cell>
          <cell r="D71" t="str">
            <v>JA123-03</v>
          </cell>
        </row>
        <row r="72">
          <cell r="C72" t="str">
            <v>Conformación de grupos de adolescentes y jóvenes, para competencias para la vida</v>
          </cell>
          <cell r="D72" t="str">
            <v>JA211-01</v>
          </cell>
        </row>
        <row r="73">
          <cell r="C73" t="str">
            <v>Aplicación de CAP inicial por año</v>
          </cell>
          <cell r="D73" t="str">
            <v>JA211-02</v>
          </cell>
        </row>
        <row r="74">
          <cell r="C74" t="str">
            <v xml:space="preserve">Implementación de sesiones formativas de competencias para la vida según MIC y contenido curricular detallado </v>
          </cell>
          <cell r="D74" t="str">
            <v>JA211-03</v>
          </cell>
        </row>
        <row r="75">
          <cell r="C75" t="str">
            <v>Desarrollo de planes de vida</v>
          </cell>
          <cell r="D75" t="str">
            <v>JA211-04</v>
          </cell>
        </row>
        <row r="76">
          <cell r="C76" t="str">
            <v>Aplicación de CAP final por año</v>
          </cell>
          <cell r="D76" t="str">
            <v>JA211-05</v>
          </cell>
        </row>
        <row r="77">
          <cell r="C77" t="str">
            <v>Revisión de planes de vida desarrollados</v>
          </cell>
          <cell r="D77" t="str">
            <v>JA211-06</v>
          </cell>
        </row>
        <row r="78">
          <cell r="C78" t="str">
            <v xml:space="preserve">Implementación de sesiones formativas de competencias para la vida según MIC y contenido curricular detallado </v>
          </cell>
          <cell r="D78" t="str">
            <v>JA212-01</v>
          </cell>
        </row>
        <row r="79">
          <cell r="C79" t="str">
            <v xml:space="preserve">Implementación de sesiones formativas de competencias para la vida según MIC y contenido curricular detallado </v>
          </cell>
          <cell r="D79" t="str">
            <v>JA213-01</v>
          </cell>
        </row>
        <row r="80">
          <cell r="C80" t="str">
            <v>Acciones de desarrollo de productos comunicacionales (Audiovisuales, audio, tv, prensa, video, etc.)</v>
          </cell>
          <cell r="D80" t="str">
            <v>JA213-02</v>
          </cell>
        </row>
        <row r="81">
          <cell r="C81" t="str">
            <v>Implementación de sesiones formativas de derechos laborales y actividades no explotativas</v>
          </cell>
          <cell r="D81" t="str">
            <v>JA221-01</v>
          </cell>
        </row>
        <row r="82">
          <cell r="C82" t="str">
            <v>Implementación de sesiones sobre desarrollo de ideas de negocio</v>
          </cell>
          <cell r="D82" t="str">
            <v>JA222-01</v>
          </cell>
        </row>
        <row r="83">
          <cell r="C83" t="str">
            <v>Sesiones de capacitación para el desarrollo de emprendimientos desarrolladas por las alianzas con instituciones</v>
          </cell>
          <cell r="D83" t="str">
            <v>JA222-02</v>
          </cell>
        </row>
        <row r="84">
          <cell r="C84" t="str">
            <v>Sesiones de capacitación para el empleo formal</v>
          </cell>
          <cell r="D84" t="str">
            <v>JA223-01</v>
          </cell>
        </row>
        <row r="85">
          <cell r="C85" t="str">
            <v>Sesiones de capacitación técnica vocacional para adolescentes y jóvenes desarrollada por las alianzas con instituciones</v>
          </cell>
          <cell r="D85" t="str">
            <v>JA224-01</v>
          </cell>
        </row>
        <row r="86">
          <cell r="C86" t="str">
            <v>Mapeo de organizaciones especializadas para el desarrollo del comportamiento emprendedor y la empleabilidad</v>
          </cell>
          <cell r="D86" t="str">
            <v>JA225-01</v>
          </cell>
        </row>
        <row r="87">
          <cell r="C87" t="str">
            <v>Alianzas con instituciones (Iniciativa Privada, ONG  y de Gobierno) para el desarrollo de programas técnicos vocacionales</v>
          </cell>
          <cell r="D87" t="str">
            <v>JA225-02</v>
          </cell>
        </row>
        <row r="88">
          <cell r="C88" t="str">
            <v>Ferias comunitarias para la socialización del modelo de programa</v>
          </cell>
          <cell r="D88" t="str">
            <v>JB111-01</v>
          </cell>
        </row>
        <row r="89">
          <cell r="C89" t="str">
            <v>Conformación de grupos</v>
          </cell>
          <cell r="D89" t="str">
            <v>JB111-02</v>
          </cell>
        </row>
        <row r="90">
          <cell r="C90" t="str">
            <v>Aplicación de encuestas CAP inicial</v>
          </cell>
          <cell r="D90" t="str">
            <v>JB111-03</v>
          </cell>
        </row>
        <row r="91">
          <cell r="C91" t="str">
            <v>Aplicación de encuestas CAP final</v>
          </cell>
          <cell r="D91" t="str">
            <v>JB111-04</v>
          </cell>
        </row>
        <row r="92">
          <cell r="C92" t="str">
            <v>Actividad de cierre de ciclo del año (certificado para participantes</v>
          </cell>
          <cell r="D92" t="str">
            <v>JB111-05</v>
          </cell>
        </row>
        <row r="93">
          <cell r="C93" t="str">
            <v>Capacitación y/o preparación de facilitadores en Educación integral de la sexualidad</v>
          </cell>
          <cell r="D93" t="str">
            <v>JB111-06</v>
          </cell>
        </row>
        <row r="94">
          <cell r="C94" t="str">
            <v>Talleres para niñas y niños de Educación Integral de la Sexualidad</v>
          </cell>
          <cell r="D94" t="str">
            <v>JB111-07</v>
          </cell>
        </row>
        <row r="95">
          <cell r="C95" t="str">
            <v>Talleres para adolescentes y jóvenes de Educación Integral de la Sexualidad</v>
          </cell>
          <cell r="D95" t="str">
            <v>JB112-01</v>
          </cell>
        </row>
        <row r="96">
          <cell r="C96" t="str">
            <v>Talleres para jóvenes mayores de 15 años de Educación Integral de la Sexualidad</v>
          </cell>
          <cell r="D96" t="str">
            <v>JB113-01</v>
          </cell>
        </row>
        <row r="97">
          <cell r="C97" t="str">
            <v>Talleres para madres, padres y cuidadores en educación integral de la sexualidad</v>
          </cell>
          <cell r="D97" t="str">
            <v>JB121-01</v>
          </cell>
        </row>
        <row r="98">
          <cell r="C98" t="str">
            <v>Talleres para madres, padres y cuidadores en habilidades parentales relacionados a la sexualidad de sus hijos e hijas</v>
          </cell>
          <cell r="D98" t="str">
            <v>JB122-01</v>
          </cell>
        </row>
        <row r="99">
          <cell r="C99" t="str">
            <v xml:space="preserve">Talleres para personal docente en prácticas pedagógicas para la educación integral de la sexualidad </v>
          </cell>
          <cell r="D99" t="str">
            <v>JB123-01</v>
          </cell>
        </row>
        <row r="100">
          <cell r="C100" t="str">
            <v>Taller de formación para facilitadores en igualdad de género</v>
          </cell>
          <cell r="D100" t="str">
            <v>JB211-01</v>
          </cell>
        </row>
        <row r="101">
          <cell r="C101" t="str">
            <v>Talleres a niñas y niños en igualdad de género</v>
          </cell>
          <cell r="D101" t="str">
            <v>JB211-02</v>
          </cell>
        </row>
        <row r="102">
          <cell r="C102" t="str">
            <v>Talleres para adolescentes y jóvenes en igualdad de género</v>
          </cell>
          <cell r="D102" t="str">
            <v>JB212-01</v>
          </cell>
        </row>
        <row r="103">
          <cell r="C103" t="str">
            <v>Talleres para personal docente en equidad de género</v>
          </cell>
          <cell r="D103" t="str">
            <v>JB213-01</v>
          </cell>
        </row>
        <row r="104">
          <cell r="C104" t="str">
            <v>Talleres para padres, madres y cuidadores en igualdad de género</v>
          </cell>
          <cell r="D104" t="str">
            <v>JB214-01</v>
          </cell>
        </row>
        <row r="105">
          <cell r="C105" t="str">
            <v>Talleres a niñas, niños en habilidades para la vida que contribuye a la prevención de violencia sexual</v>
          </cell>
          <cell r="D105" t="str">
            <v>JB221-01</v>
          </cell>
        </row>
        <row r="106">
          <cell r="C106" t="str">
            <v xml:space="preserve">Talleres para padres, madres y cuidadores en habilidades para la vida que contribuyan a la prevención de violencia sexual </v>
          </cell>
          <cell r="D106" t="str">
            <v>JB222-01</v>
          </cell>
        </row>
        <row r="107">
          <cell r="C107" t="str">
            <v xml:space="preserve">Talleres para líderes comunitarios en educación integral de la sexualidad, igualdad de género y prevención de violencia sexual  </v>
          </cell>
          <cell r="D107" t="str">
            <v>JB223-01</v>
          </cell>
        </row>
        <row r="108">
          <cell r="C108" t="str">
            <v>Talleres para niñas, niños, adolescentes y jóvenes en habilidades de comunicación para el desarrollo y presentación de propuestas que aborden sus derechos sexuales y reproductivos</v>
          </cell>
          <cell r="D108" t="str">
            <v>JB311-01</v>
          </cell>
        </row>
        <row r="109">
          <cell r="C109" t="str">
            <v xml:space="preserve">Reuniones de niñas, niños, adolescentes y jóvenes para la formulación de propuestas sobre derechos sexuales y reproductivos </v>
          </cell>
          <cell r="D109" t="str">
            <v>JB312-01</v>
          </cell>
        </row>
        <row r="110">
          <cell r="C110" t="str">
            <v>Reuniones de niñas, niños, adolescentes y jóvenes para la presentación de propuestas sobre derechos sexuales y reproductivos</v>
          </cell>
          <cell r="D110" t="str">
            <v>JB313-01</v>
          </cell>
        </row>
        <row r="111">
          <cell r="C111" t="str">
            <v xml:space="preserve">Rendición de cuentas de las acciones implementadas en las comunidades </v>
          </cell>
          <cell r="D111" t="str">
            <v>JB313-02</v>
          </cell>
        </row>
        <row r="112">
          <cell r="C112" t="str">
            <v>Seguimiento y monitoreo técnico Programa Me quiero, me cuido</v>
          </cell>
          <cell r="D112" t="str">
            <v>JB313-03</v>
          </cell>
        </row>
        <row r="113">
          <cell r="C113" t="str">
            <v>Levantamiento de CVS,M&amp;E nivel 2 y Reportes de Progreso en campo</v>
          </cell>
          <cell r="D113" t="str">
            <v>JB313-04</v>
          </cell>
        </row>
        <row r="114">
          <cell r="C114" t="str">
            <v>Talleres para niñas, niños en prevención de riesgos y vulnerabilidades a su salud sexual y reproductiva e integridad en situaciones de emergencia y desastres</v>
          </cell>
          <cell r="D114" t="str">
            <v>JB321-01</v>
          </cell>
        </row>
        <row r="115">
          <cell r="C115" t="str">
            <v>Talleres para adolescentes y jóvenes en prevención de riesgos y vulnerabilidad a su salud sexual y reproductiva e integridad en situaciones de emergencia y desastres</v>
          </cell>
          <cell r="D115" t="str">
            <v>JB322-01</v>
          </cell>
        </row>
        <row r="116">
          <cell r="C116" t="str">
            <v xml:space="preserve">Talleres para cuidadores y líderes en prevención de riegos y vulnerabilidades en salud sexual y reproductiva e integridad en situaciones de emergencia y desastres para niñas, niños, adolescentes y jóvenes </v>
          </cell>
          <cell r="D116" t="str">
            <v>JB323-01</v>
          </cell>
        </row>
        <row r="117">
          <cell r="C117" t="str">
            <v>Capacitación de personal técnico de las socias, personas voluntarias, adolescentes y jóvenes para el desarrollo de mapeos.</v>
          </cell>
          <cell r="D117" t="str">
            <v>TA111-01</v>
          </cell>
        </row>
        <row r="118">
          <cell r="C118" t="str">
            <v>Levantamiento de información para el mapeo en las comunidades</v>
          </cell>
          <cell r="D118" t="str">
            <v>TA111-02</v>
          </cell>
        </row>
        <row r="119">
          <cell r="C119" t="str">
            <v>Análisis y sistematización de información del mapeo</v>
          </cell>
          <cell r="D119" t="str">
            <v>TA111-03</v>
          </cell>
        </row>
        <row r="120">
          <cell r="C120" t="str">
            <v>Conformación de mecanismos de protección interinstitucional de Estado y sociedad civil para el seguimiento y evaluación de políticas públicas locales  a favor de la protección de NNAJ.</v>
          </cell>
          <cell r="D120" t="str">
            <v>TA211-01</v>
          </cell>
        </row>
        <row r="121">
          <cell r="C121" t="str">
            <v>Identificación de factores de riesgo y vulnerabilidad  (naturales o antrópicos)</v>
          </cell>
          <cell r="D121" t="str">
            <v>TA311-01</v>
          </cell>
        </row>
        <row r="122">
          <cell r="C122" t="str">
            <v>Acciones de devolución y validación de mapeos en las comunidades</v>
          </cell>
          <cell r="D122" t="str">
            <v>TA112-01</v>
          </cell>
        </row>
        <row r="123">
          <cell r="C123" t="str">
            <v>Desarrollo de planes de acción a favor de la protección comunitaria</v>
          </cell>
          <cell r="D123" t="str">
            <v>TA113-01</v>
          </cell>
        </row>
        <row r="124">
          <cell r="C124" t="str">
            <v>Sesiones  de fortalecimiento de capacidades dirigidos a líderes, lideresas y otros actores que toman decisiones en el ámbito comunitario sobre el derecho a la protección frente a la violencia, factores de riesgo y factores de protección.</v>
          </cell>
          <cell r="D124" t="str">
            <v>TA121-01</v>
          </cell>
        </row>
        <row r="125">
          <cell r="C125" t="str">
            <v>Sesiones de fortalecimiento de capacidades dirigidos a líderes, lideresas y otros actores que toman decisiones en el ámbito comunitario sobre incidencia en política pública y gobernanza</v>
          </cell>
          <cell r="D125" t="str">
            <v>TA121-02</v>
          </cell>
        </row>
        <row r="126">
          <cell r="C126" t="str">
            <v>Conformación de espacios de interacción, diálogo  y propuestas por niñas, niños (NNAJ) adolescentes y jóvenes, de acuerdo a sus intereses, edades, pertenencia cultural,  entre otros factores que faciliten su interacción.</v>
          </cell>
          <cell r="D126" t="str">
            <v>TA122-01</v>
          </cell>
        </row>
        <row r="127">
          <cell r="C127" t="str">
            <v>Identificación de brechas existentes en los mecanismos formales para que estos funcionen adecuadamente.</v>
          </cell>
          <cell r="D127" t="str">
            <v>TA212-01</v>
          </cell>
        </row>
        <row r="128">
          <cell r="C128" t="str">
            <v>Eventos de socialización de brechas para la identificación de acciones conjuntas entre los mecanismos formales y las comunidades.</v>
          </cell>
          <cell r="D128" t="str">
            <v>TA221-01</v>
          </cell>
        </row>
        <row r="129">
          <cell r="C129" t="str">
            <v>Capacitación dirigida personal de los mecanismos formales según brechas identificadas</v>
          </cell>
          <cell r="D129" t="str">
            <v>TA222-01</v>
          </cell>
        </row>
        <row r="130">
          <cell r="C130" t="str">
            <v>Reuniones con integrantes del sistema de protección formal para la coordinación de acciones que favorezcan la respuesta a favor de la protección de NNAJ</v>
          </cell>
          <cell r="D130" t="str">
            <v>TA231-01</v>
          </cell>
        </row>
        <row r="131">
          <cell r="C131" t="str">
            <v>Eventos de fortalecimiento de capacidades dirigidos a jóvenes, líderes, lideresas sobre incidencia en política pública y gobernanza.</v>
          </cell>
          <cell r="D131" t="str">
            <v>TA232-01</v>
          </cell>
        </row>
        <row r="132">
          <cell r="C132" t="str">
            <v>Sesiones de acompañamiento y asesoría sobre incidencia dirigidas a integrantes de los mecanismos comunitarios de proteccion (MPBC) "</v>
          </cell>
          <cell r="D132" t="str">
            <v>TA233-01</v>
          </cell>
        </row>
        <row r="133">
          <cell r="C133" t="str">
            <v>Desarrollo de planes de prepración en emergencia con miembros de la comunidad, adolescentes y jóvenes.</v>
          </cell>
          <cell r="D133" t="str">
            <v>TA312-01</v>
          </cell>
        </row>
        <row r="134">
          <cell r="C134" t="str">
            <v>Elaboración de inventario de recursos para la prevención de riesgos y atención de emergencias (organizaciones, recursos comunitarios)</v>
          </cell>
          <cell r="D134" t="str">
            <v>TA321-01</v>
          </cell>
        </row>
        <row r="135">
          <cell r="C135" t="str">
            <v>Desarrollo de planes de mitigación y gestión de riesgos con el involucramiento de miembros de la comunidad, adolescentes y jóvenes.</v>
          </cell>
          <cell r="D135" t="str">
            <v>TA322-01</v>
          </cell>
        </row>
        <row r="136">
          <cell r="C136" t="str">
            <v>Identificación de responsabilidades en actores:  estatales, sociedad civil y  ONGs o sector privado en temas de gestión de riesgo</v>
          </cell>
          <cell r="D136" t="str">
            <v>TA323-01</v>
          </cell>
        </row>
        <row r="137">
          <cell r="C137" t="str">
            <v xml:space="preserve">Rendición de cuentas de las acciones implementadas en las comunidades </v>
          </cell>
          <cell r="D137" t="str">
            <v>TA122-02</v>
          </cell>
        </row>
        <row r="138">
          <cell r="C138" t="str">
            <v>Seguimiento y monitoreo técnico de Mecanismos Comunitarios de Protección</v>
          </cell>
          <cell r="D138" t="str">
            <v>TA122-03</v>
          </cell>
        </row>
        <row r="139">
          <cell r="C139" t="str">
            <v xml:space="preserve">Gestión de correspondencia </v>
          </cell>
          <cell r="D139" t="str">
            <v>TB111-06</v>
          </cell>
        </row>
        <row r="140">
          <cell r="C140" t="str">
            <v>Asesoría y acompañamiento de iniciativas implementadas por adolescentes y jóvenes a favor de la mitigación y reducción de riesgos a nivel comunitario</v>
          </cell>
          <cell r="D140" t="str">
            <v>TA323-02</v>
          </cell>
        </row>
        <row r="141">
          <cell r="C141" t="str">
            <v xml:space="preserve">Análisis de potenciales INNA para inscribir/afiliar  </v>
          </cell>
          <cell r="D141" t="str">
            <v>TB111-01</v>
          </cell>
        </row>
        <row r="142">
          <cell r="C142" t="str">
            <v xml:space="preserve">Gestión de inscripciones/afiliaciones </v>
          </cell>
          <cell r="D142" t="str">
            <v>TB111-02</v>
          </cell>
        </row>
        <row r="143">
          <cell r="C143" t="str">
            <v xml:space="preserve">Gestión de información INNAJ inscritos/afiliados </v>
          </cell>
          <cell r="D143" t="str">
            <v>TB111-03</v>
          </cell>
        </row>
        <row r="144">
          <cell r="C144" t="str">
            <v xml:space="preserve">Gestión de desafiliaciones </v>
          </cell>
          <cell r="D144" t="str">
            <v>TB111-04</v>
          </cell>
        </row>
        <row r="145">
          <cell r="C145" t="str">
            <v xml:space="preserve">Gestión de DFCs </v>
          </cell>
          <cell r="D145" t="str">
            <v>TB111-05</v>
          </cell>
        </row>
        <row r="146">
          <cell r="C146" t="str">
            <v xml:space="preserve">Mantenimiento de Hardware y Software </v>
          </cell>
          <cell r="D146" t="str">
            <v>SA111-01</v>
          </cell>
        </row>
        <row r="147">
          <cell r="C147" t="str">
            <v xml:space="preserve">Servicios básicos para la implementación programática </v>
          </cell>
          <cell r="D147" t="str">
            <v>SA111-02</v>
          </cell>
        </row>
        <row r="148">
          <cell r="C148" t="str">
            <v xml:space="preserve">Administración de Activos Fijos </v>
          </cell>
          <cell r="D148" t="str">
            <v>SA111-03</v>
          </cell>
        </row>
        <row r="149">
          <cell r="C149" t="str">
            <v xml:space="preserve">Salarios personal Administrativo </v>
          </cell>
          <cell r="D149" t="str">
            <v>SA112-01</v>
          </cell>
        </row>
        <row r="150">
          <cell r="C150" t="str">
            <v xml:space="preserve">Reuniones de coordinación de actividades programáticas y de patrocinio </v>
          </cell>
          <cell r="D150" t="str">
            <v>SA113-01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dmin Nombres"/>
      <sheetName val="Actividad"/>
      <sheetName val="Niñez S P"/>
      <sheetName val="Niñez S P (2)"/>
    </sheetNames>
    <sheetDataSet>
      <sheetData sheetId="0">
        <row r="1">
          <cell r="A1" t="str">
            <v>Reuniones Internas</v>
          </cell>
        </row>
        <row r="2">
          <cell r="A2" t="str">
            <v>Talleres de formación de formadores (ToT)</v>
          </cell>
        </row>
        <row r="3">
          <cell r="A3" t="str">
            <v>Talleres comunitarios</v>
          </cell>
        </row>
        <row r="4">
          <cell r="A4" t="str">
            <v>Actividades en escuelas/Colegios/Centro</v>
          </cell>
        </row>
        <row r="5">
          <cell r="A5" t="str">
            <v>Grupos Focales</v>
          </cell>
        </row>
        <row r="6">
          <cell r="A6" t="str">
            <v>Ferias comunitarias</v>
          </cell>
        </row>
        <row r="7">
          <cell r="A7" t="str">
            <v xml:space="preserve">Visitas domiciliarias </v>
          </cell>
        </row>
        <row r="8">
          <cell r="A8" t="str">
            <v>Campañas comunitarias</v>
          </cell>
        </row>
        <row r="9">
          <cell r="A9" t="str">
            <v>Campañas locales</v>
          </cell>
        </row>
        <row r="10">
          <cell r="A10" t="str">
            <v>Campañas Nacionales</v>
          </cell>
        </row>
        <row r="11">
          <cell r="A11" t="str">
            <v>Teatro Debate</v>
          </cell>
        </row>
        <row r="12">
          <cell r="A12" t="str">
            <v>Foros</v>
          </cell>
        </row>
        <row r="13">
          <cell r="A13" t="str">
            <v>Reuniones interinstitucionales</v>
          </cell>
        </row>
        <row r="14">
          <cell r="A14" t="str">
            <v>Levantamiento de información en campo</v>
          </cell>
        </row>
        <row r="15">
          <cell r="A15" t="str">
            <v>Rendición de cuentas</v>
          </cell>
        </row>
        <row r="19">
          <cell r="K19" t="str">
            <v>Salario Personal Regular</v>
          </cell>
        </row>
        <row r="20">
          <cell r="K20" t="str">
            <v>Beneficios/Prestaciones Sociales</v>
          </cell>
        </row>
        <row r="21">
          <cell r="K21" t="str">
            <v>Pago a capacitadores</v>
          </cell>
        </row>
        <row r="22">
          <cell r="K22" t="str">
            <v>Material de capacitación</v>
          </cell>
        </row>
        <row r="23">
          <cell r="K23" t="str">
            <v>Transporte para capacitación</v>
          </cell>
        </row>
        <row r="24">
          <cell r="K24" t="str">
            <v>Alimentos y hospedaje-capacitación</v>
          </cell>
        </row>
        <row r="25">
          <cell r="K25" t="str">
            <v>Locales de capacitación</v>
          </cell>
        </row>
        <row r="26">
          <cell r="K26" t="str">
            <v>Servicios contratados</v>
          </cell>
        </row>
        <row r="27">
          <cell r="K27" t="str">
            <v>Suministros y Materiales</v>
          </cell>
        </row>
        <row r="28">
          <cell r="K28" t="str">
            <v>Impresiones</v>
          </cell>
        </row>
        <row r="29">
          <cell r="K29" t="str">
            <v>Hospedaje</v>
          </cell>
        </row>
        <row r="30">
          <cell r="K30" t="str">
            <v xml:space="preserve">Alimentos </v>
          </cell>
        </row>
        <row r="31">
          <cell r="K31" t="str">
            <v>Pasajes Aéreos</v>
          </cell>
        </row>
        <row r="32">
          <cell r="K32" t="str">
            <v xml:space="preserve">Transporte </v>
          </cell>
        </row>
        <row r="33">
          <cell r="K33" t="str">
            <v>Otros gastos de viaje</v>
          </cell>
        </row>
        <row r="34">
          <cell r="K34" t="str">
            <v>DFCs Pagados</v>
          </cell>
        </row>
        <row r="35">
          <cell r="K35" t="str">
            <v>Gasolina</v>
          </cell>
        </row>
        <row r="36">
          <cell r="K36" t="str">
            <v>Mantenimiento de Vehiculo</v>
          </cell>
        </row>
        <row r="37">
          <cell r="K37" t="str">
            <v>Mantenimiento - Equipo</v>
          </cell>
        </row>
        <row r="38">
          <cell r="K38" t="str">
            <v>Mantenimiento - Oficina</v>
          </cell>
        </row>
        <row r="39">
          <cell r="K39" t="str">
            <v>Alquiler</v>
          </cell>
        </row>
        <row r="40">
          <cell r="K40" t="str">
            <v>Cargos bancarios y otros servicios</v>
          </cell>
        </row>
        <row r="41">
          <cell r="K41" t="str">
            <v>Seguros</v>
          </cell>
        </row>
        <row r="42">
          <cell r="K42" t="str">
            <v>Teléfono e internet</v>
          </cell>
        </row>
        <row r="43">
          <cell r="K43" t="str">
            <v>Correo y fletes</v>
          </cell>
        </row>
        <row r="44">
          <cell r="K44" t="str">
            <v>Servicios Basico (agua y luz)</v>
          </cell>
        </row>
        <row r="45">
          <cell r="K45" t="str">
            <v>Regalos en especie (materiales)</v>
          </cell>
        </row>
        <row r="46">
          <cell r="K46" t="str">
            <v>Servicio Donados/Mano de obra</v>
          </cell>
        </row>
        <row r="47">
          <cell r="K47" t="str">
            <v>Incetivos</v>
          </cell>
        </row>
        <row r="48">
          <cell r="K48" t="str">
            <v>Activos Fijos</v>
          </cell>
        </row>
      </sheetData>
      <sheetData sheetId="1">
        <row r="2">
          <cell r="C2" t="str">
            <v xml:space="preserve">Socialización del programa con las comunidades </v>
          </cell>
          <cell r="D2" t="str">
            <v>IA111-01</v>
          </cell>
        </row>
        <row r="3">
          <cell r="C3" t="str">
            <v xml:space="preserve">Conformación de grupos de madres, padres, cuidadores </v>
          </cell>
          <cell r="D3" t="str">
            <v>IA111-02</v>
          </cell>
        </row>
        <row r="4">
          <cell r="C4" t="str">
            <v>Aplicación de encuesta inicial CAP -madres, padres, cuidadores</v>
          </cell>
          <cell r="D4" t="str">
            <v>IA111-03</v>
          </cell>
        </row>
        <row r="5">
          <cell r="C5" t="str">
            <v>Aplicación de encuesta final CAP - madres, padres cuidadores</v>
          </cell>
          <cell r="D5" t="str">
            <v>IA111-04</v>
          </cell>
        </row>
        <row r="6">
          <cell r="C6" t="str">
            <v xml:space="preserve">Implementación sesiones sobre crecimiento y desarrollo de acuerdo al contenido curricular </v>
          </cell>
          <cell r="D6" t="str">
            <v>IA111-04</v>
          </cell>
        </row>
        <row r="7">
          <cell r="C7" t="str">
            <v xml:space="preserve">Aplicación de la Escala de Desarrollo </v>
          </cell>
          <cell r="D7" t="str">
            <v>IA112-01</v>
          </cell>
        </row>
        <row r="8">
          <cell r="C8" t="str">
            <v xml:space="preserve">Implementación sesiones  sobre desarrollo socioemocional y autocuidado </v>
          </cell>
          <cell r="D8" t="str">
            <v>IA121-01</v>
          </cell>
        </row>
        <row r="9">
          <cell r="C9" t="str">
            <v xml:space="preserve">Implementación de Ferias comunitarias de protección de la niñez </v>
          </cell>
          <cell r="D9" t="str">
            <v>IA211-01</v>
          </cell>
        </row>
        <row r="10">
          <cell r="C10" t="str">
            <v xml:space="preserve">Campañas informativas y de sensibilización en protección de la niñez </v>
          </cell>
          <cell r="D10" t="str">
            <v>IA212-01</v>
          </cell>
        </row>
        <row r="11">
          <cell r="C11" t="str">
            <v xml:space="preserve">Reuniones de articulación y seguimiento con Comités Comunitarios de Protección </v>
          </cell>
          <cell r="D11" t="str">
            <v>IA221-01</v>
          </cell>
        </row>
        <row r="12">
          <cell r="C12" t="str">
            <v xml:space="preserve">Participación de líderes comunitarios en espacios y redes inter-institucionales a diferentes niveles para incidir a nivel local y nacional </v>
          </cell>
          <cell r="D12" t="str">
            <v>IA221-02</v>
          </cell>
        </row>
        <row r="13">
          <cell r="C13" t="str">
            <v xml:space="preserve">Rendición de cuentas de las acciones implementadas en las comunidades </v>
          </cell>
          <cell r="D13" t="str">
            <v>IA222-01</v>
          </cell>
        </row>
        <row r="14">
          <cell r="C14" t="str">
            <v xml:space="preserve">Visitas domiciliarias </v>
          </cell>
          <cell r="D14" t="str">
            <v>IA112-02</v>
          </cell>
        </row>
        <row r="15">
          <cell r="C15" t="str">
            <v xml:space="preserve">Participación local  de organizaciones de base comunitaria articulan acciones con redes locales u otras instituciones  </v>
          </cell>
          <cell r="D15" t="str">
            <v>IA221-03</v>
          </cell>
        </row>
        <row r="16">
          <cell r="C16" t="str">
            <v>Seguimiento y monitoreo técnico Programa Creciendo Contigo</v>
          </cell>
          <cell r="D16" t="str">
            <v>IA222-02</v>
          </cell>
        </row>
        <row r="17">
          <cell r="C17" t="str">
            <v>Levantamiento de CVS,M&amp;E nivel 2 y Reportes de Progreso en campo</v>
          </cell>
          <cell r="D17" t="str">
            <v>IA222-03</v>
          </cell>
        </row>
        <row r="18">
          <cell r="C18" t="str">
            <v>Talleres de formación y/o preparación de facilitadores en módulos de crianza positiva, construcción de paz, relaciones positivas y reducción de riesgo y desastres</v>
          </cell>
          <cell r="D18" t="str">
            <v>NA111-01</v>
          </cell>
        </row>
        <row r="19">
          <cell r="C19" t="str">
            <v>Conformación de grupos de madres, padres y cuidadores</v>
          </cell>
          <cell r="D19" t="str">
            <v>NA111-03</v>
          </cell>
        </row>
        <row r="20">
          <cell r="C20" t="str">
            <v>Aplicación de encuesta inicial CAP - madres, padres, cuidadores</v>
          </cell>
          <cell r="D20" t="str">
            <v>NA111-04</v>
          </cell>
        </row>
        <row r="21">
          <cell r="C21" t="str">
            <v>Aplicación de encuesta final CAP  - madres, padres cuidadores</v>
          </cell>
          <cell r="D21" t="str">
            <v>NA111-05</v>
          </cell>
        </row>
        <row r="22">
          <cell r="C22" t="str">
            <v>Talleres para padres, madres y cuidadores de crianza positiva y autoconocimiento</v>
          </cell>
          <cell r="D22" t="str">
            <v>NA111-06</v>
          </cell>
        </row>
        <row r="23">
          <cell r="C23" t="str">
            <v>Socialización del modelo a nivel comunitario</v>
          </cell>
          <cell r="D23" t="str">
            <v>NA111-02</v>
          </cell>
        </row>
        <row r="24">
          <cell r="C24" t="str">
            <v>Talleres para padres, madres y cuidadores en relaciones positivas</v>
          </cell>
          <cell r="D24" t="str">
            <v>NA112-01</v>
          </cell>
        </row>
        <row r="25">
          <cell r="C25" t="str">
            <v xml:space="preserve">Talleres para padres, madres y cuidadores en prevención ante una emergencia </v>
          </cell>
          <cell r="D25" t="str">
            <v>NA113-01</v>
          </cell>
        </row>
        <row r="26">
          <cell r="C26" t="str">
            <v>Conformación de grupos de personal docente</v>
          </cell>
          <cell r="D26" t="str">
            <v>NA121-01</v>
          </cell>
        </row>
        <row r="27">
          <cell r="C27" t="str">
            <v>Aplicación de encuesta inicial CAP - personal docente</v>
          </cell>
          <cell r="D27" t="str">
            <v>NA121-02</v>
          </cell>
        </row>
        <row r="28">
          <cell r="C28" t="str">
            <v>Aplicación de encuesta final CAP  - personal docente</v>
          </cell>
          <cell r="D28" t="str">
            <v>NA121-03</v>
          </cell>
        </row>
        <row r="29">
          <cell r="C29" t="str">
            <v>Talleres para personal docente de ambientes de convivencia pacífica</v>
          </cell>
          <cell r="D29" t="str">
            <v>NA121-04</v>
          </cell>
        </row>
        <row r="30">
          <cell r="C30" t="str">
            <v>Talleres para personal docente en técnicas de disciplina positiva</v>
          </cell>
          <cell r="D30" t="str">
            <v>NA122-01</v>
          </cell>
        </row>
        <row r="31">
          <cell r="C31" t="str">
            <v>Talleres para personal docente en la preparación ante una emergencia</v>
          </cell>
          <cell r="D31" t="str">
            <v>NA123-01</v>
          </cell>
        </row>
        <row r="32">
          <cell r="C32" t="str">
            <v>Conformación de grupos de NNAJ</v>
          </cell>
          <cell r="D32" t="str">
            <v>NA211-01</v>
          </cell>
        </row>
        <row r="33">
          <cell r="C33" t="str">
            <v>Aplicación de encuesta inicial CAP - NNAJ</v>
          </cell>
          <cell r="D33" t="str">
            <v>NA211-02</v>
          </cell>
        </row>
        <row r="34">
          <cell r="C34" t="str">
            <v>Aplicación de encuesta final CAP - NNAJ</v>
          </cell>
          <cell r="D34" t="str">
            <v>NA211-03</v>
          </cell>
        </row>
        <row r="35">
          <cell r="C35" t="str">
            <v>Talleres para niñas, niños y adolescentes en habilidades socioemocionales y resiliencia</v>
          </cell>
          <cell r="D35" t="str">
            <v>NA211-04</v>
          </cell>
        </row>
        <row r="36">
          <cell r="C36" t="str">
            <v>Talleres para niñas, niños y adolescentes en habilidades de autoprotección para crecer sanos y seguros</v>
          </cell>
          <cell r="D36" t="str">
            <v>NA212-01</v>
          </cell>
        </row>
        <row r="37">
          <cell r="C37" t="str">
            <v>Talleres para niñas, niños y adolescentes en comunicación que permita la promoción de ambientes amigables y seguros</v>
          </cell>
          <cell r="D37" t="str">
            <v>NA221-01</v>
          </cell>
        </row>
        <row r="38">
          <cell r="C38" t="str">
            <v>Talleres para niñas, niños y adolescentes en el uso de tecnologías de la información (TICs) que promueven ambientes seguros</v>
          </cell>
          <cell r="D38" t="str">
            <v>NA222-01</v>
          </cell>
        </row>
        <row r="39">
          <cell r="C39" t="str">
            <v>Talleres para niñas, niños y adolescentes de reducción de riesgo ante una emergencia</v>
          </cell>
          <cell r="D39" t="str">
            <v>NA223-01</v>
          </cell>
        </row>
        <row r="40">
          <cell r="C40" t="str">
            <v>Talleres para líderes comunitarios en prevención de violencia hacia la niñez que permitan la construcción de paz en los entornos comunitarios</v>
          </cell>
          <cell r="D40" t="str">
            <v>NA311-01</v>
          </cell>
        </row>
        <row r="41">
          <cell r="C41" t="str">
            <v>Ferias comunitarias que vinculan mecanismos comunitarios de protección y el modelo de programa</v>
          </cell>
          <cell r="D41" t="str">
            <v>NA311-02</v>
          </cell>
        </row>
        <row r="42">
          <cell r="C42" t="str">
            <v>Talleres para líderes comunitarios de  rendición de cuentas en la comunidad que promuevan entornos seguros en la comunidad</v>
          </cell>
          <cell r="D42" t="str">
            <v>NA312-01</v>
          </cell>
        </row>
        <row r="43">
          <cell r="C43" t="str">
            <v>Campañas, asambleas comunitarias o foros promovidas por los líderes comunitarios</v>
          </cell>
          <cell r="D43" t="str">
            <v>NA312-02</v>
          </cell>
        </row>
        <row r="44">
          <cell r="C44" t="str">
            <v xml:space="preserve">Reuniones de articulación y seguimiento con Comités Comunitarios de Protección </v>
          </cell>
          <cell r="D44" t="str">
            <v>NA321-01</v>
          </cell>
        </row>
        <row r="45">
          <cell r="C45" t="str">
            <v xml:space="preserve">Participación de líderes comunitarios en espacios y redes inter-institucionales a diferentes niveles para incidir a nivel local y nacional </v>
          </cell>
          <cell r="D45" t="str">
            <v>NA321-02</v>
          </cell>
        </row>
        <row r="46">
          <cell r="C46" t="str">
            <v xml:space="preserve">Participación local  de organizaciones de base comunitaria articulan acciones con redes locales u otras instituciones  </v>
          </cell>
          <cell r="D46" t="str">
            <v>NA321-03</v>
          </cell>
        </row>
        <row r="47">
          <cell r="C47" t="str">
            <v xml:space="preserve">Rendición de cuentas de las acciones implementadas en las comunidades </v>
          </cell>
          <cell r="D47" t="str">
            <v>NA322-01</v>
          </cell>
        </row>
        <row r="48">
          <cell r="C48" t="str">
            <v>Seguimiento y monitoreo técnico Programa Niñez Segura y Protegida</v>
          </cell>
          <cell r="D48" t="str">
            <v>NA322-02</v>
          </cell>
        </row>
        <row r="49">
          <cell r="C49" t="str">
            <v>Levantamiento de CVS,M&amp;E nivel 2 y Reportes de Progreso en campo</v>
          </cell>
          <cell r="D49" t="str">
            <v>NA322-03</v>
          </cell>
        </row>
      </sheetData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C52B1-1478-4F24-BA03-AEF5AB636369}" name="Table_3" displayName="Table_3" ref="AS1:AS11">
  <tableColumns count="1">
    <tableColumn id="1" xr3:uid="{CDA04154-5275-4642-9F80-B3AB8E2C1720}" name="Fuente_de_Financiamiento_"/>
  </tableColumns>
  <tableStyleInfo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D13F6F-28F1-402A-9B77-F5E9AC7D896B}" name="Table_4" displayName="Table_4" ref="AT1:AT39">
  <tableColumns count="1">
    <tableColumn id="1" xr3:uid="{36FF256C-939A-48C8-B43B-27C5D87119C3}" name="Categoría_de_Gastos_"/>
  </tableColumns>
  <tableStyleInfo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03A793-7894-449C-859C-460286822FE1}" name="Table_5" displayName="Table_5" ref="AU1:AU12">
  <tableColumns count="1">
    <tableColumn id="1" xr3:uid="{A020B84D-DE9C-4AAF-87F0-B6E291D8BFA1}" name="type_of_participants"/>
  </tableColumns>
  <tableStyleInfo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0275C1-1DB9-4666-B253-020E1B5F24E9}" name="Table_6" displayName="Table_6" ref="AV1:AY20">
  <tableColumns count="4">
    <tableColumn id="1" xr3:uid="{55E21E91-BB60-4FDF-A1F3-D5C36F9BA03A}" name="type_of_activitites"/>
    <tableColumn id="4" xr3:uid="{52867CD4-C979-4B39-83A1-49BCE35FD083}" name="GFC_Fondo_Global_para_la_Niñez"/>
    <tableColumn id="2" xr3:uid="{98D60016-8A39-4E01-BC0A-657414C7A82B}" name="GFC"/>
    <tableColumn id="5" xr3:uid="{40758235-F964-4EF8-98A7-1D096562C511}" name="PMA_Programa_Mundial_de_Alimentos"/>
  </tableColumns>
  <tableStyleInfo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F82FF39-9DD4-4B67-AF63-6CF1521423D2}" name="Table_189" displayName="Table_189" ref="A1:A519">
  <tableColumns count="1">
    <tableColumn id="1" xr3:uid="{F2CF3749-E8A4-4123-92FE-7377A87B5BEE}" name="Sector"/>
  </tableColumns>
  <tableStyleInfo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44787FA-0124-43BF-8FA0-EE547473AF02}" name="Table_11013161922" displayName="Table_11013161922" ref="N1:N519">
  <tableColumns count="1">
    <tableColumn id="1" xr3:uid="{301C4958-2FAF-4BE8-94EE-099A1E003432}" name="ML_Monitoreo"/>
  </tableColumns>
  <tableStyleInfo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62AB63B-3513-44B2-9B06-B104946DD87D}" name="Table_21114172023" displayName="Table_21114172023" ref="AQ1:AR519">
  <tableColumns count="2">
    <tableColumn id="1" xr3:uid="{67DE9555-3D12-4BBE-AD52-DFA5856C7BF3}" name="subsector_code"/>
    <tableColumn id="2" xr3:uid="{64C4CD22-8503-4CF6-A698-8E4FB5193A1F}" name="subsector_name"/>
  </tableColumns>
  <tableStyleInfo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37F0529-501B-40DA-AC6B-B4DF65F324D3}" name="Table_181215182124" displayName="Table_181215182124" ref="B1:B1048576">
  <tableColumns count="1">
    <tableColumn id="1" xr3:uid="{0E8CC708-5DE8-4F25-A2EA-88C3AA42A0DB}" name="H_Salud"/>
  </tableColumns>
  <tableStyleInfo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B89B212-49D2-41FE-AA50-77AE10234574}" name="Table_1101316192225" displayName="Table_1101316192225" ref="G1:G519">
  <tableColumns count="1">
    <tableColumn id="1" xr3:uid="{D9850662-F846-445C-81EA-4410DFC8EBFA}" name="B_Construyendo_Sostenibilidad"/>
  </tableColumns>
  <tableStyleInfo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ECC0C6A-9FAC-493D-BD06-98EF71BDB4EE}" name="Table_110131619222526" displayName="Table_110131619222526" ref="F1:F519">
  <tableColumns count="1">
    <tableColumn id="1" xr3:uid="{55510F11-7A3C-4705-A7FE-B1A5EB095051}" name="L_Medios_de_vida"/>
  </tableColumns>
  <tableStyleInfo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8E52DDC-BD20-4596-B632-9A84DBF1EF14}" name="Table_11013161922252627" displayName="Table_11013161922252627" ref="E1:E519">
  <tableColumns count="1">
    <tableColumn id="1" xr3:uid="{04EF3258-4924-43B8-9C3D-2C15E3750E9C}" name="R_Protección"/>
  </tableColumns>
  <tableStyleInfo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61B1348-4267-4769-8578-1881D52A05E2}" name="Table_1101316192225262728" displayName="Table_1101316192225262728" ref="D1:D519">
  <tableColumns count="1">
    <tableColumn id="1" xr3:uid="{941CF359-C86E-43D1-80BD-4FBEEC24B154}" name="U_Educación"/>
  </tableColumns>
  <tableStyleInfo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1628E86-BC0F-4D69-842B-2D0B44102EAB}" name="Table_110131619222526272829" displayName="Table_110131619222526272829" ref="C1:C519">
  <tableColumns count="1">
    <tableColumn id="1" xr3:uid="{0EE4FFB3-5BA2-4AB5-BA25-806B9945BB86}" name="D_Desarrollo_de_la_primera_infancia"/>
  </tableColumns>
  <tableStyleInfo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82B1CBE-721A-439B-B370-AC40173A7551}" name="Table_1101316192230" displayName="Table_1101316192230" ref="M1:M519">
  <tableColumns count="1">
    <tableColumn id="1" xr3:uid="{120498F5-5C31-4A09-A20B-20ADD81D7D6A}" name="X_Patrocinio"/>
  </tableColumns>
  <tableStyleInfo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9D161A7-3853-427F-8343-8F2382246703}" name="Table_110131619223031" displayName="Table_110131619223031" ref="L1:L519">
  <tableColumns count="1">
    <tableColumn id="1" xr3:uid="{61400DE8-737A-44B2-9F2D-D64F9530B8B2}" name="Z_Administración"/>
  </tableColumns>
  <tableStyleInfo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F554BC7-CE6C-4C32-A793-BB698B250F8B}" name="Table_11013161922303132" displayName="Table_11013161922303132" ref="K1:K519">
  <tableColumns count="1">
    <tableColumn id="1" xr3:uid="{292B5C73-01BA-4BB0-9204-58A4AF2A0E86}" name="Y_Transversal_Agencia"/>
  </tableColumns>
  <tableStyleInfo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6E18825-3431-4DAD-A79C-044512028BC7}" name="Table_1101316192230313233" displayName="Table_1101316192230313233" ref="J1:J519">
  <tableColumns count="1">
    <tableColumn id="1" xr3:uid="{D6014117-8860-4CAC-97CA-9AF99F3A641F}" name="M_Transversal_Salud_mental"/>
  </tableColumns>
  <tableStyleInfo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369A6DB-C49E-4296-9365-B369BA63C397}" name="Table_110131619223031323334" displayName="Table_110131619223031323334" ref="I1:I519">
  <tableColumns count="1">
    <tableColumn id="1" xr3:uid="{B9B75462-709F-4744-9219-D4C838FECC01}" name="A_Transversal_Incidencia"/>
  </tableColumns>
  <tableStyleInfo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743D994-CC26-4E80-BA65-AA932A2A1800}" name="Table_11013161922303132333435" displayName="Table_11013161922303132333435" ref="H1:H519">
  <tableColumns count="1">
    <tableColumn id="1" xr3:uid="{2F732FD9-5EF0-407E-88BA-085414F27554}" name="C_Niños_en_crisis"/>
  </tableColumns>
  <tableStyleInfo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C5F99A6-18F3-420B-AE23-C46058700318}" name="Table_11013161936" displayName="Table_11013161936" ref="AP1:AP519">
  <tableColumns count="1">
    <tableColumn id="1" xr3:uid="{0FB96664-0930-43D9-B77A-46EEE409409C}" name="ML_Monitoreo_y_soporte_técnico_del_programa"/>
  </tableColumns>
  <tableStyleInfo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DF72F06-4795-4A5D-9920-BB78C42AFE78}" name="Table_1101316193637" displayName="Table_1101316193637" ref="AO1:AO519">
  <tableColumns count="1">
    <tableColumn id="1" xr3:uid="{376D2F00-8632-4D58-96BD-681C2D1A22DA}" name="XA_Gestión_de_Patrocinios"/>
  </tableColumns>
  <tableStyleInfo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A6A5DD3-2623-41C7-9EEB-988931F8E54D}" name="Table_1101316193638" displayName="Table_1101316193638" ref="O1:O519">
  <tableColumns count="1">
    <tableColumn id="1" xr3:uid="{FF9E4E9F-837D-49B4-A01B-5002529F3D08}" name="HA_WASH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3" Type="http://schemas.openxmlformats.org/officeDocument/2006/relationships/table" Target="../tables/table2.xml"/><Relationship Id="rId21" Type="http://schemas.openxmlformats.org/officeDocument/2006/relationships/table" Target="../tables/table20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0" Type="http://schemas.openxmlformats.org/officeDocument/2006/relationships/table" Target="../tables/table19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8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19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79E9-32E3-496A-97AB-FE566B7D3739}">
  <sheetPr filterMode="1"/>
  <dimension ref="A1:AA194"/>
  <sheetViews>
    <sheetView showGridLines="0" view="pageBreakPreview" zoomScaleNormal="100" zoomScaleSheetLayoutView="100" workbookViewId="0">
      <pane xSplit="11" ySplit="9" topLeftCell="L10" activePane="bottomRight" state="frozen"/>
      <selection pane="topRight" activeCell="J1" sqref="J1"/>
      <selection pane="bottomLeft" activeCell="A10" sqref="A10"/>
      <selection pane="bottomRight" activeCell="B10" sqref="B10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7.5546875" style="2" customWidth="1"/>
    <col min="5" max="5" width="5.109375" style="1" customWidth="1"/>
    <col min="6" max="6" width="6.109375" style="1" hidden="1" customWidth="1"/>
    <col min="7" max="7" width="9.5546875" style="1" hidden="1" customWidth="1"/>
    <col min="8" max="8" width="7.44140625" style="1" hidden="1" customWidth="1"/>
    <col min="9" max="9" width="2.5546875" style="1" hidden="1" customWidth="1"/>
    <col min="10" max="10" width="4.5546875" style="1" customWidth="1"/>
    <col min="11" max="11" width="32.5546875" style="1" customWidth="1"/>
    <col min="12" max="13" width="5.5546875" style="1" customWidth="1"/>
    <col min="14" max="14" width="4.5546875" style="1" customWidth="1"/>
    <col min="15" max="15" width="4.5546875" style="2" customWidth="1"/>
    <col min="16" max="18" width="5.5546875" style="2" customWidth="1"/>
    <col min="19" max="19" width="4.5546875" style="2" customWidth="1"/>
    <col min="20" max="26" width="4.5546875" style="1" customWidth="1"/>
    <col min="27" max="27" width="5.5546875" style="1" customWidth="1"/>
    <col min="28" max="16384" width="10.88671875" style="1"/>
  </cols>
  <sheetData>
    <row r="1" spans="1:27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</row>
    <row r="2" spans="1:27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</row>
    <row r="3" spans="1:27" x14ac:dyDescent="0.3">
      <c r="A3" s="15"/>
      <c r="B3" s="15"/>
      <c r="C3" s="15"/>
      <c r="D3" s="15"/>
      <c r="E3" s="14"/>
      <c r="F3" s="14"/>
      <c r="G3" s="14"/>
      <c r="H3" s="14"/>
      <c r="I3" s="14"/>
      <c r="J3" s="14"/>
      <c r="K3" s="14"/>
      <c r="L3" s="14"/>
      <c r="M3" s="14"/>
      <c r="N3" s="14"/>
      <c r="O3" s="15"/>
      <c r="P3" s="15"/>
      <c r="Q3" s="15"/>
      <c r="R3" s="15"/>
      <c r="S3" s="15"/>
      <c r="T3" s="14"/>
      <c r="U3" s="14"/>
      <c r="V3" s="14"/>
      <c r="W3" s="14"/>
      <c r="X3" s="14"/>
      <c r="Y3" s="14"/>
      <c r="Z3" s="14"/>
      <c r="AA3" s="14"/>
    </row>
    <row r="4" spans="1:27" ht="14.85" customHeight="1" x14ac:dyDescent="0.3">
      <c r="A4" s="133" t="s">
        <v>2</v>
      </c>
      <c r="B4" s="133"/>
      <c r="C4" s="133"/>
      <c r="D4" s="133"/>
      <c r="E4" s="133"/>
      <c r="F4" s="25"/>
      <c r="G4" s="25"/>
      <c r="H4" s="26" t="s">
        <v>3</v>
      </c>
      <c r="I4" s="26"/>
      <c r="J4" s="136" t="s">
        <v>4</v>
      </c>
      <c r="K4" s="137"/>
      <c r="L4" s="137"/>
      <c r="M4" s="138"/>
      <c r="N4" s="39"/>
      <c r="O4" s="134" t="s">
        <v>5</v>
      </c>
      <c r="P4" s="134"/>
      <c r="Q4" s="135" t="s">
        <v>6</v>
      </c>
      <c r="R4" s="135"/>
      <c r="S4" s="135"/>
      <c r="T4" s="135"/>
      <c r="U4" s="135"/>
      <c r="V4" s="135"/>
      <c r="W4" s="135"/>
      <c r="X4" s="135"/>
      <c r="Y4" s="135"/>
      <c r="Z4" s="135"/>
      <c r="AA4" s="135"/>
    </row>
    <row r="5" spans="1:27" x14ac:dyDescent="0.3">
      <c r="A5" s="133"/>
      <c r="B5" s="133"/>
      <c r="C5" s="133"/>
      <c r="D5" s="133"/>
      <c r="E5" s="133"/>
      <c r="F5" s="25"/>
      <c r="G5" s="25"/>
      <c r="H5" s="26"/>
      <c r="I5" s="26"/>
      <c r="J5" s="139"/>
      <c r="K5" s="140"/>
      <c r="L5" s="140"/>
      <c r="M5" s="141"/>
      <c r="N5" s="39"/>
      <c r="O5" s="134" t="s">
        <v>7</v>
      </c>
      <c r="P5" s="134"/>
      <c r="Q5" s="135" t="s">
        <v>8</v>
      </c>
      <c r="R5" s="135"/>
      <c r="S5" s="135"/>
      <c r="T5" s="135"/>
      <c r="U5" s="135"/>
      <c r="V5" s="135"/>
      <c r="W5" s="135"/>
      <c r="X5" s="135"/>
      <c r="Y5" s="135"/>
      <c r="Z5" s="135"/>
      <c r="AA5" s="135"/>
    </row>
    <row r="7" spans="1:27" x14ac:dyDescent="0.3">
      <c r="A7" s="111" t="s">
        <v>9</v>
      </c>
      <c r="B7" s="112"/>
      <c r="C7" s="112"/>
      <c r="D7" s="113"/>
      <c r="E7" s="125" t="s">
        <v>10</v>
      </c>
      <c r="F7" s="126" t="s">
        <v>11</v>
      </c>
      <c r="G7" s="126"/>
      <c r="H7" s="126"/>
      <c r="I7" s="13"/>
      <c r="J7" s="13"/>
      <c r="K7" s="127" t="s">
        <v>12</v>
      </c>
      <c r="L7" s="129" t="s">
        <v>13</v>
      </c>
      <c r="M7" s="129"/>
      <c r="N7" s="129"/>
      <c r="O7" s="129"/>
      <c r="P7" s="130" t="s">
        <v>14</v>
      </c>
      <c r="Q7" s="130"/>
      <c r="R7" s="130"/>
      <c r="S7" s="130"/>
      <c r="T7" s="114" t="s">
        <v>15</v>
      </c>
      <c r="U7" s="115"/>
      <c r="V7" s="115"/>
      <c r="W7" s="115"/>
      <c r="X7" s="115"/>
      <c r="Y7" s="115"/>
      <c r="Z7" s="116"/>
      <c r="AA7" s="117" t="s">
        <v>16</v>
      </c>
    </row>
    <row r="8" spans="1:27" ht="70.2" x14ac:dyDescent="0.3">
      <c r="A8" s="5" t="s">
        <v>17</v>
      </c>
      <c r="B8" s="5" t="s">
        <v>18</v>
      </c>
      <c r="C8" s="5" t="s">
        <v>19</v>
      </c>
      <c r="D8" s="5" t="s">
        <v>220</v>
      </c>
      <c r="E8" s="125"/>
      <c r="F8" s="16" t="s">
        <v>20</v>
      </c>
      <c r="G8" s="17" t="s">
        <v>21</v>
      </c>
      <c r="H8" s="18" t="s">
        <v>22</v>
      </c>
      <c r="I8" s="19" t="s">
        <v>23</v>
      </c>
      <c r="J8" s="19"/>
      <c r="K8" s="128"/>
      <c r="L8" s="5" t="s">
        <v>24</v>
      </c>
      <c r="M8" s="5" t="s">
        <v>25</v>
      </c>
      <c r="N8" s="8" t="s">
        <v>26</v>
      </c>
      <c r="O8" s="37" t="s">
        <v>27</v>
      </c>
      <c r="P8" s="4" t="s">
        <v>28</v>
      </c>
      <c r="Q8" s="4" t="s">
        <v>25</v>
      </c>
      <c r="R8" s="7" t="s">
        <v>26</v>
      </c>
      <c r="S8" s="27" t="s">
        <v>27</v>
      </c>
      <c r="T8" s="5" t="s">
        <v>29</v>
      </c>
      <c r="U8" s="5" t="s">
        <v>30</v>
      </c>
      <c r="V8" s="5" t="s">
        <v>31</v>
      </c>
      <c r="W8" s="5" t="s">
        <v>32</v>
      </c>
      <c r="X8" s="5" t="s">
        <v>33</v>
      </c>
      <c r="Y8" s="8" t="s">
        <v>34</v>
      </c>
      <c r="Z8" s="29" t="s">
        <v>27</v>
      </c>
      <c r="AA8" s="118"/>
    </row>
    <row r="9" spans="1:27" x14ac:dyDescent="0.3">
      <c r="A9" s="6"/>
      <c r="B9" s="6"/>
      <c r="C9" s="6"/>
      <c r="D9" s="6"/>
      <c r="E9" s="6"/>
      <c r="F9" s="16"/>
      <c r="G9" s="17"/>
      <c r="H9" s="18"/>
      <c r="I9" s="19"/>
      <c r="J9" s="19"/>
      <c r="K9" s="6"/>
      <c r="L9" s="5"/>
      <c r="M9" s="5"/>
      <c r="N9" s="8"/>
      <c r="O9" s="37"/>
      <c r="P9" s="4"/>
      <c r="Q9" s="4"/>
      <c r="R9" s="7"/>
      <c r="S9" s="27"/>
      <c r="T9" s="5"/>
      <c r="U9" s="5"/>
      <c r="V9" s="5"/>
      <c r="W9" s="5"/>
      <c r="X9" s="5"/>
      <c r="Y9" s="8"/>
      <c r="Z9" s="29"/>
      <c r="AA9" s="31"/>
    </row>
    <row r="10" spans="1:27" ht="27.6" x14ac:dyDescent="0.3">
      <c r="A10" s="24" t="s">
        <v>35</v>
      </c>
      <c r="B10" s="24" t="s">
        <v>36</v>
      </c>
      <c r="C10" s="24" t="s">
        <v>37</v>
      </c>
      <c r="D10" s="24" t="s">
        <v>221</v>
      </c>
      <c r="E10" s="23"/>
      <c r="F10" s="20" t="s">
        <v>38</v>
      </c>
      <c r="G10" s="21" t="s">
        <v>39</v>
      </c>
      <c r="H10" s="22" t="s">
        <v>40</v>
      </c>
      <c r="I10" s="22">
        <v>1</v>
      </c>
      <c r="J10" s="22" t="s">
        <v>222</v>
      </c>
      <c r="K10" s="3" t="s">
        <v>41</v>
      </c>
      <c r="L10" s="9"/>
      <c r="M10" s="9"/>
      <c r="N10" s="10">
        <f>+L10-M10</f>
        <v>0</v>
      </c>
      <c r="O10" s="38">
        <f>IFERROR(IF(7&lt;&gt;0, M10*100/L10, IF(L10=M10, M10*100/L10, 0)), 0)</f>
        <v>0</v>
      </c>
      <c r="P10" s="11"/>
      <c r="Q10" s="11"/>
      <c r="R10" s="12">
        <f>+P10-Q10</f>
        <v>0</v>
      </c>
      <c r="S10" s="28">
        <f>IFERROR(IF(R10&lt;&gt;0, P10*100/Q10, IF(P10=Q10, P10*100/Q10, 0)), 0)</f>
        <v>0</v>
      </c>
      <c r="T10" s="9"/>
      <c r="U10" s="9"/>
      <c r="V10" s="9"/>
      <c r="W10" s="9"/>
      <c r="X10" s="9"/>
      <c r="Y10" s="10">
        <f>SUM(T10:X10)</f>
        <v>0</v>
      </c>
      <c r="Z10" s="30">
        <f>+Y10*100/50</f>
        <v>0</v>
      </c>
      <c r="AA10" s="32">
        <f t="shared" ref="AA10:AA73" si="0">+(S10+O10+Z10)/3</f>
        <v>0</v>
      </c>
    </row>
    <row r="11" spans="1:27" ht="27.6" hidden="1" x14ac:dyDescent="0.3">
      <c r="A11" s="24" t="s">
        <v>35</v>
      </c>
      <c r="B11" s="24" t="s">
        <v>36</v>
      </c>
      <c r="C11" s="24" t="s">
        <v>42</v>
      </c>
      <c r="D11" s="24" t="s">
        <v>221</v>
      </c>
      <c r="E11" s="23"/>
      <c r="F11" s="20" t="s">
        <v>38</v>
      </c>
      <c r="G11" s="21" t="s">
        <v>39</v>
      </c>
      <c r="H11" s="22" t="s">
        <v>40</v>
      </c>
      <c r="I11" s="22">
        <v>1</v>
      </c>
      <c r="J11" s="22" t="s">
        <v>222</v>
      </c>
      <c r="K11" s="3" t="s">
        <v>43</v>
      </c>
      <c r="L11" s="9"/>
      <c r="M11" s="9"/>
      <c r="N11" s="10">
        <f t="shared" ref="N11:N74" si="1">+L11-M11</f>
        <v>0</v>
      </c>
      <c r="O11" s="38">
        <f t="shared" ref="O11:O74" si="2">IFERROR(IF(7&lt;&gt;0, M11*100/L11, IF(L11=M11, M11*100/L11, 0)), 0)</f>
        <v>0</v>
      </c>
      <c r="P11" s="11"/>
      <c r="Q11" s="11"/>
      <c r="R11" s="12">
        <f t="shared" ref="R11:R74" si="3">+P11-Q11</f>
        <v>0</v>
      </c>
      <c r="S11" s="28">
        <f t="shared" ref="S11:S74" si="4">IFERROR(IF(R11&lt;&gt;0, P11*100/Q11, IF(P11=Q11, P11*100/Q11, 0)), 0)</f>
        <v>0</v>
      </c>
      <c r="T11" s="9"/>
      <c r="U11" s="9"/>
      <c r="V11" s="9"/>
      <c r="W11" s="9"/>
      <c r="X11" s="9"/>
      <c r="Y11" s="10">
        <f t="shared" ref="Y11:Y74" si="5">SUM(T11:X11)</f>
        <v>0</v>
      </c>
      <c r="Z11" s="30">
        <f t="shared" ref="Z11:Z74" si="6">+Y11*100/50</f>
        <v>0</v>
      </c>
      <c r="AA11" s="32">
        <f t="shared" si="0"/>
        <v>0</v>
      </c>
    </row>
    <row r="12" spans="1:27" ht="27.6" hidden="1" x14ac:dyDescent="0.3">
      <c r="A12" s="24" t="s">
        <v>35</v>
      </c>
      <c r="B12" s="24" t="s">
        <v>36</v>
      </c>
      <c r="C12" s="24" t="s">
        <v>44</v>
      </c>
      <c r="D12" s="24" t="s">
        <v>221</v>
      </c>
      <c r="E12" s="23"/>
      <c r="F12" s="20" t="s">
        <v>38</v>
      </c>
      <c r="G12" s="21" t="s">
        <v>39</v>
      </c>
      <c r="H12" s="22" t="s">
        <v>40</v>
      </c>
      <c r="I12" s="22">
        <v>1</v>
      </c>
      <c r="J12" s="22" t="s">
        <v>222</v>
      </c>
      <c r="K12" s="3" t="s">
        <v>45</v>
      </c>
      <c r="L12" s="9"/>
      <c r="M12" s="9"/>
      <c r="N12" s="10">
        <f t="shared" si="1"/>
        <v>0</v>
      </c>
      <c r="O12" s="38">
        <f t="shared" si="2"/>
        <v>0</v>
      </c>
      <c r="P12" s="11"/>
      <c r="Q12" s="11"/>
      <c r="R12" s="12">
        <f t="shared" si="3"/>
        <v>0</v>
      </c>
      <c r="S12" s="28">
        <f t="shared" si="4"/>
        <v>0</v>
      </c>
      <c r="T12" s="9"/>
      <c r="U12" s="9"/>
      <c r="V12" s="9"/>
      <c r="W12" s="9"/>
      <c r="X12" s="9"/>
      <c r="Y12" s="10">
        <f t="shared" si="5"/>
        <v>0</v>
      </c>
      <c r="Z12" s="30">
        <f t="shared" si="6"/>
        <v>0</v>
      </c>
      <c r="AA12" s="32">
        <f t="shared" si="0"/>
        <v>0</v>
      </c>
    </row>
    <row r="13" spans="1:27" ht="27.6" hidden="1" x14ac:dyDescent="0.3">
      <c r="A13" s="24" t="s">
        <v>35</v>
      </c>
      <c r="B13" s="24" t="s">
        <v>36</v>
      </c>
      <c r="C13" s="24" t="s">
        <v>223</v>
      </c>
      <c r="D13" s="24" t="s">
        <v>224</v>
      </c>
      <c r="E13" s="23"/>
      <c r="F13" s="20" t="s">
        <v>38</v>
      </c>
      <c r="G13" s="21" t="s">
        <v>39</v>
      </c>
      <c r="H13" s="22" t="s">
        <v>40</v>
      </c>
      <c r="I13" s="22">
        <v>1</v>
      </c>
      <c r="J13" s="22" t="s">
        <v>222</v>
      </c>
      <c r="K13" s="3" t="s">
        <v>47</v>
      </c>
      <c r="L13" s="9">
        <v>500</v>
      </c>
      <c r="M13" s="9">
        <v>410</v>
      </c>
      <c r="N13" s="10">
        <f t="shared" si="1"/>
        <v>90</v>
      </c>
      <c r="O13" s="38">
        <f t="shared" si="2"/>
        <v>82</v>
      </c>
      <c r="P13" s="11">
        <v>15</v>
      </c>
      <c r="Q13" s="11">
        <v>22</v>
      </c>
      <c r="R13" s="12">
        <f t="shared" si="3"/>
        <v>-7</v>
      </c>
      <c r="S13" s="28">
        <f t="shared" si="4"/>
        <v>68.181818181818187</v>
      </c>
      <c r="T13" s="9">
        <v>9</v>
      </c>
      <c r="U13" s="9">
        <v>7</v>
      </c>
      <c r="V13" s="9">
        <v>10</v>
      </c>
      <c r="W13" s="9">
        <v>8</v>
      </c>
      <c r="X13" s="9">
        <v>10</v>
      </c>
      <c r="Y13" s="10">
        <f t="shared" si="5"/>
        <v>44</v>
      </c>
      <c r="Z13" s="30">
        <f t="shared" si="6"/>
        <v>88</v>
      </c>
      <c r="AA13" s="32">
        <f t="shared" si="0"/>
        <v>79.393939393939391</v>
      </c>
    </row>
    <row r="14" spans="1:27" ht="27.6" hidden="1" x14ac:dyDescent="0.3">
      <c r="A14" s="24" t="s">
        <v>35</v>
      </c>
      <c r="B14" s="24" t="s">
        <v>36</v>
      </c>
      <c r="C14" s="24" t="s">
        <v>225</v>
      </c>
      <c r="D14" s="24" t="s">
        <v>224</v>
      </c>
      <c r="E14" s="23"/>
      <c r="F14" s="20"/>
      <c r="G14" s="21"/>
      <c r="H14" s="22"/>
      <c r="I14" s="22"/>
      <c r="J14" s="22" t="s">
        <v>222</v>
      </c>
      <c r="K14" s="3" t="s">
        <v>49</v>
      </c>
      <c r="L14" s="9"/>
      <c r="M14" s="9"/>
      <c r="N14" s="10">
        <f t="shared" si="1"/>
        <v>0</v>
      </c>
      <c r="O14" s="38">
        <f t="shared" si="2"/>
        <v>0</v>
      </c>
      <c r="P14" s="11"/>
      <c r="Q14" s="11"/>
      <c r="R14" s="12">
        <f t="shared" si="3"/>
        <v>0</v>
      </c>
      <c r="S14" s="28">
        <f t="shared" si="4"/>
        <v>0</v>
      </c>
      <c r="T14" s="9"/>
      <c r="U14" s="9"/>
      <c r="V14" s="9"/>
      <c r="W14" s="9"/>
      <c r="X14" s="9"/>
      <c r="Y14" s="10">
        <f t="shared" si="5"/>
        <v>0</v>
      </c>
      <c r="Z14" s="30">
        <f t="shared" si="6"/>
        <v>0</v>
      </c>
      <c r="AA14" s="32">
        <f t="shared" si="0"/>
        <v>0</v>
      </c>
    </row>
    <row r="15" spans="1:27" ht="27.6" hidden="1" x14ac:dyDescent="0.3">
      <c r="A15" s="24" t="s">
        <v>35</v>
      </c>
      <c r="B15" s="24" t="s">
        <v>36</v>
      </c>
      <c r="C15" s="24" t="s">
        <v>226</v>
      </c>
      <c r="D15" s="24" t="s">
        <v>224</v>
      </c>
      <c r="E15" s="23"/>
      <c r="F15" s="20"/>
      <c r="G15" s="21"/>
      <c r="H15" s="22"/>
      <c r="I15" s="22"/>
      <c r="J15" s="22" t="s">
        <v>222</v>
      </c>
      <c r="K15" s="3" t="s">
        <v>51</v>
      </c>
      <c r="L15" s="9"/>
      <c r="M15" s="9"/>
      <c r="N15" s="10">
        <f t="shared" si="1"/>
        <v>0</v>
      </c>
      <c r="O15" s="38">
        <f t="shared" si="2"/>
        <v>0</v>
      </c>
      <c r="P15" s="11"/>
      <c r="Q15" s="11"/>
      <c r="R15" s="12">
        <f t="shared" si="3"/>
        <v>0</v>
      </c>
      <c r="S15" s="28">
        <f t="shared" si="4"/>
        <v>0</v>
      </c>
      <c r="T15" s="9"/>
      <c r="U15" s="9"/>
      <c r="V15" s="9"/>
      <c r="W15" s="9"/>
      <c r="X15" s="9"/>
      <c r="Y15" s="10">
        <f t="shared" si="5"/>
        <v>0</v>
      </c>
      <c r="Z15" s="30">
        <f t="shared" si="6"/>
        <v>0</v>
      </c>
      <c r="AA15" s="32">
        <f t="shared" si="0"/>
        <v>0</v>
      </c>
    </row>
    <row r="16" spans="1:27" ht="27.6" x14ac:dyDescent="0.3">
      <c r="A16" s="24" t="s">
        <v>35</v>
      </c>
      <c r="B16" s="24" t="s">
        <v>36</v>
      </c>
      <c r="C16" s="24" t="s">
        <v>37</v>
      </c>
      <c r="D16" s="24" t="s">
        <v>221</v>
      </c>
      <c r="E16" s="23"/>
      <c r="F16" s="20"/>
      <c r="G16" s="21"/>
      <c r="H16" s="22"/>
      <c r="I16" s="22"/>
      <c r="J16" s="22" t="s">
        <v>222</v>
      </c>
      <c r="K16" s="3" t="s">
        <v>52</v>
      </c>
      <c r="L16" s="9"/>
      <c r="M16" s="9"/>
      <c r="N16" s="10">
        <f t="shared" si="1"/>
        <v>0</v>
      </c>
      <c r="O16" s="38">
        <f t="shared" si="2"/>
        <v>0</v>
      </c>
      <c r="P16" s="11"/>
      <c r="Q16" s="11"/>
      <c r="R16" s="12">
        <f t="shared" si="3"/>
        <v>0</v>
      </c>
      <c r="S16" s="28">
        <f t="shared" si="4"/>
        <v>0</v>
      </c>
      <c r="T16" s="9"/>
      <c r="U16" s="9"/>
      <c r="V16" s="9"/>
      <c r="W16" s="9"/>
      <c r="X16" s="9"/>
      <c r="Y16" s="10">
        <f t="shared" si="5"/>
        <v>0</v>
      </c>
      <c r="Z16" s="30">
        <f t="shared" si="6"/>
        <v>0</v>
      </c>
      <c r="AA16" s="32">
        <f t="shared" si="0"/>
        <v>0</v>
      </c>
    </row>
    <row r="17" spans="1:27" ht="27.6" hidden="1" x14ac:dyDescent="0.3">
      <c r="A17" s="24" t="s">
        <v>35</v>
      </c>
      <c r="B17" s="24" t="s">
        <v>36</v>
      </c>
      <c r="C17" s="24" t="s">
        <v>42</v>
      </c>
      <c r="D17" s="24" t="s">
        <v>221</v>
      </c>
      <c r="E17" s="23"/>
      <c r="F17" s="20"/>
      <c r="G17" s="21"/>
      <c r="H17" s="22"/>
      <c r="I17" s="22"/>
      <c r="J17" s="22" t="s">
        <v>222</v>
      </c>
      <c r="K17" s="3" t="s">
        <v>53</v>
      </c>
      <c r="L17" s="9"/>
      <c r="M17" s="9"/>
      <c r="N17" s="10">
        <f t="shared" si="1"/>
        <v>0</v>
      </c>
      <c r="O17" s="38">
        <f t="shared" si="2"/>
        <v>0</v>
      </c>
      <c r="P17" s="11"/>
      <c r="Q17" s="11"/>
      <c r="R17" s="12">
        <f t="shared" si="3"/>
        <v>0</v>
      </c>
      <c r="S17" s="28">
        <f t="shared" si="4"/>
        <v>0</v>
      </c>
      <c r="T17" s="9"/>
      <c r="U17" s="9"/>
      <c r="V17" s="9"/>
      <c r="W17" s="9"/>
      <c r="X17" s="9"/>
      <c r="Y17" s="10">
        <f t="shared" si="5"/>
        <v>0</v>
      </c>
      <c r="Z17" s="30">
        <f t="shared" si="6"/>
        <v>0</v>
      </c>
      <c r="AA17" s="32">
        <f t="shared" si="0"/>
        <v>0</v>
      </c>
    </row>
    <row r="18" spans="1:27" ht="27.6" hidden="1" x14ac:dyDescent="0.3">
      <c r="A18" s="24" t="s">
        <v>35</v>
      </c>
      <c r="B18" s="24" t="s">
        <v>36</v>
      </c>
      <c r="C18" s="24" t="s">
        <v>44</v>
      </c>
      <c r="D18" s="24" t="s">
        <v>221</v>
      </c>
      <c r="E18" s="23"/>
      <c r="F18" s="20"/>
      <c r="G18" s="21"/>
      <c r="H18" s="22"/>
      <c r="I18" s="22"/>
      <c r="J18" s="22" t="s">
        <v>222</v>
      </c>
      <c r="K18" s="3" t="s">
        <v>54</v>
      </c>
      <c r="L18" s="9"/>
      <c r="M18" s="9"/>
      <c r="N18" s="10">
        <f t="shared" si="1"/>
        <v>0</v>
      </c>
      <c r="O18" s="38">
        <f t="shared" si="2"/>
        <v>0</v>
      </c>
      <c r="P18" s="11"/>
      <c r="Q18" s="11"/>
      <c r="R18" s="12">
        <f t="shared" si="3"/>
        <v>0</v>
      </c>
      <c r="S18" s="28">
        <f t="shared" si="4"/>
        <v>0</v>
      </c>
      <c r="T18" s="9"/>
      <c r="U18" s="9"/>
      <c r="V18" s="9"/>
      <c r="W18" s="9"/>
      <c r="X18" s="9"/>
      <c r="Y18" s="10">
        <f t="shared" si="5"/>
        <v>0</v>
      </c>
      <c r="Z18" s="30">
        <f t="shared" si="6"/>
        <v>0</v>
      </c>
      <c r="AA18" s="32">
        <f t="shared" si="0"/>
        <v>0</v>
      </c>
    </row>
    <row r="19" spans="1:27" ht="41.4" x14ac:dyDescent="0.3">
      <c r="A19" s="24" t="s">
        <v>35</v>
      </c>
      <c r="B19" s="24" t="s">
        <v>36</v>
      </c>
      <c r="C19" s="24" t="s">
        <v>37</v>
      </c>
      <c r="D19" s="24" t="s">
        <v>227</v>
      </c>
      <c r="E19" s="23"/>
      <c r="F19" s="20"/>
      <c r="G19" s="21"/>
      <c r="H19" s="22"/>
      <c r="I19" s="22"/>
      <c r="J19" s="22" t="s">
        <v>222</v>
      </c>
      <c r="K19" s="3" t="s">
        <v>228</v>
      </c>
      <c r="L19" s="9"/>
      <c r="M19" s="9"/>
      <c r="N19" s="10">
        <f t="shared" si="1"/>
        <v>0</v>
      </c>
      <c r="O19" s="38">
        <f t="shared" si="2"/>
        <v>0</v>
      </c>
      <c r="P19" s="11"/>
      <c r="Q19" s="11"/>
      <c r="R19" s="12">
        <f t="shared" si="3"/>
        <v>0</v>
      </c>
      <c r="S19" s="28">
        <f t="shared" si="4"/>
        <v>0</v>
      </c>
      <c r="T19" s="9"/>
      <c r="U19" s="9"/>
      <c r="V19" s="9"/>
      <c r="W19" s="9"/>
      <c r="X19" s="9"/>
      <c r="Y19" s="10">
        <f t="shared" si="5"/>
        <v>0</v>
      </c>
      <c r="Z19" s="30">
        <f t="shared" si="6"/>
        <v>0</v>
      </c>
      <c r="AA19" s="32">
        <f t="shared" si="0"/>
        <v>0</v>
      </c>
    </row>
    <row r="20" spans="1:27" ht="41.4" hidden="1" x14ac:dyDescent="0.3">
      <c r="A20" s="24" t="s">
        <v>35</v>
      </c>
      <c r="B20" s="24" t="s">
        <v>36</v>
      </c>
      <c r="C20" s="24" t="s">
        <v>42</v>
      </c>
      <c r="D20" s="24" t="s">
        <v>227</v>
      </c>
      <c r="E20" s="23"/>
      <c r="F20" s="20"/>
      <c r="G20" s="21"/>
      <c r="H20" s="22"/>
      <c r="I20" s="22"/>
      <c r="J20" s="22" t="s">
        <v>222</v>
      </c>
      <c r="K20" s="3" t="s">
        <v>229</v>
      </c>
      <c r="L20" s="9"/>
      <c r="M20" s="9"/>
      <c r="N20" s="10">
        <f t="shared" si="1"/>
        <v>0</v>
      </c>
      <c r="O20" s="38">
        <f t="shared" si="2"/>
        <v>0</v>
      </c>
      <c r="P20" s="11"/>
      <c r="Q20" s="11"/>
      <c r="R20" s="12">
        <f t="shared" si="3"/>
        <v>0</v>
      </c>
      <c r="S20" s="28">
        <f t="shared" si="4"/>
        <v>0</v>
      </c>
      <c r="T20" s="9"/>
      <c r="U20" s="9"/>
      <c r="V20" s="9"/>
      <c r="W20" s="9"/>
      <c r="X20" s="9"/>
      <c r="Y20" s="10">
        <f t="shared" si="5"/>
        <v>0</v>
      </c>
      <c r="Z20" s="30">
        <f t="shared" si="6"/>
        <v>0</v>
      </c>
      <c r="AA20" s="32">
        <f t="shared" si="0"/>
        <v>0</v>
      </c>
    </row>
    <row r="21" spans="1:27" ht="41.4" hidden="1" x14ac:dyDescent="0.3">
      <c r="A21" s="24" t="s">
        <v>35</v>
      </c>
      <c r="B21" s="24" t="s">
        <v>36</v>
      </c>
      <c r="C21" s="24" t="s">
        <v>44</v>
      </c>
      <c r="D21" s="24" t="s">
        <v>227</v>
      </c>
      <c r="E21" s="23"/>
      <c r="F21" s="20"/>
      <c r="G21" s="21"/>
      <c r="H21" s="22"/>
      <c r="I21" s="22"/>
      <c r="J21" s="22" t="s">
        <v>222</v>
      </c>
      <c r="K21" s="3" t="s">
        <v>230</v>
      </c>
      <c r="L21" s="9"/>
      <c r="M21" s="9"/>
      <c r="N21" s="10">
        <f t="shared" si="1"/>
        <v>0</v>
      </c>
      <c r="O21" s="38">
        <f t="shared" si="2"/>
        <v>0</v>
      </c>
      <c r="P21" s="11"/>
      <c r="Q21" s="11"/>
      <c r="R21" s="12">
        <f t="shared" si="3"/>
        <v>0</v>
      </c>
      <c r="S21" s="28">
        <f t="shared" si="4"/>
        <v>0</v>
      </c>
      <c r="T21" s="9"/>
      <c r="U21" s="9"/>
      <c r="V21" s="9"/>
      <c r="W21" s="9"/>
      <c r="X21" s="9"/>
      <c r="Y21" s="10">
        <f t="shared" si="5"/>
        <v>0</v>
      </c>
      <c r="Z21" s="30">
        <f t="shared" si="6"/>
        <v>0</v>
      </c>
      <c r="AA21" s="32">
        <f t="shared" si="0"/>
        <v>0</v>
      </c>
    </row>
    <row r="22" spans="1:27" ht="27.6" x14ac:dyDescent="0.3">
      <c r="A22" s="24" t="s">
        <v>35</v>
      </c>
      <c r="B22" s="24" t="s">
        <v>36</v>
      </c>
      <c r="C22" s="24" t="s">
        <v>37</v>
      </c>
      <c r="D22" s="24" t="s">
        <v>227</v>
      </c>
      <c r="E22" s="23"/>
      <c r="F22" s="20"/>
      <c r="G22" s="21"/>
      <c r="H22" s="22"/>
      <c r="I22" s="22"/>
      <c r="J22" s="22" t="s">
        <v>222</v>
      </c>
      <c r="K22" s="3" t="s">
        <v>58</v>
      </c>
      <c r="L22" s="9"/>
      <c r="M22" s="9"/>
      <c r="N22" s="10">
        <f t="shared" si="1"/>
        <v>0</v>
      </c>
      <c r="O22" s="38">
        <f t="shared" si="2"/>
        <v>0</v>
      </c>
      <c r="P22" s="11"/>
      <c r="Q22" s="11"/>
      <c r="R22" s="12">
        <f t="shared" si="3"/>
        <v>0</v>
      </c>
      <c r="S22" s="28">
        <f t="shared" si="4"/>
        <v>0</v>
      </c>
      <c r="T22" s="9"/>
      <c r="U22" s="9"/>
      <c r="V22" s="9"/>
      <c r="W22" s="9"/>
      <c r="X22" s="9"/>
      <c r="Y22" s="10">
        <f t="shared" si="5"/>
        <v>0</v>
      </c>
      <c r="Z22" s="30">
        <f t="shared" si="6"/>
        <v>0</v>
      </c>
      <c r="AA22" s="32">
        <f t="shared" si="0"/>
        <v>0</v>
      </c>
    </row>
    <row r="23" spans="1:27" ht="27.6" hidden="1" x14ac:dyDescent="0.3">
      <c r="A23" s="24" t="s">
        <v>35</v>
      </c>
      <c r="B23" s="24" t="s">
        <v>36</v>
      </c>
      <c r="C23" s="24" t="s">
        <v>42</v>
      </c>
      <c r="D23" s="24" t="s">
        <v>227</v>
      </c>
      <c r="E23" s="23"/>
      <c r="F23" s="20"/>
      <c r="G23" s="21"/>
      <c r="H23" s="22"/>
      <c r="I23" s="22"/>
      <c r="J23" s="22" t="s">
        <v>222</v>
      </c>
      <c r="K23" s="3" t="s">
        <v>59</v>
      </c>
      <c r="L23" s="9"/>
      <c r="M23" s="9"/>
      <c r="N23" s="10">
        <f t="shared" si="1"/>
        <v>0</v>
      </c>
      <c r="O23" s="38">
        <f t="shared" si="2"/>
        <v>0</v>
      </c>
      <c r="P23" s="11"/>
      <c r="Q23" s="11"/>
      <c r="R23" s="12">
        <f t="shared" si="3"/>
        <v>0</v>
      </c>
      <c r="S23" s="28">
        <f t="shared" si="4"/>
        <v>0</v>
      </c>
      <c r="T23" s="9"/>
      <c r="U23" s="9"/>
      <c r="V23" s="9"/>
      <c r="W23" s="9"/>
      <c r="X23" s="9"/>
      <c r="Y23" s="10">
        <f t="shared" si="5"/>
        <v>0</v>
      </c>
      <c r="Z23" s="30">
        <f t="shared" si="6"/>
        <v>0</v>
      </c>
      <c r="AA23" s="32">
        <f t="shared" si="0"/>
        <v>0</v>
      </c>
    </row>
    <row r="24" spans="1:27" ht="27.6" hidden="1" x14ac:dyDescent="0.3">
      <c r="A24" s="24" t="s">
        <v>35</v>
      </c>
      <c r="B24" s="24" t="s">
        <v>36</v>
      </c>
      <c r="C24" s="24" t="s">
        <v>44</v>
      </c>
      <c r="D24" s="24" t="s">
        <v>227</v>
      </c>
      <c r="E24" s="23"/>
      <c r="F24" s="20"/>
      <c r="G24" s="21"/>
      <c r="H24" s="22"/>
      <c r="I24" s="22"/>
      <c r="J24" s="22" t="s">
        <v>222</v>
      </c>
      <c r="K24" s="3" t="s">
        <v>60</v>
      </c>
      <c r="L24" s="9"/>
      <c r="M24" s="9"/>
      <c r="N24" s="10">
        <f t="shared" si="1"/>
        <v>0</v>
      </c>
      <c r="O24" s="38">
        <f t="shared" si="2"/>
        <v>0</v>
      </c>
      <c r="P24" s="11"/>
      <c r="Q24" s="11"/>
      <c r="R24" s="12">
        <f t="shared" si="3"/>
        <v>0</v>
      </c>
      <c r="S24" s="28">
        <f t="shared" si="4"/>
        <v>0</v>
      </c>
      <c r="T24" s="9"/>
      <c r="U24" s="9"/>
      <c r="V24" s="9"/>
      <c r="W24" s="9"/>
      <c r="X24" s="9"/>
      <c r="Y24" s="10">
        <f t="shared" si="5"/>
        <v>0</v>
      </c>
      <c r="Z24" s="30">
        <f t="shared" si="6"/>
        <v>0</v>
      </c>
      <c r="AA24" s="32">
        <f t="shared" si="0"/>
        <v>0</v>
      </c>
    </row>
    <row r="25" spans="1:27" ht="27.6" x14ac:dyDescent="0.3">
      <c r="A25" s="24" t="s">
        <v>35</v>
      </c>
      <c r="B25" s="24"/>
      <c r="C25" s="24" t="s">
        <v>37</v>
      </c>
      <c r="D25" s="24" t="s">
        <v>221</v>
      </c>
      <c r="E25" s="23"/>
      <c r="F25" s="20"/>
      <c r="G25" s="21"/>
      <c r="H25" s="22"/>
      <c r="I25" s="22"/>
      <c r="J25" s="22" t="s">
        <v>231</v>
      </c>
      <c r="K25" s="3" t="s">
        <v>61</v>
      </c>
      <c r="L25" s="9"/>
      <c r="M25" s="9"/>
      <c r="N25" s="10">
        <f t="shared" si="1"/>
        <v>0</v>
      </c>
      <c r="O25" s="38">
        <f t="shared" si="2"/>
        <v>0</v>
      </c>
      <c r="P25" s="11"/>
      <c r="Q25" s="11"/>
      <c r="R25" s="12">
        <f t="shared" si="3"/>
        <v>0</v>
      </c>
      <c r="S25" s="28">
        <f t="shared" si="4"/>
        <v>0</v>
      </c>
      <c r="T25" s="9"/>
      <c r="U25" s="9"/>
      <c r="V25" s="9"/>
      <c r="W25" s="9"/>
      <c r="X25" s="9"/>
      <c r="Y25" s="10">
        <f t="shared" si="5"/>
        <v>0</v>
      </c>
      <c r="Z25" s="30">
        <f t="shared" si="6"/>
        <v>0</v>
      </c>
      <c r="AA25" s="32">
        <f t="shared" si="0"/>
        <v>0</v>
      </c>
    </row>
    <row r="26" spans="1:27" ht="27.6" hidden="1" x14ac:dyDescent="0.3">
      <c r="A26" s="24" t="s">
        <v>35</v>
      </c>
      <c r="B26" s="24"/>
      <c r="C26" s="24" t="s">
        <v>42</v>
      </c>
      <c r="D26" s="24" t="s">
        <v>221</v>
      </c>
      <c r="E26" s="23"/>
      <c r="F26" s="20"/>
      <c r="G26" s="21"/>
      <c r="H26" s="22"/>
      <c r="I26" s="22"/>
      <c r="J26" s="22" t="s">
        <v>231</v>
      </c>
      <c r="K26" s="3" t="s">
        <v>62</v>
      </c>
      <c r="L26" s="9"/>
      <c r="M26" s="9"/>
      <c r="N26" s="10">
        <f t="shared" si="1"/>
        <v>0</v>
      </c>
      <c r="O26" s="38">
        <f t="shared" si="2"/>
        <v>0</v>
      </c>
      <c r="P26" s="11"/>
      <c r="Q26" s="11"/>
      <c r="R26" s="12">
        <f t="shared" si="3"/>
        <v>0</v>
      </c>
      <c r="S26" s="28">
        <f t="shared" si="4"/>
        <v>0</v>
      </c>
      <c r="T26" s="9"/>
      <c r="U26" s="9"/>
      <c r="V26" s="9"/>
      <c r="W26" s="9"/>
      <c r="X26" s="9"/>
      <c r="Y26" s="10">
        <f t="shared" si="5"/>
        <v>0</v>
      </c>
      <c r="Z26" s="30">
        <f t="shared" si="6"/>
        <v>0</v>
      </c>
      <c r="AA26" s="32">
        <f t="shared" si="0"/>
        <v>0</v>
      </c>
    </row>
    <row r="27" spans="1:27" ht="27.6" hidden="1" x14ac:dyDescent="0.3">
      <c r="A27" s="24" t="s">
        <v>35</v>
      </c>
      <c r="B27" s="24"/>
      <c r="C27" s="24" t="s">
        <v>44</v>
      </c>
      <c r="D27" s="24" t="s">
        <v>221</v>
      </c>
      <c r="E27" s="23"/>
      <c r="F27" s="20"/>
      <c r="G27" s="21"/>
      <c r="H27" s="22"/>
      <c r="I27" s="22"/>
      <c r="J27" s="22" t="s">
        <v>231</v>
      </c>
      <c r="K27" s="3" t="s">
        <v>63</v>
      </c>
      <c r="L27" s="9"/>
      <c r="M27" s="9"/>
      <c r="N27" s="10">
        <f t="shared" si="1"/>
        <v>0</v>
      </c>
      <c r="O27" s="38">
        <f t="shared" si="2"/>
        <v>0</v>
      </c>
      <c r="P27" s="11"/>
      <c r="Q27" s="11"/>
      <c r="R27" s="12">
        <f t="shared" si="3"/>
        <v>0</v>
      </c>
      <c r="S27" s="28">
        <f t="shared" si="4"/>
        <v>0</v>
      </c>
      <c r="T27" s="9"/>
      <c r="U27" s="9"/>
      <c r="V27" s="9"/>
      <c r="W27" s="9"/>
      <c r="X27" s="9"/>
      <c r="Y27" s="10">
        <f t="shared" si="5"/>
        <v>0</v>
      </c>
      <c r="Z27" s="30">
        <f t="shared" si="6"/>
        <v>0</v>
      </c>
      <c r="AA27" s="32">
        <f t="shared" si="0"/>
        <v>0</v>
      </c>
    </row>
    <row r="28" spans="1:27" ht="41.4" hidden="1" x14ac:dyDescent="0.3">
      <c r="A28" s="24" t="s">
        <v>64</v>
      </c>
      <c r="B28" s="24"/>
      <c r="C28" s="24" t="s">
        <v>65</v>
      </c>
      <c r="D28" s="24" t="s">
        <v>221</v>
      </c>
      <c r="E28" s="23"/>
      <c r="F28" s="20"/>
      <c r="G28" s="21"/>
      <c r="H28" s="22"/>
      <c r="I28" s="22"/>
      <c r="J28" s="22" t="s">
        <v>231</v>
      </c>
      <c r="K28" s="3" t="s">
        <v>66</v>
      </c>
      <c r="L28" s="9"/>
      <c r="M28" s="9"/>
      <c r="N28" s="10">
        <f t="shared" si="1"/>
        <v>0</v>
      </c>
      <c r="O28" s="38">
        <f t="shared" si="2"/>
        <v>0</v>
      </c>
      <c r="P28" s="11"/>
      <c r="Q28" s="11"/>
      <c r="R28" s="12">
        <f t="shared" si="3"/>
        <v>0</v>
      </c>
      <c r="S28" s="28">
        <f t="shared" si="4"/>
        <v>0</v>
      </c>
      <c r="T28" s="9"/>
      <c r="U28" s="9"/>
      <c r="V28" s="9"/>
      <c r="W28" s="9"/>
      <c r="X28" s="9"/>
      <c r="Y28" s="10">
        <f t="shared" si="5"/>
        <v>0</v>
      </c>
      <c r="Z28" s="30">
        <f t="shared" si="6"/>
        <v>0</v>
      </c>
      <c r="AA28" s="32">
        <f t="shared" si="0"/>
        <v>0</v>
      </c>
    </row>
    <row r="29" spans="1:27" ht="27.6" x14ac:dyDescent="0.3">
      <c r="A29" s="24" t="s">
        <v>35</v>
      </c>
      <c r="B29" s="24"/>
      <c r="C29" s="24" t="s">
        <v>37</v>
      </c>
      <c r="D29" s="24" t="s">
        <v>221</v>
      </c>
      <c r="E29" s="23"/>
      <c r="F29" s="20"/>
      <c r="G29" s="21"/>
      <c r="H29" s="22"/>
      <c r="I29" s="22"/>
      <c r="J29" s="22"/>
      <c r="K29" s="3" t="s">
        <v>67</v>
      </c>
      <c r="L29" s="9"/>
      <c r="M29" s="9"/>
      <c r="N29" s="10">
        <f t="shared" si="1"/>
        <v>0</v>
      </c>
      <c r="O29" s="38">
        <f t="shared" si="2"/>
        <v>0</v>
      </c>
      <c r="P29" s="11"/>
      <c r="Q29" s="11"/>
      <c r="R29" s="12">
        <f t="shared" si="3"/>
        <v>0</v>
      </c>
      <c r="S29" s="28">
        <f t="shared" si="4"/>
        <v>0</v>
      </c>
      <c r="T29" s="9"/>
      <c r="U29" s="9"/>
      <c r="V29" s="9"/>
      <c r="W29" s="9"/>
      <c r="X29" s="9"/>
      <c r="Y29" s="10">
        <f t="shared" si="5"/>
        <v>0</v>
      </c>
      <c r="Z29" s="30">
        <f t="shared" si="6"/>
        <v>0</v>
      </c>
      <c r="AA29" s="32">
        <f t="shared" si="0"/>
        <v>0</v>
      </c>
    </row>
    <row r="30" spans="1:27" ht="27.6" hidden="1" x14ac:dyDescent="0.3">
      <c r="A30" s="24" t="s">
        <v>64</v>
      </c>
      <c r="B30" s="24"/>
      <c r="C30" s="24" t="s">
        <v>65</v>
      </c>
      <c r="D30" s="24" t="s">
        <v>221</v>
      </c>
      <c r="E30" s="23"/>
      <c r="F30" s="20"/>
      <c r="G30" s="21"/>
      <c r="H30" s="22"/>
      <c r="I30" s="22"/>
      <c r="J30" s="22"/>
      <c r="K30" s="3" t="s">
        <v>68</v>
      </c>
      <c r="L30" s="9"/>
      <c r="M30" s="9"/>
      <c r="N30" s="10">
        <f t="shared" si="1"/>
        <v>0</v>
      </c>
      <c r="O30" s="38">
        <f t="shared" si="2"/>
        <v>0</v>
      </c>
      <c r="P30" s="11"/>
      <c r="Q30" s="11"/>
      <c r="R30" s="12">
        <f t="shared" si="3"/>
        <v>0</v>
      </c>
      <c r="S30" s="28">
        <f t="shared" si="4"/>
        <v>0</v>
      </c>
      <c r="T30" s="9"/>
      <c r="U30" s="9"/>
      <c r="V30" s="9"/>
      <c r="W30" s="9"/>
      <c r="X30" s="9"/>
      <c r="Y30" s="10">
        <f t="shared" si="5"/>
        <v>0</v>
      </c>
      <c r="Z30" s="30">
        <f t="shared" si="6"/>
        <v>0</v>
      </c>
      <c r="AA30" s="32">
        <f t="shared" si="0"/>
        <v>0</v>
      </c>
    </row>
    <row r="31" spans="1:27" ht="27.6" hidden="1" x14ac:dyDescent="0.3">
      <c r="A31" s="24" t="s">
        <v>35</v>
      </c>
      <c r="B31" s="24"/>
      <c r="C31" s="24" t="s">
        <v>42</v>
      </c>
      <c r="D31" s="24" t="s">
        <v>221</v>
      </c>
      <c r="E31" s="23"/>
      <c r="F31" s="20"/>
      <c r="G31" s="21"/>
      <c r="H31" s="22"/>
      <c r="I31" s="22"/>
      <c r="J31" s="22"/>
      <c r="K31" s="3" t="s">
        <v>69</v>
      </c>
      <c r="L31" s="9"/>
      <c r="M31" s="9"/>
      <c r="N31" s="10">
        <f t="shared" si="1"/>
        <v>0</v>
      </c>
      <c r="O31" s="38">
        <f t="shared" si="2"/>
        <v>0</v>
      </c>
      <c r="P31" s="11"/>
      <c r="Q31" s="11"/>
      <c r="R31" s="12">
        <f t="shared" si="3"/>
        <v>0</v>
      </c>
      <c r="S31" s="28">
        <f t="shared" si="4"/>
        <v>0</v>
      </c>
      <c r="T31" s="9"/>
      <c r="U31" s="9"/>
      <c r="V31" s="9"/>
      <c r="W31" s="9"/>
      <c r="X31" s="9"/>
      <c r="Y31" s="10">
        <f t="shared" si="5"/>
        <v>0</v>
      </c>
      <c r="Z31" s="30">
        <f t="shared" si="6"/>
        <v>0</v>
      </c>
      <c r="AA31" s="32">
        <f t="shared" si="0"/>
        <v>0</v>
      </c>
    </row>
    <row r="32" spans="1:27" ht="27.6" hidden="1" x14ac:dyDescent="0.3">
      <c r="A32" s="24" t="s">
        <v>35</v>
      </c>
      <c r="B32" s="24"/>
      <c r="C32" s="24" t="s">
        <v>44</v>
      </c>
      <c r="D32" s="24" t="s">
        <v>221</v>
      </c>
      <c r="E32" s="23"/>
      <c r="F32" s="20"/>
      <c r="G32" s="21"/>
      <c r="H32" s="22"/>
      <c r="I32" s="22"/>
      <c r="J32" s="22"/>
      <c r="K32" s="3" t="s">
        <v>70</v>
      </c>
      <c r="L32" s="9"/>
      <c r="M32" s="9"/>
      <c r="N32" s="10">
        <f t="shared" si="1"/>
        <v>0</v>
      </c>
      <c r="O32" s="38">
        <f t="shared" si="2"/>
        <v>0</v>
      </c>
      <c r="P32" s="11"/>
      <c r="Q32" s="11"/>
      <c r="R32" s="12">
        <f t="shared" si="3"/>
        <v>0</v>
      </c>
      <c r="S32" s="28">
        <f t="shared" si="4"/>
        <v>0</v>
      </c>
      <c r="T32" s="9"/>
      <c r="U32" s="9"/>
      <c r="V32" s="9"/>
      <c r="W32" s="9"/>
      <c r="X32" s="9"/>
      <c r="Y32" s="10">
        <f t="shared" si="5"/>
        <v>0</v>
      </c>
      <c r="Z32" s="30">
        <f t="shared" si="6"/>
        <v>0</v>
      </c>
      <c r="AA32" s="32">
        <f t="shared" si="0"/>
        <v>0</v>
      </c>
    </row>
    <row r="33" spans="1:27" ht="27.6" x14ac:dyDescent="0.3">
      <c r="A33" s="24" t="s">
        <v>35</v>
      </c>
      <c r="B33" s="24"/>
      <c r="C33" s="24" t="s">
        <v>37</v>
      </c>
      <c r="D33" s="24" t="s">
        <v>232</v>
      </c>
      <c r="E33" s="23"/>
      <c r="F33" s="20"/>
      <c r="G33" s="21"/>
      <c r="H33" s="22"/>
      <c r="I33" s="22"/>
      <c r="J33" s="22"/>
      <c r="K33" s="3" t="s">
        <v>233</v>
      </c>
      <c r="L33" s="9"/>
      <c r="M33" s="9"/>
      <c r="N33" s="10">
        <f t="shared" si="1"/>
        <v>0</v>
      </c>
      <c r="O33" s="38">
        <f t="shared" si="2"/>
        <v>0</v>
      </c>
      <c r="P33" s="11"/>
      <c r="Q33" s="11"/>
      <c r="R33" s="12">
        <f t="shared" si="3"/>
        <v>0</v>
      </c>
      <c r="S33" s="28">
        <f t="shared" si="4"/>
        <v>0</v>
      </c>
      <c r="T33" s="9"/>
      <c r="U33" s="9"/>
      <c r="V33" s="9"/>
      <c r="W33" s="9"/>
      <c r="X33" s="9"/>
      <c r="Y33" s="10">
        <f t="shared" si="5"/>
        <v>0</v>
      </c>
      <c r="Z33" s="30">
        <f t="shared" si="6"/>
        <v>0</v>
      </c>
      <c r="AA33" s="32">
        <f t="shared" si="0"/>
        <v>0</v>
      </c>
    </row>
    <row r="34" spans="1:27" ht="27.6" hidden="1" x14ac:dyDescent="0.3">
      <c r="A34" s="24" t="s">
        <v>35</v>
      </c>
      <c r="B34" s="24"/>
      <c r="C34" s="24" t="s">
        <v>42</v>
      </c>
      <c r="D34" s="24" t="s">
        <v>232</v>
      </c>
      <c r="E34" s="23"/>
      <c r="F34" s="20"/>
      <c r="G34" s="21"/>
      <c r="H34" s="22"/>
      <c r="I34" s="22"/>
      <c r="J34" s="22"/>
      <c r="K34" s="3" t="s">
        <v>234</v>
      </c>
      <c r="L34" s="9"/>
      <c r="M34" s="9"/>
      <c r="N34" s="10">
        <f t="shared" si="1"/>
        <v>0</v>
      </c>
      <c r="O34" s="38">
        <f t="shared" si="2"/>
        <v>0</v>
      </c>
      <c r="P34" s="11"/>
      <c r="Q34" s="11"/>
      <c r="R34" s="12">
        <f t="shared" si="3"/>
        <v>0</v>
      </c>
      <c r="S34" s="28">
        <f t="shared" si="4"/>
        <v>0</v>
      </c>
      <c r="T34" s="9"/>
      <c r="U34" s="9"/>
      <c r="V34" s="9"/>
      <c r="W34" s="9"/>
      <c r="X34" s="9"/>
      <c r="Y34" s="10">
        <f t="shared" si="5"/>
        <v>0</v>
      </c>
      <c r="Z34" s="30">
        <f t="shared" si="6"/>
        <v>0</v>
      </c>
      <c r="AA34" s="32">
        <f t="shared" si="0"/>
        <v>0</v>
      </c>
    </row>
    <row r="35" spans="1:27" ht="27.6" hidden="1" x14ac:dyDescent="0.3">
      <c r="A35" s="24" t="s">
        <v>35</v>
      </c>
      <c r="B35" s="24"/>
      <c r="C35" s="24" t="s">
        <v>44</v>
      </c>
      <c r="D35" s="24" t="s">
        <v>232</v>
      </c>
      <c r="E35" s="23"/>
      <c r="F35" s="20"/>
      <c r="G35" s="21"/>
      <c r="H35" s="22"/>
      <c r="I35" s="22"/>
      <c r="J35" s="22"/>
      <c r="K35" s="3" t="s">
        <v>235</v>
      </c>
      <c r="L35" s="9"/>
      <c r="M35" s="9"/>
      <c r="N35" s="10">
        <f t="shared" si="1"/>
        <v>0</v>
      </c>
      <c r="O35" s="38">
        <f t="shared" si="2"/>
        <v>0</v>
      </c>
      <c r="P35" s="11"/>
      <c r="Q35" s="11"/>
      <c r="R35" s="12">
        <f t="shared" si="3"/>
        <v>0</v>
      </c>
      <c r="S35" s="28">
        <f t="shared" si="4"/>
        <v>0</v>
      </c>
      <c r="T35" s="9"/>
      <c r="U35" s="9"/>
      <c r="V35" s="9"/>
      <c r="W35" s="9"/>
      <c r="X35" s="9"/>
      <c r="Y35" s="10">
        <f t="shared" si="5"/>
        <v>0</v>
      </c>
      <c r="Z35" s="30">
        <f t="shared" si="6"/>
        <v>0</v>
      </c>
      <c r="AA35" s="32">
        <f t="shared" si="0"/>
        <v>0</v>
      </c>
    </row>
    <row r="36" spans="1:27" ht="27.6" hidden="1" x14ac:dyDescent="0.3">
      <c r="A36" s="24" t="s">
        <v>64</v>
      </c>
      <c r="B36" s="24"/>
      <c r="C36" s="24" t="s">
        <v>65</v>
      </c>
      <c r="D36" s="24" t="s">
        <v>232</v>
      </c>
      <c r="E36" s="23"/>
      <c r="F36" s="20"/>
      <c r="G36" s="21"/>
      <c r="H36" s="22"/>
      <c r="I36" s="22"/>
      <c r="J36" s="22"/>
      <c r="K36" s="3" t="s">
        <v>236</v>
      </c>
      <c r="L36" s="9"/>
      <c r="M36" s="9"/>
      <c r="N36" s="10">
        <f t="shared" si="1"/>
        <v>0</v>
      </c>
      <c r="O36" s="38">
        <f t="shared" si="2"/>
        <v>0</v>
      </c>
      <c r="P36" s="11"/>
      <c r="Q36" s="11"/>
      <c r="R36" s="12">
        <f t="shared" si="3"/>
        <v>0</v>
      </c>
      <c r="S36" s="28">
        <f t="shared" si="4"/>
        <v>0</v>
      </c>
      <c r="T36" s="9"/>
      <c r="U36" s="9"/>
      <c r="V36" s="9"/>
      <c r="W36" s="9"/>
      <c r="X36" s="9"/>
      <c r="Y36" s="10">
        <f t="shared" si="5"/>
        <v>0</v>
      </c>
      <c r="Z36" s="30">
        <f t="shared" si="6"/>
        <v>0</v>
      </c>
      <c r="AA36" s="32">
        <f t="shared" si="0"/>
        <v>0</v>
      </c>
    </row>
    <row r="37" spans="1:27" ht="27.6" x14ac:dyDescent="0.3">
      <c r="A37" s="24" t="s">
        <v>35</v>
      </c>
      <c r="B37" s="24"/>
      <c r="C37" s="24" t="s">
        <v>37</v>
      </c>
      <c r="D37" s="24" t="s">
        <v>221</v>
      </c>
      <c r="E37" s="23"/>
      <c r="F37" s="20"/>
      <c r="G37" s="21"/>
      <c r="H37" s="23"/>
      <c r="I37" s="23"/>
      <c r="J37" s="23"/>
      <c r="K37" s="3" t="s">
        <v>75</v>
      </c>
      <c r="L37" s="9">
        <v>4</v>
      </c>
      <c r="M37" s="9">
        <v>4</v>
      </c>
      <c r="N37" s="10">
        <f t="shared" si="1"/>
        <v>0</v>
      </c>
      <c r="O37" s="38">
        <f t="shared" si="2"/>
        <v>100</v>
      </c>
      <c r="P37" s="11">
        <v>5</v>
      </c>
      <c r="Q37" s="11">
        <v>5</v>
      </c>
      <c r="R37" s="12">
        <f t="shared" si="3"/>
        <v>0</v>
      </c>
      <c r="S37" s="28">
        <f t="shared" si="4"/>
        <v>100</v>
      </c>
      <c r="T37" s="9">
        <v>8</v>
      </c>
      <c r="U37" s="9">
        <v>6</v>
      </c>
      <c r="V37" s="9">
        <v>6</v>
      </c>
      <c r="W37" s="9">
        <v>8</v>
      </c>
      <c r="X37" s="9">
        <v>8</v>
      </c>
      <c r="Y37" s="10">
        <f t="shared" si="5"/>
        <v>36</v>
      </c>
      <c r="Z37" s="30">
        <f t="shared" si="6"/>
        <v>72</v>
      </c>
      <c r="AA37" s="32">
        <f t="shared" si="0"/>
        <v>90.666666666666671</v>
      </c>
    </row>
    <row r="38" spans="1:27" ht="27.6" hidden="1" x14ac:dyDescent="0.3">
      <c r="A38" s="24" t="s">
        <v>64</v>
      </c>
      <c r="B38" s="24" t="s">
        <v>35</v>
      </c>
      <c r="C38" s="24" t="s">
        <v>65</v>
      </c>
      <c r="D38" s="24" t="s">
        <v>221</v>
      </c>
      <c r="E38" s="23"/>
      <c r="F38" s="20"/>
      <c r="G38" s="21"/>
      <c r="H38" s="23"/>
      <c r="I38" s="23"/>
      <c r="J38" s="23"/>
      <c r="K38" s="3" t="s">
        <v>76</v>
      </c>
      <c r="L38" s="9"/>
      <c r="M38" s="9"/>
      <c r="N38" s="10">
        <f t="shared" si="1"/>
        <v>0</v>
      </c>
      <c r="O38" s="38">
        <f t="shared" si="2"/>
        <v>0</v>
      </c>
      <c r="P38" s="11"/>
      <c r="Q38" s="11"/>
      <c r="R38" s="12">
        <f t="shared" si="3"/>
        <v>0</v>
      </c>
      <c r="S38" s="28">
        <f t="shared" si="4"/>
        <v>0</v>
      </c>
      <c r="T38" s="9"/>
      <c r="U38" s="9"/>
      <c r="V38" s="9"/>
      <c r="W38" s="9"/>
      <c r="X38" s="9"/>
      <c r="Y38" s="10">
        <f t="shared" si="5"/>
        <v>0</v>
      </c>
      <c r="Z38" s="30">
        <f t="shared" si="6"/>
        <v>0</v>
      </c>
      <c r="AA38" s="32">
        <f t="shared" si="0"/>
        <v>0</v>
      </c>
    </row>
    <row r="39" spans="1:27" ht="27.6" hidden="1" x14ac:dyDescent="0.3">
      <c r="A39" s="24" t="s">
        <v>35</v>
      </c>
      <c r="B39" s="24"/>
      <c r="C39" s="24" t="s">
        <v>42</v>
      </c>
      <c r="D39" s="24" t="s">
        <v>221</v>
      </c>
      <c r="E39" s="23"/>
      <c r="F39" s="20"/>
      <c r="G39" s="21"/>
      <c r="H39" s="23"/>
      <c r="I39" s="23"/>
      <c r="J39" s="23"/>
      <c r="K39" s="3" t="s">
        <v>77</v>
      </c>
      <c r="L39" s="9"/>
      <c r="M39" s="9"/>
      <c r="N39" s="10">
        <f t="shared" si="1"/>
        <v>0</v>
      </c>
      <c r="O39" s="38">
        <f t="shared" si="2"/>
        <v>0</v>
      </c>
      <c r="P39" s="11"/>
      <c r="Q39" s="11"/>
      <c r="R39" s="12">
        <f t="shared" si="3"/>
        <v>0</v>
      </c>
      <c r="S39" s="28">
        <f t="shared" si="4"/>
        <v>0</v>
      </c>
      <c r="T39" s="9"/>
      <c r="U39" s="9"/>
      <c r="V39" s="9"/>
      <c r="W39" s="9"/>
      <c r="X39" s="9"/>
      <c r="Y39" s="10">
        <f t="shared" si="5"/>
        <v>0</v>
      </c>
      <c r="Z39" s="30">
        <f t="shared" si="6"/>
        <v>0</v>
      </c>
      <c r="AA39" s="32">
        <f t="shared" si="0"/>
        <v>0</v>
      </c>
    </row>
    <row r="40" spans="1:27" ht="27.6" hidden="1" x14ac:dyDescent="0.3">
      <c r="A40" s="24" t="s">
        <v>35</v>
      </c>
      <c r="B40" s="24"/>
      <c r="C40" s="24" t="s">
        <v>44</v>
      </c>
      <c r="D40" s="24" t="s">
        <v>221</v>
      </c>
      <c r="E40" s="23"/>
      <c r="F40" s="20"/>
      <c r="G40" s="21"/>
      <c r="H40" s="23"/>
      <c r="I40" s="23"/>
      <c r="J40" s="23"/>
      <c r="K40" s="3" t="s">
        <v>78</v>
      </c>
      <c r="L40" s="9"/>
      <c r="M40" s="9"/>
      <c r="N40" s="10">
        <f t="shared" si="1"/>
        <v>0</v>
      </c>
      <c r="O40" s="38">
        <f t="shared" si="2"/>
        <v>0</v>
      </c>
      <c r="P40" s="11"/>
      <c r="Q40" s="11"/>
      <c r="R40" s="12">
        <f t="shared" si="3"/>
        <v>0</v>
      </c>
      <c r="S40" s="28">
        <f t="shared" si="4"/>
        <v>0</v>
      </c>
      <c r="T40" s="9"/>
      <c r="U40" s="9"/>
      <c r="V40" s="9"/>
      <c r="W40" s="9"/>
      <c r="X40" s="9"/>
      <c r="Y40" s="10">
        <f t="shared" si="5"/>
        <v>0</v>
      </c>
      <c r="Z40" s="30">
        <f t="shared" si="6"/>
        <v>0</v>
      </c>
      <c r="AA40" s="32">
        <f t="shared" si="0"/>
        <v>0</v>
      </c>
    </row>
    <row r="41" spans="1:27" ht="27.6" x14ac:dyDescent="0.3">
      <c r="A41" s="24" t="s">
        <v>35</v>
      </c>
      <c r="B41" s="24" t="s">
        <v>79</v>
      </c>
      <c r="C41" s="24" t="s">
        <v>37</v>
      </c>
      <c r="D41" s="24" t="s">
        <v>221</v>
      </c>
      <c r="E41" s="23"/>
      <c r="F41" s="20"/>
      <c r="G41" s="21"/>
      <c r="H41" s="23"/>
      <c r="I41" s="23"/>
      <c r="J41" s="23"/>
      <c r="K41" s="3" t="s">
        <v>237</v>
      </c>
      <c r="L41" s="9"/>
      <c r="M41" s="9"/>
      <c r="N41" s="10">
        <f t="shared" si="1"/>
        <v>0</v>
      </c>
      <c r="O41" s="38">
        <f t="shared" si="2"/>
        <v>0</v>
      </c>
      <c r="P41" s="11"/>
      <c r="Q41" s="11"/>
      <c r="R41" s="12">
        <f t="shared" si="3"/>
        <v>0</v>
      </c>
      <c r="S41" s="28">
        <f t="shared" si="4"/>
        <v>0</v>
      </c>
      <c r="T41" s="9"/>
      <c r="U41" s="9"/>
      <c r="V41" s="9"/>
      <c r="W41" s="9"/>
      <c r="X41" s="9"/>
      <c r="Y41" s="10">
        <f t="shared" si="5"/>
        <v>0</v>
      </c>
      <c r="Z41" s="30">
        <f t="shared" si="6"/>
        <v>0</v>
      </c>
      <c r="AA41" s="32">
        <f t="shared" si="0"/>
        <v>0</v>
      </c>
    </row>
    <row r="42" spans="1:27" ht="27.6" hidden="1" x14ac:dyDescent="0.3">
      <c r="A42" s="24" t="s">
        <v>64</v>
      </c>
      <c r="B42" s="24"/>
      <c r="C42" s="24" t="s">
        <v>65</v>
      </c>
      <c r="D42" s="24" t="s">
        <v>221</v>
      </c>
      <c r="E42" s="23"/>
      <c r="F42" s="20"/>
      <c r="G42" s="21"/>
      <c r="H42" s="23"/>
      <c r="I42" s="23"/>
      <c r="J42" s="23"/>
      <c r="K42" s="3" t="s">
        <v>81</v>
      </c>
      <c r="L42" s="9"/>
      <c r="M42" s="9"/>
      <c r="N42" s="10">
        <f t="shared" si="1"/>
        <v>0</v>
      </c>
      <c r="O42" s="38">
        <f t="shared" si="2"/>
        <v>0</v>
      </c>
      <c r="P42" s="11"/>
      <c r="Q42" s="11"/>
      <c r="R42" s="12">
        <f t="shared" si="3"/>
        <v>0</v>
      </c>
      <c r="S42" s="28">
        <f t="shared" si="4"/>
        <v>0</v>
      </c>
      <c r="T42" s="9"/>
      <c r="U42" s="9"/>
      <c r="V42" s="9"/>
      <c r="W42" s="9"/>
      <c r="X42" s="9"/>
      <c r="Y42" s="10">
        <f t="shared" si="5"/>
        <v>0</v>
      </c>
      <c r="Z42" s="30">
        <f t="shared" si="6"/>
        <v>0</v>
      </c>
      <c r="AA42" s="32">
        <f t="shared" si="0"/>
        <v>0</v>
      </c>
    </row>
    <row r="43" spans="1:27" ht="27.6" hidden="1" x14ac:dyDescent="0.3">
      <c r="A43" s="24" t="s">
        <v>35</v>
      </c>
      <c r="B43" s="24" t="s">
        <v>79</v>
      </c>
      <c r="C43" s="24" t="s">
        <v>42</v>
      </c>
      <c r="D43" s="24" t="s">
        <v>221</v>
      </c>
      <c r="E43" s="23"/>
      <c r="F43" s="20"/>
      <c r="G43" s="21"/>
      <c r="H43" s="23"/>
      <c r="I43" s="23"/>
      <c r="J43" s="23"/>
      <c r="K43" s="3" t="s">
        <v>238</v>
      </c>
      <c r="L43" s="9"/>
      <c r="M43" s="9"/>
      <c r="N43" s="10">
        <f t="shared" si="1"/>
        <v>0</v>
      </c>
      <c r="O43" s="38">
        <f t="shared" si="2"/>
        <v>0</v>
      </c>
      <c r="P43" s="11"/>
      <c r="Q43" s="11"/>
      <c r="R43" s="12">
        <f t="shared" si="3"/>
        <v>0</v>
      </c>
      <c r="S43" s="28">
        <f t="shared" si="4"/>
        <v>0</v>
      </c>
      <c r="T43" s="9"/>
      <c r="U43" s="9"/>
      <c r="V43" s="9"/>
      <c r="W43" s="9"/>
      <c r="X43" s="9"/>
      <c r="Y43" s="10">
        <f t="shared" si="5"/>
        <v>0</v>
      </c>
      <c r="Z43" s="30">
        <f t="shared" si="6"/>
        <v>0</v>
      </c>
      <c r="AA43" s="32">
        <f t="shared" si="0"/>
        <v>0</v>
      </c>
    </row>
    <row r="44" spans="1:27" ht="27.6" hidden="1" x14ac:dyDescent="0.3">
      <c r="A44" s="24" t="s">
        <v>35</v>
      </c>
      <c r="B44" s="24" t="s">
        <v>79</v>
      </c>
      <c r="C44" s="24" t="s">
        <v>44</v>
      </c>
      <c r="D44" s="24" t="s">
        <v>221</v>
      </c>
      <c r="E44" s="23"/>
      <c r="F44" s="20"/>
      <c r="G44" s="21"/>
      <c r="H44" s="23"/>
      <c r="I44" s="23"/>
      <c r="J44" s="23"/>
      <c r="K44" s="3" t="s">
        <v>83</v>
      </c>
      <c r="L44" s="9"/>
      <c r="M44" s="9"/>
      <c r="N44" s="10">
        <f t="shared" si="1"/>
        <v>0</v>
      </c>
      <c r="O44" s="38">
        <f t="shared" si="2"/>
        <v>0</v>
      </c>
      <c r="P44" s="11"/>
      <c r="Q44" s="11"/>
      <c r="R44" s="12">
        <f t="shared" si="3"/>
        <v>0</v>
      </c>
      <c r="S44" s="28">
        <f t="shared" si="4"/>
        <v>0</v>
      </c>
      <c r="T44" s="9"/>
      <c r="U44" s="9"/>
      <c r="V44" s="9"/>
      <c r="W44" s="9"/>
      <c r="X44" s="9"/>
      <c r="Y44" s="10">
        <f t="shared" si="5"/>
        <v>0</v>
      </c>
      <c r="Z44" s="30">
        <f t="shared" si="6"/>
        <v>0</v>
      </c>
      <c r="AA44" s="32">
        <f t="shared" si="0"/>
        <v>0</v>
      </c>
    </row>
    <row r="45" spans="1:27" ht="27.6" hidden="1" x14ac:dyDescent="0.3">
      <c r="A45" s="24" t="s">
        <v>84</v>
      </c>
      <c r="B45" s="24" t="s">
        <v>35</v>
      </c>
      <c r="C45" s="24" t="s">
        <v>42</v>
      </c>
      <c r="D45" s="24" t="s">
        <v>221</v>
      </c>
      <c r="E45" s="23"/>
      <c r="F45" s="20"/>
      <c r="G45" s="21"/>
      <c r="H45" s="23"/>
      <c r="I45" s="23"/>
      <c r="J45" s="23"/>
      <c r="K45" s="3" t="s">
        <v>86</v>
      </c>
      <c r="L45" s="9"/>
      <c r="M45" s="9"/>
      <c r="N45" s="10">
        <f t="shared" si="1"/>
        <v>0</v>
      </c>
      <c r="O45" s="38">
        <f t="shared" si="2"/>
        <v>0</v>
      </c>
      <c r="P45" s="11"/>
      <c r="Q45" s="11"/>
      <c r="R45" s="12">
        <f t="shared" si="3"/>
        <v>0</v>
      </c>
      <c r="S45" s="28">
        <f t="shared" si="4"/>
        <v>0</v>
      </c>
      <c r="T45" s="9"/>
      <c r="U45" s="9"/>
      <c r="V45" s="9"/>
      <c r="W45" s="9"/>
      <c r="X45" s="9"/>
      <c r="Y45" s="10">
        <f t="shared" si="5"/>
        <v>0</v>
      </c>
      <c r="Z45" s="30">
        <f t="shared" si="6"/>
        <v>0</v>
      </c>
      <c r="AA45" s="32">
        <f t="shared" si="0"/>
        <v>0</v>
      </c>
    </row>
    <row r="46" spans="1:27" ht="27.6" x14ac:dyDescent="0.3">
      <c r="A46" s="24" t="s">
        <v>79</v>
      </c>
      <c r="B46" s="24" t="s">
        <v>35</v>
      </c>
      <c r="C46" s="24" t="s">
        <v>37</v>
      </c>
      <c r="D46" s="24" t="s">
        <v>221</v>
      </c>
      <c r="E46" s="23"/>
      <c r="F46" s="20"/>
      <c r="G46" s="21"/>
      <c r="H46" s="23"/>
      <c r="I46" s="23"/>
      <c r="J46" s="23"/>
      <c r="K46" s="3" t="s">
        <v>239</v>
      </c>
      <c r="L46" s="9"/>
      <c r="M46" s="9"/>
      <c r="N46" s="10">
        <f t="shared" si="1"/>
        <v>0</v>
      </c>
      <c r="O46" s="38">
        <f t="shared" si="2"/>
        <v>0</v>
      </c>
      <c r="P46" s="11"/>
      <c r="Q46" s="11"/>
      <c r="R46" s="12">
        <f t="shared" si="3"/>
        <v>0</v>
      </c>
      <c r="S46" s="28">
        <f t="shared" si="4"/>
        <v>0</v>
      </c>
      <c r="T46" s="9"/>
      <c r="U46" s="9"/>
      <c r="V46" s="9"/>
      <c r="W46" s="9"/>
      <c r="X46" s="9"/>
      <c r="Y46" s="10">
        <f t="shared" si="5"/>
        <v>0</v>
      </c>
      <c r="Z46" s="30">
        <f t="shared" si="6"/>
        <v>0</v>
      </c>
      <c r="AA46" s="32">
        <f t="shared" si="0"/>
        <v>0</v>
      </c>
    </row>
    <row r="47" spans="1:27" ht="27.6" hidden="1" x14ac:dyDescent="0.3">
      <c r="A47" s="24" t="s">
        <v>79</v>
      </c>
      <c r="B47" s="24" t="s">
        <v>35</v>
      </c>
      <c r="C47" s="24" t="s">
        <v>42</v>
      </c>
      <c r="D47" s="24" t="s">
        <v>221</v>
      </c>
      <c r="E47" s="23"/>
      <c r="F47" s="20"/>
      <c r="G47" s="21"/>
      <c r="H47" s="23"/>
      <c r="I47" s="23"/>
      <c r="J47" s="23"/>
      <c r="K47" s="3" t="s">
        <v>88</v>
      </c>
      <c r="L47" s="9"/>
      <c r="M47" s="9"/>
      <c r="N47" s="10">
        <f t="shared" si="1"/>
        <v>0</v>
      </c>
      <c r="O47" s="38">
        <f t="shared" si="2"/>
        <v>0</v>
      </c>
      <c r="P47" s="11"/>
      <c r="Q47" s="11"/>
      <c r="R47" s="12">
        <f t="shared" si="3"/>
        <v>0</v>
      </c>
      <c r="S47" s="28">
        <f t="shared" si="4"/>
        <v>0</v>
      </c>
      <c r="T47" s="9"/>
      <c r="U47" s="9"/>
      <c r="V47" s="9"/>
      <c r="W47" s="9"/>
      <c r="X47" s="9"/>
      <c r="Y47" s="10">
        <f t="shared" si="5"/>
        <v>0</v>
      </c>
      <c r="Z47" s="30">
        <f t="shared" si="6"/>
        <v>0</v>
      </c>
      <c r="AA47" s="32">
        <f t="shared" si="0"/>
        <v>0</v>
      </c>
    </row>
    <row r="48" spans="1:27" ht="27.6" hidden="1" x14ac:dyDescent="0.3">
      <c r="A48" s="24" t="s">
        <v>79</v>
      </c>
      <c r="B48" s="24" t="s">
        <v>35</v>
      </c>
      <c r="C48" s="24" t="s">
        <v>44</v>
      </c>
      <c r="D48" s="24" t="s">
        <v>221</v>
      </c>
      <c r="E48" s="23"/>
      <c r="F48" s="20"/>
      <c r="G48" s="21"/>
      <c r="H48" s="23"/>
      <c r="I48" s="23"/>
      <c r="J48" s="23"/>
      <c r="K48" s="3" t="s">
        <v>89</v>
      </c>
      <c r="L48" s="9"/>
      <c r="M48" s="9"/>
      <c r="N48" s="10">
        <f t="shared" si="1"/>
        <v>0</v>
      </c>
      <c r="O48" s="38">
        <f t="shared" si="2"/>
        <v>0</v>
      </c>
      <c r="P48" s="11"/>
      <c r="Q48" s="11"/>
      <c r="R48" s="12">
        <f t="shared" si="3"/>
        <v>0</v>
      </c>
      <c r="S48" s="28">
        <f t="shared" si="4"/>
        <v>0</v>
      </c>
      <c r="T48" s="9"/>
      <c r="U48" s="9"/>
      <c r="V48" s="9"/>
      <c r="W48" s="9"/>
      <c r="X48" s="9"/>
      <c r="Y48" s="10">
        <f t="shared" si="5"/>
        <v>0</v>
      </c>
      <c r="Z48" s="30">
        <f t="shared" si="6"/>
        <v>0</v>
      </c>
      <c r="AA48" s="32">
        <f t="shared" si="0"/>
        <v>0</v>
      </c>
    </row>
    <row r="49" spans="1:27" ht="27.6" x14ac:dyDescent="0.3">
      <c r="A49" s="24" t="s">
        <v>35</v>
      </c>
      <c r="B49" s="24"/>
      <c r="C49" s="24" t="s">
        <v>37</v>
      </c>
      <c r="D49" s="24" t="s">
        <v>232</v>
      </c>
      <c r="E49" s="23"/>
      <c r="F49" s="20"/>
      <c r="G49" s="21"/>
      <c r="H49" s="23"/>
      <c r="I49" s="23"/>
      <c r="J49" s="23"/>
      <c r="K49" s="3" t="s">
        <v>90</v>
      </c>
      <c r="L49" s="9">
        <v>60</v>
      </c>
      <c r="M49" s="9">
        <v>55</v>
      </c>
      <c r="N49" s="10">
        <f t="shared" si="1"/>
        <v>5</v>
      </c>
      <c r="O49" s="38">
        <f t="shared" si="2"/>
        <v>91.666666666666671</v>
      </c>
      <c r="P49" s="11">
        <v>5</v>
      </c>
      <c r="Q49" s="11">
        <v>7</v>
      </c>
      <c r="R49" s="12">
        <f t="shared" si="3"/>
        <v>-2</v>
      </c>
      <c r="S49" s="28">
        <f t="shared" si="4"/>
        <v>71.428571428571431</v>
      </c>
      <c r="T49" s="9">
        <v>7</v>
      </c>
      <c r="U49" s="9">
        <v>4</v>
      </c>
      <c r="V49" s="9">
        <v>2</v>
      </c>
      <c r="W49" s="9">
        <v>6</v>
      </c>
      <c r="X49" s="9">
        <v>5</v>
      </c>
      <c r="Y49" s="10">
        <f t="shared" si="5"/>
        <v>24</v>
      </c>
      <c r="Z49" s="30">
        <f t="shared" si="6"/>
        <v>48</v>
      </c>
      <c r="AA49" s="32">
        <f t="shared" si="0"/>
        <v>70.365079365079367</v>
      </c>
    </row>
    <row r="50" spans="1:27" ht="27.6" hidden="1" x14ac:dyDescent="0.3">
      <c r="A50" s="24" t="s">
        <v>64</v>
      </c>
      <c r="B50" s="24"/>
      <c r="C50" s="24" t="s">
        <v>65</v>
      </c>
      <c r="D50" s="24" t="s">
        <v>232</v>
      </c>
      <c r="E50" s="23"/>
      <c r="F50" s="20"/>
      <c r="G50" s="21"/>
      <c r="H50" s="23"/>
      <c r="I50" s="23"/>
      <c r="J50" s="23"/>
      <c r="K50" s="3" t="s">
        <v>91</v>
      </c>
      <c r="L50" s="9"/>
      <c r="M50" s="9"/>
      <c r="N50" s="10">
        <f t="shared" si="1"/>
        <v>0</v>
      </c>
      <c r="O50" s="38">
        <f t="shared" si="2"/>
        <v>0</v>
      </c>
      <c r="P50" s="11"/>
      <c r="Q50" s="11"/>
      <c r="R50" s="12">
        <f t="shared" si="3"/>
        <v>0</v>
      </c>
      <c r="S50" s="28">
        <f t="shared" si="4"/>
        <v>0</v>
      </c>
      <c r="T50" s="9"/>
      <c r="U50" s="9"/>
      <c r="V50" s="9"/>
      <c r="W50" s="9"/>
      <c r="X50" s="9"/>
      <c r="Y50" s="10">
        <f t="shared" si="5"/>
        <v>0</v>
      </c>
      <c r="Z50" s="30">
        <f t="shared" si="6"/>
        <v>0</v>
      </c>
      <c r="AA50" s="32">
        <f t="shared" si="0"/>
        <v>0</v>
      </c>
    </row>
    <row r="51" spans="1:27" ht="27.6" hidden="1" x14ac:dyDescent="0.3">
      <c r="A51" s="24" t="s">
        <v>35</v>
      </c>
      <c r="B51" s="24"/>
      <c r="C51" s="24" t="s">
        <v>42</v>
      </c>
      <c r="D51" s="24" t="s">
        <v>232</v>
      </c>
      <c r="E51" s="23"/>
      <c r="F51" s="20"/>
      <c r="G51" s="21"/>
      <c r="H51" s="23"/>
      <c r="I51" s="23"/>
      <c r="J51" s="23"/>
      <c r="K51" s="3" t="s">
        <v>92</v>
      </c>
      <c r="L51" s="9"/>
      <c r="M51" s="9"/>
      <c r="N51" s="10">
        <f t="shared" si="1"/>
        <v>0</v>
      </c>
      <c r="O51" s="38">
        <f t="shared" si="2"/>
        <v>0</v>
      </c>
      <c r="P51" s="11"/>
      <c r="Q51" s="11"/>
      <c r="R51" s="12">
        <f t="shared" si="3"/>
        <v>0</v>
      </c>
      <c r="S51" s="28">
        <f t="shared" si="4"/>
        <v>0</v>
      </c>
      <c r="T51" s="9"/>
      <c r="U51" s="9"/>
      <c r="V51" s="9"/>
      <c r="W51" s="9"/>
      <c r="X51" s="9"/>
      <c r="Y51" s="10">
        <f t="shared" si="5"/>
        <v>0</v>
      </c>
      <c r="Z51" s="30">
        <f t="shared" si="6"/>
        <v>0</v>
      </c>
      <c r="AA51" s="32">
        <f t="shared" si="0"/>
        <v>0</v>
      </c>
    </row>
    <row r="52" spans="1:27" ht="27.6" hidden="1" x14ac:dyDescent="0.3">
      <c r="A52" s="24" t="s">
        <v>35</v>
      </c>
      <c r="B52" s="24"/>
      <c r="C52" s="24" t="s">
        <v>44</v>
      </c>
      <c r="D52" s="24" t="s">
        <v>232</v>
      </c>
      <c r="E52" s="23"/>
      <c r="F52" s="20"/>
      <c r="G52" s="21"/>
      <c r="H52" s="23"/>
      <c r="I52" s="23"/>
      <c r="J52" s="23"/>
      <c r="K52" s="3" t="s">
        <v>93</v>
      </c>
      <c r="L52" s="9"/>
      <c r="M52" s="9"/>
      <c r="N52" s="10">
        <f t="shared" si="1"/>
        <v>0</v>
      </c>
      <c r="O52" s="38">
        <f t="shared" si="2"/>
        <v>0</v>
      </c>
      <c r="P52" s="11"/>
      <c r="Q52" s="11"/>
      <c r="R52" s="12">
        <f t="shared" si="3"/>
        <v>0</v>
      </c>
      <c r="S52" s="28">
        <f t="shared" si="4"/>
        <v>0</v>
      </c>
      <c r="T52" s="9"/>
      <c r="U52" s="9"/>
      <c r="V52" s="9"/>
      <c r="W52" s="9"/>
      <c r="X52" s="9"/>
      <c r="Y52" s="10">
        <f t="shared" si="5"/>
        <v>0</v>
      </c>
      <c r="Z52" s="30">
        <f t="shared" si="6"/>
        <v>0</v>
      </c>
      <c r="AA52" s="32">
        <f t="shared" si="0"/>
        <v>0</v>
      </c>
    </row>
    <row r="53" spans="1:27" ht="27.6" hidden="1" x14ac:dyDescent="0.3">
      <c r="A53" s="24" t="s">
        <v>64</v>
      </c>
      <c r="B53" s="24"/>
      <c r="C53" s="24" t="s">
        <v>65</v>
      </c>
      <c r="D53" s="24" t="s">
        <v>221</v>
      </c>
      <c r="E53" s="23"/>
      <c r="F53" s="20"/>
      <c r="G53" s="21"/>
      <c r="H53" s="23"/>
      <c r="I53" s="23"/>
      <c r="J53" s="23"/>
      <c r="K53" s="3" t="s">
        <v>94</v>
      </c>
      <c r="L53" s="9"/>
      <c r="M53" s="9"/>
      <c r="N53" s="10">
        <f t="shared" si="1"/>
        <v>0</v>
      </c>
      <c r="O53" s="38">
        <f t="shared" si="2"/>
        <v>0</v>
      </c>
      <c r="P53" s="11"/>
      <c r="Q53" s="11"/>
      <c r="R53" s="12">
        <f t="shared" si="3"/>
        <v>0</v>
      </c>
      <c r="S53" s="28">
        <f t="shared" si="4"/>
        <v>0</v>
      </c>
      <c r="T53" s="9"/>
      <c r="U53" s="9"/>
      <c r="V53" s="9"/>
      <c r="W53" s="9"/>
      <c r="X53" s="9"/>
      <c r="Y53" s="10">
        <f t="shared" si="5"/>
        <v>0</v>
      </c>
      <c r="Z53" s="30">
        <f t="shared" si="6"/>
        <v>0</v>
      </c>
      <c r="AA53" s="32">
        <f t="shared" si="0"/>
        <v>0</v>
      </c>
    </row>
    <row r="54" spans="1:27" ht="27.6" hidden="1" x14ac:dyDescent="0.3">
      <c r="A54" s="24" t="s">
        <v>79</v>
      </c>
      <c r="B54" s="24" t="s">
        <v>64</v>
      </c>
      <c r="C54" s="24" t="s">
        <v>65</v>
      </c>
      <c r="D54" s="24" t="s">
        <v>221</v>
      </c>
      <c r="E54" s="23"/>
      <c r="F54" s="20"/>
      <c r="G54" s="21"/>
      <c r="H54" s="23"/>
      <c r="I54" s="23"/>
      <c r="J54" s="23"/>
      <c r="K54" s="3" t="s">
        <v>89</v>
      </c>
      <c r="L54" s="9"/>
      <c r="M54" s="9"/>
      <c r="N54" s="10">
        <f t="shared" ref="N54" si="7">+L54-M54</f>
        <v>0</v>
      </c>
      <c r="O54" s="38">
        <f t="shared" ref="O54" si="8">IFERROR(IF(7&lt;&gt;0, M54*100/L54, IF(L54=M54, M54*100/L54, 0)), 0)</f>
        <v>0</v>
      </c>
      <c r="P54" s="11"/>
      <c r="Q54" s="11"/>
      <c r="R54" s="12">
        <f t="shared" ref="R54" si="9">+P54-Q54</f>
        <v>0</v>
      </c>
      <c r="S54" s="28">
        <f t="shared" ref="S54" si="10">IFERROR(IF(R54&lt;&gt;0, P54*100/Q54, IF(P54=Q54, P54*100/Q54, 0)), 0)</f>
        <v>0</v>
      </c>
      <c r="T54" s="9"/>
      <c r="U54" s="9"/>
      <c r="V54" s="9"/>
      <c r="W54" s="9"/>
      <c r="X54" s="9"/>
      <c r="Y54" s="10">
        <f t="shared" ref="Y54" si="11">SUM(T54:X54)</f>
        <v>0</v>
      </c>
      <c r="Z54" s="30">
        <f t="shared" ref="Z54" si="12">+Y54*100/50</f>
        <v>0</v>
      </c>
      <c r="AA54" s="32">
        <f t="shared" ref="AA54" si="13">+(S54+O54+Z54)/3</f>
        <v>0</v>
      </c>
    </row>
    <row r="55" spans="1:27" ht="41.4" hidden="1" x14ac:dyDescent="0.3">
      <c r="A55" s="24" t="s">
        <v>64</v>
      </c>
      <c r="B55" s="24"/>
      <c r="C55" s="24" t="s">
        <v>95</v>
      </c>
      <c r="D55" s="24" t="s">
        <v>221</v>
      </c>
      <c r="E55" s="23"/>
      <c r="F55" s="20"/>
      <c r="G55" s="21"/>
      <c r="H55" s="23"/>
      <c r="I55" s="23"/>
      <c r="J55" s="23"/>
      <c r="K55" s="3" t="s">
        <v>96</v>
      </c>
      <c r="L55" s="9"/>
      <c r="M55" s="9"/>
      <c r="N55" s="10">
        <f t="shared" si="1"/>
        <v>0</v>
      </c>
      <c r="O55" s="38">
        <f t="shared" si="2"/>
        <v>0</v>
      </c>
      <c r="P55" s="11"/>
      <c r="Q55" s="11"/>
      <c r="R55" s="12">
        <f t="shared" si="3"/>
        <v>0</v>
      </c>
      <c r="S55" s="28">
        <f t="shared" si="4"/>
        <v>0</v>
      </c>
      <c r="T55" s="9"/>
      <c r="U55" s="9"/>
      <c r="V55" s="9"/>
      <c r="W55" s="9"/>
      <c r="X55" s="9"/>
      <c r="Y55" s="10">
        <f t="shared" si="5"/>
        <v>0</v>
      </c>
      <c r="Z55" s="30">
        <f t="shared" si="6"/>
        <v>0</v>
      </c>
      <c r="AA55" s="32">
        <f t="shared" si="0"/>
        <v>0</v>
      </c>
    </row>
    <row r="56" spans="1:27" ht="41.4" x14ac:dyDescent="0.3">
      <c r="A56" s="24" t="s">
        <v>64</v>
      </c>
      <c r="B56" s="24" t="s">
        <v>35</v>
      </c>
      <c r="C56" s="24" t="s">
        <v>37</v>
      </c>
      <c r="D56" s="24" t="s">
        <v>232</v>
      </c>
      <c r="E56" s="23"/>
      <c r="F56" s="20"/>
      <c r="G56" s="21"/>
      <c r="H56" s="23"/>
      <c r="I56" s="23"/>
      <c r="J56" s="23"/>
      <c r="K56" s="3" t="s">
        <v>240</v>
      </c>
      <c r="L56" s="9"/>
      <c r="M56" s="9"/>
      <c r="N56" s="10">
        <f t="shared" si="1"/>
        <v>0</v>
      </c>
      <c r="O56" s="38">
        <f t="shared" si="2"/>
        <v>0</v>
      </c>
      <c r="P56" s="11"/>
      <c r="Q56" s="11"/>
      <c r="R56" s="12">
        <f t="shared" si="3"/>
        <v>0</v>
      </c>
      <c r="S56" s="28">
        <f t="shared" si="4"/>
        <v>0</v>
      </c>
      <c r="T56" s="9"/>
      <c r="U56" s="9"/>
      <c r="V56" s="9"/>
      <c r="W56" s="9"/>
      <c r="X56" s="9"/>
      <c r="Y56" s="10">
        <f t="shared" si="5"/>
        <v>0</v>
      </c>
      <c r="Z56" s="30">
        <f t="shared" si="6"/>
        <v>0</v>
      </c>
      <c r="AA56" s="32">
        <f t="shared" si="0"/>
        <v>0</v>
      </c>
    </row>
    <row r="57" spans="1:27" ht="41.4" x14ac:dyDescent="0.3">
      <c r="A57" s="24" t="s">
        <v>64</v>
      </c>
      <c r="B57" s="24" t="s">
        <v>35</v>
      </c>
      <c r="C57" s="24" t="s">
        <v>37</v>
      </c>
      <c r="D57" s="24" t="s">
        <v>232</v>
      </c>
      <c r="E57" s="23"/>
      <c r="F57" s="20"/>
      <c r="G57" s="21"/>
      <c r="H57" s="23"/>
      <c r="I57" s="23"/>
      <c r="J57" s="23"/>
      <c r="K57" s="3" t="s">
        <v>241</v>
      </c>
      <c r="L57" s="9"/>
      <c r="M57" s="9"/>
      <c r="N57" s="10">
        <f t="shared" si="1"/>
        <v>0</v>
      </c>
      <c r="O57" s="38">
        <f t="shared" si="2"/>
        <v>0</v>
      </c>
      <c r="P57" s="11"/>
      <c r="Q57" s="11"/>
      <c r="R57" s="12">
        <f t="shared" si="3"/>
        <v>0</v>
      </c>
      <c r="S57" s="28">
        <f t="shared" si="4"/>
        <v>0</v>
      </c>
      <c r="T57" s="9"/>
      <c r="U57" s="9"/>
      <c r="V57" s="9"/>
      <c r="W57" s="9"/>
      <c r="X57" s="9"/>
      <c r="Y57" s="10">
        <f t="shared" si="5"/>
        <v>0</v>
      </c>
      <c r="Z57" s="30">
        <f t="shared" si="6"/>
        <v>0</v>
      </c>
      <c r="AA57" s="32">
        <f t="shared" si="0"/>
        <v>0</v>
      </c>
    </row>
    <row r="58" spans="1:27" ht="41.4" hidden="1" x14ac:dyDescent="0.3">
      <c r="A58" s="24" t="s">
        <v>64</v>
      </c>
      <c r="B58" s="24" t="s">
        <v>35</v>
      </c>
      <c r="C58" s="24" t="s">
        <v>44</v>
      </c>
      <c r="D58" s="24" t="s">
        <v>232</v>
      </c>
      <c r="E58" s="23"/>
      <c r="F58" s="20"/>
      <c r="G58" s="21"/>
      <c r="H58" s="23"/>
      <c r="I58" s="23"/>
      <c r="J58" s="23"/>
      <c r="K58" s="3" t="s">
        <v>242</v>
      </c>
      <c r="L58" s="9"/>
      <c r="M58" s="9"/>
      <c r="N58" s="10">
        <f t="shared" si="1"/>
        <v>0</v>
      </c>
      <c r="O58" s="38">
        <f t="shared" si="2"/>
        <v>0</v>
      </c>
      <c r="P58" s="11"/>
      <c r="Q58" s="11"/>
      <c r="R58" s="12">
        <f t="shared" si="3"/>
        <v>0</v>
      </c>
      <c r="S58" s="28">
        <f t="shared" si="4"/>
        <v>0</v>
      </c>
      <c r="T58" s="9"/>
      <c r="U58" s="9"/>
      <c r="V58" s="9"/>
      <c r="W58" s="9"/>
      <c r="X58" s="9"/>
      <c r="Y58" s="10">
        <f t="shared" si="5"/>
        <v>0</v>
      </c>
      <c r="Z58" s="30">
        <f t="shared" si="6"/>
        <v>0</v>
      </c>
      <c r="AA58" s="32">
        <f t="shared" si="0"/>
        <v>0</v>
      </c>
    </row>
    <row r="59" spans="1:27" ht="27.6" hidden="1" x14ac:dyDescent="0.3">
      <c r="A59" s="24" t="s">
        <v>64</v>
      </c>
      <c r="B59" s="24" t="s">
        <v>36</v>
      </c>
      <c r="C59" s="24" t="s">
        <v>101</v>
      </c>
      <c r="D59" s="24" t="s">
        <v>221</v>
      </c>
      <c r="E59" s="23"/>
      <c r="F59" s="20"/>
      <c r="G59" s="21"/>
      <c r="H59" s="23"/>
      <c r="I59" s="23"/>
      <c r="J59" s="23"/>
      <c r="K59" s="3" t="s">
        <v>243</v>
      </c>
      <c r="L59" s="9"/>
      <c r="M59" s="9"/>
      <c r="N59" s="10">
        <f t="shared" si="1"/>
        <v>0</v>
      </c>
      <c r="O59" s="38">
        <f t="shared" si="2"/>
        <v>0</v>
      </c>
      <c r="P59" s="11"/>
      <c r="Q59" s="11"/>
      <c r="R59" s="12">
        <f t="shared" si="3"/>
        <v>0</v>
      </c>
      <c r="S59" s="28">
        <f t="shared" si="4"/>
        <v>0</v>
      </c>
      <c r="T59" s="9"/>
      <c r="U59" s="9"/>
      <c r="V59" s="9"/>
      <c r="W59" s="9"/>
      <c r="X59" s="9"/>
      <c r="Y59" s="10">
        <f t="shared" si="5"/>
        <v>0</v>
      </c>
      <c r="Z59" s="30">
        <f t="shared" si="6"/>
        <v>0</v>
      </c>
      <c r="AA59" s="32">
        <f t="shared" si="0"/>
        <v>0</v>
      </c>
    </row>
    <row r="60" spans="1:27" ht="27.6" hidden="1" x14ac:dyDescent="0.3">
      <c r="A60" s="24" t="s">
        <v>64</v>
      </c>
      <c r="B60" s="24" t="s">
        <v>103</v>
      </c>
      <c r="C60" s="24" t="s">
        <v>65</v>
      </c>
      <c r="D60" s="24" t="s">
        <v>232</v>
      </c>
      <c r="E60" s="23"/>
      <c r="F60" s="20"/>
      <c r="G60" s="21"/>
      <c r="H60" s="23"/>
      <c r="I60" s="23"/>
      <c r="J60" s="23"/>
      <c r="K60" s="3" t="s">
        <v>102</v>
      </c>
      <c r="L60" s="9"/>
      <c r="M60" s="9"/>
      <c r="N60" s="10">
        <f t="shared" si="1"/>
        <v>0</v>
      </c>
      <c r="O60" s="38">
        <f t="shared" si="2"/>
        <v>0</v>
      </c>
      <c r="P60" s="11"/>
      <c r="Q60" s="11"/>
      <c r="R60" s="12">
        <f t="shared" si="3"/>
        <v>0</v>
      </c>
      <c r="S60" s="28">
        <f t="shared" si="4"/>
        <v>0</v>
      </c>
      <c r="T60" s="9"/>
      <c r="U60" s="9"/>
      <c r="V60" s="9"/>
      <c r="W60" s="9"/>
      <c r="X60" s="9"/>
      <c r="Y60" s="10">
        <f t="shared" si="5"/>
        <v>0</v>
      </c>
      <c r="Z60" s="30">
        <f t="shared" si="6"/>
        <v>0</v>
      </c>
      <c r="AA60" s="32">
        <f t="shared" si="0"/>
        <v>0</v>
      </c>
    </row>
    <row r="61" spans="1:27" ht="27.6" hidden="1" x14ac:dyDescent="0.3">
      <c r="A61" s="24" t="s">
        <v>64</v>
      </c>
      <c r="B61" s="24" t="s">
        <v>105</v>
      </c>
      <c r="C61" s="24" t="s">
        <v>106</v>
      </c>
      <c r="D61" s="24" t="s">
        <v>221</v>
      </c>
      <c r="E61" s="23"/>
      <c r="F61" s="20"/>
      <c r="G61" s="21"/>
      <c r="H61" s="23"/>
      <c r="I61" s="23"/>
      <c r="J61" s="23"/>
      <c r="K61" s="3" t="s">
        <v>102</v>
      </c>
      <c r="L61" s="9"/>
      <c r="M61" s="9"/>
      <c r="N61" s="10">
        <f t="shared" si="1"/>
        <v>0</v>
      </c>
      <c r="O61" s="38">
        <f t="shared" si="2"/>
        <v>0</v>
      </c>
      <c r="P61" s="11"/>
      <c r="Q61" s="11"/>
      <c r="R61" s="12">
        <f t="shared" si="3"/>
        <v>0</v>
      </c>
      <c r="S61" s="28">
        <f t="shared" si="4"/>
        <v>0</v>
      </c>
      <c r="T61" s="9"/>
      <c r="U61" s="9"/>
      <c r="V61" s="9"/>
      <c r="W61" s="9"/>
      <c r="X61" s="9"/>
      <c r="Y61" s="10">
        <f t="shared" si="5"/>
        <v>0</v>
      </c>
      <c r="Z61" s="30">
        <f t="shared" si="6"/>
        <v>0</v>
      </c>
      <c r="AA61" s="32">
        <f t="shared" si="0"/>
        <v>0</v>
      </c>
    </row>
    <row r="62" spans="1:27" ht="27.6" hidden="1" x14ac:dyDescent="0.3">
      <c r="A62" s="24" t="s">
        <v>35</v>
      </c>
      <c r="B62" s="24"/>
      <c r="C62" s="24" t="s">
        <v>223</v>
      </c>
      <c r="D62" s="24" t="s">
        <v>224</v>
      </c>
      <c r="E62" s="23"/>
      <c r="F62" s="20"/>
      <c r="G62" s="21"/>
      <c r="H62" s="23"/>
      <c r="I62" s="23"/>
      <c r="J62" s="23"/>
      <c r="K62" s="3" t="s">
        <v>107</v>
      </c>
      <c r="L62" s="9"/>
      <c r="M62" s="9"/>
      <c r="N62" s="10">
        <f t="shared" si="1"/>
        <v>0</v>
      </c>
      <c r="O62" s="38">
        <f t="shared" si="2"/>
        <v>0</v>
      </c>
      <c r="P62" s="11"/>
      <c r="Q62" s="11"/>
      <c r="R62" s="12">
        <f t="shared" si="3"/>
        <v>0</v>
      </c>
      <c r="S62" s="28">
        <f t="shared" si="4"/>
        <v>0</v>
      </c>
      <c r="T62" s="9"/>
      <c r="U62" s="9"/>
      <c r="V62" s="9"/>
      <c r="W62" s="9"/>
      <c r="X62" s="9"/>
      <c r="Y62" s="10">
        <f t="shared" si="5"/>
        <v>0</v>
      </c>
      <c r="Z62" s="30">
        <f t="shared" si="6"/>
        <v>0</v>
      </c>
      <c r="AA62" s="32">
        <f t="shared" si="0"/>
        <v>0</v>
      </c>
    </row>
    <row r="63" spans="1:27" ht="27.6" hidden="1" x14ac:dyDescent="0.3">
      <c r="A63" s="24" t="s">
        <v>35</v>
      </c>
      <c r="B63" s="24"/>
      <c r="C63" s="24" t="s">
        <v>225</v>
      </c>
      <c r="D63" s="24" t="s">
        <v>224</v>
      </c>
      <c r="E63" s="23"/>
      <c r="F63" s="20"/>
      <c r="G63" s="21"/>
      <c r="H63" s="23"/>
      <c r="I63" s="23"/>
      <c r="J63" s="23"/>
      <c r="K63" s="3" t="s">
        <v>108</v>
      </c>
      <c r="L63" s="9"/>
      <c r="M63" s="9"/>
      <c r="N63" s="10">
        <f t="shared" si="1"/>
        <v>0</v>
      </c>
      <c r="O63" s="38">
        <f t="shared" si="2"/>
        <v>0</v>
      </c>
      <c r="P63" s="11"/>
      <c r="Q63" s="11"/>
      <c r="R63" s="12">
        <f t="shared" si="3"/>
        <v>0</v>
      </c>
      <c r="S63" s="28">
        <f t="shared" si="4"/>
        <v>0</v>
      </c>
      <c r="T63" s="9"/>
      <c r="U63" s="9"/>
      <c r="V63" s="9"/>
      <c r="W63" s="9"/>
      <c r="X63" s="9"/>
      <c r="Y63" s="10">
        <f t="shared" si="5"/>
        <v>0</v>
      </c>
      <c r="Z63" s="30">
        <f t="shared" si="6"/>
        <v>0</v>
      </c>
      <c r="AA63" s="32">
        <f t="shared" si="0"/>
        <v>0</v>
      </c>
    </row>
    <row r="64" spans="1:27" ht="27.6" hidden="1" x14ac:dyDescent="0.3">
      <c r="A64" s="24" t="s">
        <v>35</v>
      </c>
      <c r="B64" s="24"/>
      <c r="C64" s="24" t="s">
        <v>226</v>
      </c>
      <c r="D64" s="24" t="s">
        <v>224</v>
      </c>
      <c r="E64" s="23"/>
      <c r="F64" s="20"/>
      <c r="G64" s="21"/>
      <c r="H64" s="23"/>
      <c r="I64" s="23"/>
      <c r="J64" s="23"/>
      <c r="K64" s="3" t="s">
        <v>109</v>
      </c>
      <c r="L64" s="9"/>
      <c r="M64" s="9"/>
      <c r="N64" s="10">
        <f t="shared" si="1"/>
        <v>0</v>
      </c>
      <c r="O64" s="38">
        <f t="shared" si="2"/>
        <v>0</v>
      </c>
      <c r="P64" s="11"/>
      <c r="Q64" s="11"/>
      <c r="R64" s="12">
        <f t="shared" si="3"/>
        <v>0</v>
      </c>
      <c r="S64" s="28">
        <f t="shared" si="4"/>
        <v>0</v>
      </c>
      <c r="T64" s="9"/>
      <c r="U64" s="9"/>
      <c r="V64" s="9"/>
      <c r="W64" s="9"/>
      <c r="X64" s="9"/>
      <c r="Y64" s="10">
        <f t="shared" si="5"/>
        <v>0</v>
      </c>
      <c r="Z64" s="30">
        <f t="shared" si="6"/>
        <v>0</v>
      </c>
      <c r="AA64" s="32">
        <f t="shared" si="0"/>
        <v>0</v>
      </c>
    </row>
    <row r="65" spans="1:27" ht="27.6" x14ac:dyDescent="0.3">
      <c r="A65" s="24" t="s">
        <v>35</v>
      </c>
      <c r="B65" s="24" t="s">
        <v>64</v>
      </c>
      <c r="C65" s="24" t="s">
        <v>37</v>
      </c>
      <c r="D65" s="24" t="s">
        <v>221</v>
      </c>
      <c r="E65" s="23"/>
      <c r="F65" s="20"/>
      <c r="G65" s="21"/>
      <c r="H65" s="23"/>
      <c r="I65" s="23"/>
      <c r="J65" s="23"/>
      <c r="K65" s="3" t="s">
        <v>110</v>
      </c>
      <c r="L65" s="9"/>
      <c r="M65" s="9"/>
      <c r="N65" s="10">
        <f t="shared" si="1"/>
        <v>0</v>
      </c>
      <c r="O65" s="38">
        <f t="shared" si="2"/>
        <v>0</v>
      </c>
      <c r="P65" s="11"/>
      <c r="Q65" s="11"/>
      <c r="R65" s="12">
        <f t="shared" si="3"/>
        <v>0</v>
      </c>
      <c r="S65" s="28">
        <f t="shared" si="4"/>
        <v>0</v>
      </c>
      <c r="T65" s="9"/>
      <c r="U65" s="9"/>
      <c r="V65" s="9"/>
      <c r="W65" s="9"/>
      <c r="X65" s="9"/>
      <c r="Y65" s="10">
        <f t="shared" si="5"/>
        <v>0</v>
      </c>
      <c r="Z65" s="30">
        <f t="shared" si="6"/>
        <v>0</v>
      </c>
      <c r="AA65" s="32">
        <f t="shared" si="0"/>
        <v>0</v>
      </c>
    </row>
    <row r="66" spans="1:27" ht="27.6" hidden="1" x14ac:dyDescent="0.3">
      <c r="A66" s="24" t="s">
        <v>35</v>
      </c>
      <c r="B66" s="24" t="s">
        <v>64</v>
      </c>
      <c r="C66" s="24" t="s">
        <v>42</v>
      </c>
      <c r="D66" s="24" t="s">
        <v>221</v>
      </c>
      <c r="E66" s="23"/>
      <c r="F66" s="20"/>
      <c r="G66" s="21"/>
      <c r="H66" s="23"/>
      <c r="I66" s="23"/>
      <c r="J66" s="23"/>
      <c r="K66" s="3" t="s">
        <v>111</v>
      </c>
      <c r="L66" s="9"/>
      <c r="M66" s="9"/>
      <c r="N66" s="10">
        <f t="shared" si="1"/>
        <v>0</v>
      </c>
      <c r="O66" s="38">
        <f t="shared" si="2"/>
        <v>0</v>
      </c>
      <c r="P66" s="11"/>
      <c r="Q66" s="11"/>
      <c r="R66" s="12">
        <f t="shared" si="3"/>
        <v>0</v>
      </c>
      <c r="S66" s="28">
        <f t="shared" si="4"/>
        <v>0</v>
      </c>
      <c r="T66" s="9"/>
      <c r="U66" s="9"/>
      <c r="V66" s="9"/>
      <c r="W66" s="9"/>
      <c r="X66" s="9"/>
      <c r="Y66" s="10">
        <f t="shared" si="5"/>
        <v>0</v>
      </c>
      <c r="Z66" s="30">
        <f t="shared" si="6"/>
        <v>0</v>
      </c>
      <c r="AA66" s="32">
        <f t="shared" si="0"/>
        <v>0</v>
      </c>
    </row>
    <row r="67" spans="1:27" ht="27.6" hidden="1" x14ac:dyDescent="0.3">
      <c r="A67" s="24" t="s">
        <v>35</v>
      </c>
      <c r="B67" s="24" t="s">
        <v>64</v>
      </c>
      <c r="C67" s="24" t="s">
        <v>44</v>
      </c>
      <c r="D67" s="24" t="s">
        <v>221</v>
      </c>
      <c r="E67" s="23"/>
      <c r="F67" s="20"/>
      <c r="G67" s="21"/>
      <c r="H67" s="23"/>
      <c r="I67" s="23"/>
      <c r="J67" s="23"/>
      <c r="K67" s="3" t="s">
        <v>112</v>
      </c>
      <c r="L67" s="9"/>
      <c r="M67" s="9"/>
      <c r="N67" s="10">
        <f t="shared" si="1"/>
        <v>0</v>
      </c>
      <c r="O67" s="38">
        <f t="shared" si="2"/>
        <v>0</v>
      </c>
      <c r="P67" s="11"/>
      <c r="Q67" s="11"/>
      <c r="R67" s="12">
        <f t="shared" si="3"/>
        <v>0</v>
      </c>
      <c r="S67" s="28">
        <f t="shared" si="4"/>
        <v>0</v>
      </c>
      <c r="T67" s="9"/>
      <c r="U67" s="9"/>
      <c r="V67" s="9"/>
      <c r="W67" s="9"/>
      <c r="X67" s="9"/>
      <c r="Y67" s="10">
        <f t="shared" si="5"/>
        <v>0</v>
      </c>
      <c r="Z67" s="30">
        <f t="shared" si="6"/>
        <v>0</v>
      </c>
      <c r="AA67" s="32">
        <f t="shared" si="0"/>
        <v>0</v>
      </c>
    </row>
    <row r="68" spans="1:27" ht="27.6" hidden="1" x14ac:dyDescent="0.3">
      <c r="A68" s="24" t="s">
        <v>35</v>
      </c>
      <c r="B68" s="24" t="s">
        <v>64</v>
      </c>
      <c r="C68" s="24" t="s">
        <v>223</v>
      </c>
      <c r="D68" s="24" t="s">
        <v>232</v>
      </c>
      <c r="E68" s="23"/>
      <c r="F68" s="20"/>
      <c r="G68" s="21"/>
      <c r="H68" s="23"/>
      <c r="I68" s="23"/>
      <c r="J68" s="23"/>
      <c r="K68" s="3" t="s">
        <v>113</v>
      </c>
      <c r="L68" s="9"/>
      <c r="M68" s="9"/>
      <c r="N68" s="10">
        <f t="shared" si="1"/>
        <v>0</v>
      </c>
      <c r="O68" s="38">
        <f t="shared" si="2"/>
        <v>0</v>
      </c>
      <c r="P68" s="11"/>
      <c r="Q68" s="11"/>
      <c r="R68" s="12">
        <f t="shared" si="3"/>
        <v>0</v>
      </c>
      <c r="S68" s="28">
        <f t="shared" si="4"/>
        <v>0</v>
      </c>
      <c r="T68" s="9"/>
      <c r="U68" s="9"/>
      <c r="V68" s="9"/>
      <c r="W68" s="9"/>
      <c r="X68" s="9"/>
      <c r="Y68" s="10">
        <f t="shared" si="5"/>
        <v>0</v>
      </c>
      <c r="Z68" s="30">
        <f t="shared" si="6"/>
        <v>0</v>
      </c>
      <c r="AA68" s="32">
        <f t="shared" si="0"/>
        <v>0</v>
      </c>
    </row>
    <row r="69" spans="1:27" ht="27.6" hidden="1" x14ac:dyDescent="0.3">
      <c r="A69" s="24" t="s">
        <v>35</v>
      </c>
      <c r="B69" s="24" t="s">
        <v>64</v>
      </c>
      <c r="C69" s="24" t="s">
        <v>225</v>
      </c>
      <c r="D69" s="24" t="s">
        <v>232</v>
      </c>
      <c r="E69" s="23"/>
      <c r="F69" s="20"/>
      <c r="G69" s="21"/>
      <c r="H69" s="23"/>
      <c r="I69" s="23"/>
      <c r="J69" s="23"/>
      <c r="K69" s="3" t="s">
        <v>114</v>
      </c>
      <c r="L69" s="9"/>
      <c r="M69" s="9"/>
      <c r="N69" s="10">
        <f t="shared" si="1"/>
        <v>0</v>
      </c>
      <c r="O69" s="38">
        <f t="shared" si="2"/>
        <v>0</v>
      </c>
      <c r="P69" s="11"/>
      <c r="Q69" s="11"/>
      <c r="R69" s="12">
        <f t="shared" si="3"/>
        <v>0</v>
      </c>
      <c r="S69" s="28">
        <f t="shared" si="4"/>
        <v>0</v>
      </c>
      <c r="T69" s="9"/>
      <c r="U69" s="9"/>
      <c r="V69" s="9"/>
      <c r="W69" s="9"/>
      <c r="X69" s="9"/>
      <c r="Y69" s="10">
        <f t="shared" si="5"/>
        <v>0</v>
      </c>
      <c r="Z69" s="30">
        <f t="shared" si="6"/>
        <v>0</v>
      </c>
      <c r="AA69" s="32">
        <f t="shared" si="0"/>
        <v>0</v>
      </c>
    </row>
    <row r="70" spans="1:27" ht="27.6" hidden="1" x14ac:dyDescent="0.3">
      <c r="A70" s="24" t="s">
        <v>35</v>
      </c>
      <c r="B70" s="24" t="s">
        <v>64</v>
      </c>
      <c r="C70" s="24" t="s">
        <v>226</v>
      </c>
      <c r="D70" s="24" t="s">
        <v>232</v>
      </c>
      <c r="E70" s="23"/>
      <c r="F70" s="20"/>
      <c r="G70" s="21"/>
      <c r="H70" s="23"/>
      <c r="I70" s="23"/>
      <c r="J70" s="23"/>
      <c r="K70" s="3" t="s">
        <v>115</v>
      </c>
      <c r="L70" s="9"/>
      <c r="M70" s="9"/>
      <c r="N70" s="10">
        <f t="shared" si="1"/>
        <v>0</v>
      </c>
      <c r="O70" s="38">
        <f t="shared" si="2"/>
        <v>0</v>
      </c>
      <c r="P70" s="11"/>
      <c r="Q70" s="11"/>
      <c r="R70" s="12">
        <f t="shared" si="3"/>
        <v>0</v>
      </c>
      <c r="S70" s="28">
        <f t="shared" si="4"/>
        <v>0</v>
      </c>
      <c r="T70" s="9"/>
      <c r="U70" s="9"/>
      <c r="V70" s="9"/>
      <c r="W70" s="9"/>
      <c r="X70" s="9"/>
      <c r="Y70" s="10">
        <f t="shared" si="5"/>
        <v>0</v>
      </c>
      <c r="Z70" s="30">
        <f t="shared" si="6"/>
        <v>0</v>
      </c>
      <c r="AA70" s="32">
        <f t="shared" si="0"/>
        <v>0</v>
      </c>
    </row>
    <row r="71" spans="1:27" ht="27.6" x14ac:dyDescent="0.3">
      <c r="A71" s="24" t="s">
        <v>36</v>
      </c>
      <c r="B71" s="24" t="s">
        <v>35</v>
      </c>
      <c r="C71" s="24" t="s">
        <v>37</v>
      </c>
      <c r="D71" s="24" t="s">
        <v>232</v>
      </c>
      <c r="E71" s="23"/>
      <c r="F71" s="20"/>
      <c r="G71" s="21"/>
      <c r="H71" s="23"/>
      <c r="I71" s="23"/>
      <c r="J71" s="23"/>
      <c r="K71" s="3" t="s">
        <v>244</v>
      </c>
      <c r="L71" s="9"/>
      <c r="M71" s="9"/>
      <c r="N71" s="10">
        <f t="shared" si="1"/>
        <v>0</v>
      </c>
      <c r="O71" s="38">
        <f t="shared" si="2"/>
        <v>0</v>
      </c>
      <c r="P71" s="11"/>
      <c r="Q71" s="11"/>
      <c r="R71" s="12">
        <f t="shared" si="3"/>
        <v>0</v>
      </c>
      <c r="S71" s="28">
        <f t="shared" si="4"/>
        <v>0</v>
      </c>
      <c r="T71" s="9"/>
      <c r="U71" s="9"/>
      <c r="V71" s="9"/>
      <c r="W71" s="9"/>
      <c r="X71" s="9"/>
      <c r="Y71" s="10">
        <f t="shared" si="5"/>
        <v>0</v>
      </c>
      <c r="Z71" s="30">
        <f t="shared" si="6"/>
        <v>0</v>
      </c>
      <c r="AA71" s="32">
        <f t="shared" si="0"/>
        <v>0</v>
      </c>
    </row>
    <row r="72" spans="1:27" ht="27.6" hidden="1" x14ac:dyDescent="0.3">
      <c r="A72" s="24" t="s">
        <v>36</v>
      </c>
      <c r="B72" s="24" t="s">
        <v>35</v>
      </c>
      <c r="C72" s="24" t="s">
        <v>42</v>
      </c>
      <c r="D72" s="24" t="s">
        <v>232</v>
      </c>
      <c r="E72" s="23"/>
      <c r="F72" s="20"/>
      <c r="G72" s="21"/>
      <c r="H72" s="23"/>
      <c r="I72" s="23"/>
      <c r="J72" s="23"/>
      <c r="K72" s="3" t="s">
        <v>245</v>
      </c>
      <c r="L72" s="9"/>
      <c r="M72" s="9"/>
      <c r="N72" s="10">
        <f t="shared" si="1"/>
        <v>0</v>
      </c>
      <c r="O72" s="38">
        <f t="shared" si="2"/>
        <v>0</v>
      </c>
      <c r="P72" s="11"/>
      <c r="Q72" s="11"/>
      <c r="R72" s="12">
        <f t="shared" si="3"/>
        <v>0</v>
      </c>
      <c r="S72" s="28">
        <f t="shared" si="4"/>
        <v>0</v>
      </c>
      <c r="T72" s="9"/>
      <c r="U72" s="9"/>
      <c r="V72" s="9"/>
      <c r="W72" s="9"/>
      <c r="X72" s="9"/>
      <c r="Y72" s="10">
        <f t="shared" si="5"/>
        <v>0</v>
      </c>
      <c r="Z72" s="30">
        <f t="shared" si="6"/>
        <v>0</v>
      </c>
      <c r="AA72" s="32">
        <f t="shared" si="0"/>
        <v>0</v>
      </c>
    </row>
    <row r="73" spans="1:27" ht="27.6" hidden="1" x14ac:dyDescent="0.3">
      <c r="A73" s="24" t="s">
        <v>36</v>
      </c>
      <c r="B73" s="24" t="s">
        <v>35</v>
      </c>
      <c r="C73" s="24" t="s">
        <v>44</v>
      </c>
      <c r="D73" s="24" t="s">
        <v>232</v>
      </c>
      <c r="E73" s="23"/>
      <c r="F73" s="20"/>
      <c r="G73" s="21"/>
      <c r="H73" s="23"/>
      <c r="I73" s="23"/>
      <c r="J73" s="23"/>
      <c r="K73" s="3" t="s">
        <v>246</v>
      </c>
      <c r="L73" s="9"/>
      <c r="M73" s="9"/>
      <c r="N73" s="10">
        <f t="shared" si="1"/>
        <v>0</v>
      </c>
      <c r="O73" s="38">
        <f t="shared" si="2"/>
        <v>0</v>
      </c>
      <c r="P73" s="11"/>
      <c r="Q73" s="11"/>
      <c r="R73" s="12">
        <f t="shared" si="3"/>
        <v>0</v>
      </c>
      <c r="S73" s="28">
        <f t="shared" si="4"/>
        <v>0</v>
      </c>
      <c r="T73" s="9"/>
      <c r="U73" s="9"/>
      <c r="V73" s="9"/>
      <c r="W73" s="9"/>
      <c r="X73" s="9"/>
      <c r="Y73" s="10">
        <f t="shared" si="5"/>
        <v>0</v>
      </c>
      <c r="Z73" s="30">
        <f t="shared" si="6"/>
        <v>0</v>
      </c>
      <c r="AA73" s="32">
        <f t="shared" si="0"/>
        <v>0</v>
      </c>
    </row>
    <row r="74" spans="1:27" ht="27.6" hidden="1" x14ac:dyDescent="0.3">
      <c r="A74" s="24" t="s">
        <v>36</v>
      </c>
      <c r="B74" s="24" t="s">
        <v>64</v>
      </c>
      <c r="C74" s="24" t="s">
        <v>65</v>
      </c>
      <c r="D74" s="24" t="s">
        <v>232</v>
      </c>
      <c r="E74" s="23"/>
      <c r="F74" s="20"/>
      <c r="G74" s="21"/>
      <c r="H74" s="23"/>
      <c r="I74" s="23"/>
      <c r="J74" s="23"/>
      <c r="K74" s="3" t="s">
        <v>247</v>
      </c>
      <c r="L74" s="9"/>
      <c r="M74" s="9"/>
      <c r="N74" s="10">
        <f t="shared" si="1"/>
        <v>0</v>
      </c>
      <c r="O74" s="38">
        <f t="shared" si="2"/>
        <v>0</v>
      </c>
      <c r="P74" s="11"/>
      <c r="Q74" s="11"/>
      <c r="R74" s="12">
        <f t="shared" si="3"/>
        <v>0</v>
      </c>
      <c r="S74" s="28">
        <f t="shared" si="4"/>
        <v>0</v>
      </c>
      <c r="T74" s="9"/>
      <c r="U74" s="9"/>
      <c r="V74" s="9"/>
      <c r="W74" s="9"/>
      <c r="X74" s="9"/>
      <c r="Y74" s="10">
        <f t="shared" si="5"/>
        <v>0</v>
      </c>
      <c r="Z74" s="30">
        <f t="shared" si="6"/>
        <v>0</v>
      </c>
      <c r="AA74" s="32">
        <f t="shared" ref="AA74:AA146" si="14">+(S74+O74+Z74)/3</f>
        <v>0</v>
      </c>
    </row>
    <row r="75" spans="1:27" ht="27.6" hidden="1" x14ac:dyDescent="0.3">
      <c r="A75" s="24" t="s">
        <v>36</v>
      </c>
      <c r="B75" s="24"/>
      <c r="C75" s="24" t="s">
        <v>101</v>
      </c>
      <c r="D75" s="24" t="s">
        <v>221</v>
      </c>
      <c r="E75" s="23"/>
      <c r="F75" s="20"/>
      <c r="G75" s="21"/>
      <c r="H75" s="23"/>
      <c r="I75" s="23"/>
      <c r="J75" s="23"/>
      <c r="K75" s="3" t="s">
        <v>121</v>
      </c>
      <c r="L75" s="9"/>
      <c r="M75" s="9"/>
      <c r="N75" s="10">
        <f t="shared" ref="N75:N147" si="15">+L75-M75</f>
        <v>0</v>
      </c>
      <c r="O75" s="38">
        <f t="shared" ref="O75:O147" si="16">IFERROR(IF(7&lt;&gt;0, M75*100/L75, IF(L75=M75, M75*100/L75, 0)), 0)</f>
        <v>0</v>
      </c>
      <c r="P75" s="11"/>
      <c r="Q75" s="11"/>
      <c r="R75" s="12">
        <f t="shared" ref="R75:R147" si="17">+P75-Q75</f>
        <v>0</v>
      </c>
      <c r="S75" s="28">
        <f t="shared" ref="S75:S147" si="18">IFERROR(IF(R75&lt;&gt;0, P75*100/Q75, IF(P75=Q75, P75*100/Q75, 0)), 0)</f>
        <v>0</v>
      </c>
      <c r="T75" s="9"/>
      <c r="U75" s="9"/>
      <c r="V75" s="9"/>
      <c r="W75" s="9"/>
      <c r="X75" s="9"/>
      <c r="Y75" s="10">
        <f t="shared" ref="Y75:Y147" si="19">SUM(T75:X75)</f>
        <v>0</v>
      </c>
      <c r="Z75" s="30">
        <f t="shared" ref="Z75:Z147" si="20">+Y75*100/50</f>
        <v>0</v>
      </c>
      <c r="AA75" s="32">
        <f t="shared" si="14"/>
        <v>0</v>
      </c>
    </row>
    <row r="76" spans="1:27" ht="27.6" hidden="1" x14ac:dyDescent="0.3">
      <c r="A76" s="24" t="s">
        <v>36</v>
      </c>
      <c r="B76" s="24"/>
      <c r="C76" s="24" t="s">
        <v>101</v>
      </c>
      <c r="D76" s="24" t="s">
        <v>221</v>
      </c>
      <c r="E76" s="23"/>
      <c r="F76" s="20"/>
      <c r="G76" s="21"/>
      <c r="H76" s="23"/>
      <c r="I76" s="23"/>
      <c r="J76" s="23"/>
      <c r="K76" s="3" t="s">
        <v>122</v>
      </c>
      <c r="L76" s="9"/>
      <c r="M76" s="9"/>
      <c r="N76" s="10">
        <f t="shared" si="15"/>
        <v>0</v>
      </c>
      <c r="O76" s="38">
        <f t="shared" si="16"/>
        <v>0</v>
      </c>
      <c r="P76" s="11"/>
      <c r="Q76" s="11"/>
      <c r="R76" s="12">
        <f t="shared" si="17"/>
        <v>0</v>
      </c>
      <c r="S76" s="28">
        <f t="shared" si="18"/>
        <v>0</v>
      </c>
      <c r="T76" s="9"/>
      <c r="U76" s="9"/>
      <c r="V76" s="9"/>
      <c r="W76" s="9"/>
      <c r="X76" s="9"/>
      <c r="Y76" s="10">
        <f t="shared" si="19"/>
        <v>0</v>
      </c>
      <c r="Z76" s="30">
        <f t="shared" si="20"/>
        <v>0</v>
      </c>
      <c r="AA76" s="32">
        <f t="shared" si="14"/>
        <v>0</v>
      </c>
    </row>
    <row r="77" spans="1:27" ht="27.6" x14ac:dyDescent="0.3">
      <c r="A77" s="24" t="s">
        <v>36</v>
      </c>
      <c r="B77" s="24" t="s">
        <v>35</v>
      </c>
      <c r="C77" s="24" t="s">
        <v>37</v>
      </c>
      <c r="D77" s="24" t="s">
        <v>221</v>
      </c>
      <c r="E77" s="23"/>
      <c r="F77" s="20"/>
      <c r="G77" s="21"/>
      <c r="H77" s="23"/>
      <c r="I77" s="23"/>
      <c r="J77" s="23"/>
      <c r="K77" s="3" t="s">
        <v>123</v>
      </c>
      <c r="L77" s="9"/>
      <c r="M77" s="9"/>
      <c r="N77" s="10">
        <f t="shared" si="15"/>
        <v>0</v>
      </c>
      <c r="O77" s="38">
        <f t="shared" si="16"/>
        <v>0</v>
      </c>
      <c r="P77" s="11"/>
      <c r="Q77" s="11"/>
      <c r="R77" s="12">
        <f t="shared" si="17"/>
        <v>0</v>
      </c>
      <c r="S77" s="28">
        <f t="shared" si="18"/>
        <v>0</v>
      </c>
      <c r="T77" s="9"/>
      <c r="U77" s="9"/>
      <c r="V77" s="9"/>
      <c r="W77" s="9"/>
      <c r="X77" s="9"/>
      <c r="Y77" s="10">
        <f t="shared" si="19"/>
        <v>0</v>
      </c>
      <c r="Z77" s="30">
        <f t="shared" si="20"/>
        <v>0</v>
      </c>
      <c r="AA77" s="32">
        <f t="shared" si="14"/>
        <v>0</v>
      </c>
    </row>
    <row r="78" spans="1:27" ht="27.6" hidden="1" x14ac:dyDescent="0.3">
      <c r="A78" s="24" t="s">
        <v>36</v>
      </c>
      <c r="B78" s="24" t="s">
        <v>35</v>
      </c>
      <c r="C78" s="24" t="s">
        <v>42</v>
      </c>
      <c r="D78" s="24" t="s">
        <v>221</v>
      </c>
      <c r="E78" s="23"/>
      <c r="F78" s="20"/>
      <c r="G78" s="21"/>
      <c r="H78" s="23"/>
      <c r="I78" s="23"/>
      <c r="J78" s="23"/>
      <c r="K78" s="3" t="s">
        <v>124</v>
      </c>
      <c r="L78" s="9"/>
      <c r="M78" s="9"/>
      <c r="N78" s="10">
        <f t="shared" si="15"/>
        <v>0</v>
      </c>
      <c r="O78" s="38">
        <f t="shared" si="16"/>
        <v>0</v>
      </c>
      <c r="P78" s="11"/>
      <c r="Q78" s="11"/>
      <c r="R78" s="12">
        <f t="shared" si="17"/>
        <v>0</v>
      </c>
      <c r="S78" s="28">
        <f t="shared" si="18"/>
        <v>0</v>
      </c>
      <c r="T78" s="9"/>
      <c r="U78" s="9"/>
      <c r="V78" s="9"/>
      <c r="W78" s="9"/>
      <c r="X78" s="9"/>
      <c r="Y78" s="10">
        <f t="shared" si="19"/>
        <v>0</v>
      </c>
      <c r="Z78" s="30">
        <f t="shared" si="20"/>
        <v>0</v>
      </c>
      <c r="AA78" s="32">
        <f t="shared" si="14"/>
        <v>0</v>
      </c>
    </row>
    <row r="79" spans="1:27" ht="27.6" hidden="1" x14ac:dyDescent="0.3">
      <c r="A79" s="24" t="s">
        <v>36</v>
      </c>
      <c r="B79" s="24" t="s">
        <v>35</v>
      </c>
      <c r="C79" s="24" t="s">
        <v>44</v>
      </c>
      <c r="D79" s="24" t="s">
        <v>221</v>
      </c>
      <c r="E79" s="23"/>
      <c r="F79" s="20"/>
      <c r="G79" s="21"/>
      <c r="H79" s="23"/>
      <c r="I79" s="23"/>
      <c r="J79" s="23"/>
      <c r="K79" s="3" t="s">
        <v>125</v>
      </c>
      <c r="L79" s="9"/>
      <c r="M79" s="9"/>
      <c r="N79" s="10">
        <f t="shared" si="15"/>
        <v>0</v>
      </c>
      <c r="O79" s="38">
        <f t="shared" si="16"/>
        <v>0</v>
      </c>
      <c r="P79" s="11"/>
      <c r="Q79" s="11"/>
      <c r="R79" s="12">
        <f t="shared" si="17"/>
        <v>0</v>
      </c>
      <c r="S79" s="28">
        <f t="shared" si="18"/>
        <v>0</v>
      </c>
      <c r="T79" s="9"/>
      <c r="U79" s="9"/>
      <c r="V79" s="9"/>
      <c r="W79" s="9"/>
      <c r="X79" s="9"/>
      <c r="Y79" s="10">
        <f t="shared" si="19"/>
        <v>0</v>
      </c>
      <c r="Z79" s="30">
        <f t="shared" si="20"/>
        <v>0</v>
      </c>
      <c r="AA79" s="32">
        <f t="shared" si="14"/>
        <v>0</v>
      </c>
    </row>
    <row r="80" spans="1:27" ht="41.4" x14ac:dyDescent="0.3">
      <c r="A80" s="24" t="s">
        <v>36</v>
      </c>
      <c r="B80" s="24" t="s">
        <v>35</v>
      </c>
      <c r="C80" s="24" t="s">
        <v>37</v>
      </c>
      <c r="D80" s="24" t="s">
        <v>232</v>
      </c>
      <c r="E80" s="23"/>
      <c r="F80" s="20"/>
      <c r="G80" s="21"/>
      <c r="H80" s="23"/>
      <c r="I80" s="23"/>
      <c r="J80" s="23"/>
      <c r="K80" s="3" t="s">
        <v>248</v>
      </c>
      <c r="L80" s="9"/>
      <c r="M80" s="9"/>
      <c r="N80" s="10">
        <f t="shared" si="15"/>
        <v>0</v>
      </c>
      <c r="O80" s="38">
        <f t="shared" si="16"/>
        <v>0</v>
      </c>
      <c r="P80" s="11"/>
      <c r="Q80" s="11"/>
      <c r="R80" s="12">
        <f t="shared" si="17"/>
        <v>0</v>
      </c>
      <c r="S80" s="28">
        <f t="shared" si="18"/>
        <v>0</v>
      </c>
      <c r="T80" s="9"/>
      <c r="U80" s="9"/>
      <c r="V80" s="9"/>
      <c r="W80" s="9"/>
      <c r="X80" s="9"/>
      <c r="Y80" s="10">
        <f t="shared" si="19"/>
        <v>0</v>
      </c>
      <c r="Z80" s="30">
        <f t="shared" si="20"/>
        <v>0</v>
      </c>
      <c r="AA80" s="32">
        <f t="shared" si="14"/>
        <v>0</v>
      </c>
    </row>
    <row r="81" spans="1:27" ht="27.6" hidden="1" x14ac:dyDescent="0.3">
      <c r="A81" s="24" t="s">
        <v>36</v>
      </c>
      <c r="B81" s="24" t="s">
        <v>35</v>
      </c>
      <c r="C81" s="24" t="s">
        <v>42</v>
      </c>
      <c r="D81" s="24" t="s">
        <v>232</v>
      </c>
      <c r="E81" s="23"/>
      <c r="F81" s="20"/>
      <c r="G81" s="21"/>
      <c r="H81" s="23"/>
      <c r="I81" s="23"/>
      <c r="J81" s="23"/>
      <c r="K81" s="3" t="s">
        <v>249</v>
      </c>
      <c r="L81" s="9"/>
      <c r="M81" s="9"/>
      <c r="N81" s="10">
        <f t="shared" si="15"/>
        <v>0</v>
      </c>
      <c r="O81" s="38">
        <f t="shared" si="16"/>
        <v>0</v>
      </c>
      <c r="P81" s="11"/>
      <c r="Q81" s="11"/>
      <c r="R81" s="12">
        <f t="shared" si="17"/>
        <v>0</v>
      </c>
      <c r="S81" s="28">
        <f t="shared" si="18"/>
        <v>0</v>
      </c>
      <c r="T81" s="9"/>
      <c r="U81" s="9"/>
      <c r="V81" s="9"/>
      <c r="W81" s="9"/>
      <c r="X81" s="9"/>
      <c r="Y81" s="10">
        <f t="shared" si="19"/>
        <v>0</v>
      </c>
      <c r="Z81" s="30">
        <f t="shared" si="20"/>
        <v>0</v>
      </c>
      <c r="AA81" s="32">
        <f t="shared" si="14"/>
        <v>0</v>
      </c>
    </row>
    <row r="82" spans="1:27" ht="27.6" hidden="1" x14ac:dyDescent="0.3">
      <c r="A82" s="24" t="s">
        <v>36</v>
      </c>
      <c r="B82" s="24" t="s">
        <v>35</v>
      </c>
      <c r="C82" s="24" t="s">
        <v>44</v>
      </c>
      <c r="D82" s="24" t="s">
        <v>232</v>
      </c>
      <c r="E82" s="23"/>
      <c r="F82" s="20"/>
      <c r="G82" s="21"/>
      <c r="H82" s="23"/>
      <c r="I82" s="23"/>
      <c r="J82" s="23"/>
      <c r="K82" s="3" t="s">
        <v>250</v>
      </c>
      <c r="L82" s="9"/>
      <c r="M82" s="9"/>
      <c r="N82" s="10">
        <f t="shared" si="15"/>
        <v>0</v>
      </c>
      <c r="O82" s="38">
        <f t="shared" si="16"/>
        <v>0</v>
      </c>
      <c r="P82" s="11"/>
      <c r="Q82" s="11"/>
      <c r="R82" s="12">
        <f t="shared" si="17"/>
        <v>0</v>
      </c>
      <c r="S82" s="28">
        <f t="shared" si="18"/>
        <v>0</v>
      </c>
      <c r="T82" s="9"/>
      <c r="U82" s="9"/>
      <c r="V82" s="9"/>
      <c r="W82" s="9"/>
      <c r="X82" s="9"/>
      <c r="Y82" s="10">
        <f t="shared" si="19"/>
        <v>0</v>
      </c>
      <c r="Z82" s="30">
        <f t="shared" si="20"/>
        <v>0</v>
      </c>
      <c r="AA82" s="32">
        <f t="shared" si="14"/>
        <v>0</v>
      </c>
    </row>
    <row r="83" spans="1:27" ht="41.4" x14ac:dyDescent="0.3">
      <c r="A83" s="24" t="s">
        <v>36</v>
      </c>
      <c r="B83" s="24" t="s">
        <v>35</v>
      </c>
      <c r="C83" s="24" t="s">
        <v>37</v>
      </c>
      <c r="D83" s="24" t="s">
        <v>232</v>
      </c>
      <c r="E83" s="23"/>
      <c r="F83" s="20"/>
      <c r="G83" s="21"/>
      <c r="H83" s="23"/>
      <c r="I83" s="23"/>
      <c r="J83" s="23"/>
      <c r="K83" s="3" t="s">
        <v>129</v>
      </c>
      <c r="L83" s="9"/>
      <c r="M83" s="9"/>
      <c r="N83" s="10">
        <f t="shared" si="15"/>
        <v>0</v>
      </c>
      <c r="O83" s="38">
        <f t="shared" si="16"/>
        <v>0</v>
      </c>
      <c r="P83" s="11"/>
      <c r="Q83" s="11"/>
      <c r="R83" s="12">
        <f t="shared" si="17"/>
        <v>0</v>
      </c>
      <c r="S83" s="28">
        <f t="shared" si="18"/>
        <v>0</v>
      </c>
      <c r="T83" s="9"/>
      <c r="U83" s="9"/>
      <c r="V83" s="9"/>
      <c r="W83" s="9"/>
      <c r="X83" s="9"/>
      <c r="Y83" s="10">
        <f t="shared" si="19"/>
        <v>0</v>
      </c>
      <c r="Z83" s="30">
        <f t="shared" si="20"/>
        <v>0</v>
      </c>
      <c r="AA83" s="32">
        <f t="shared" si="14"/>
        <v>0</v>
      </c>
    </row>
    <row r="84" spans="1:27" ht="27.6" hidden="1" x14ac:dyDescent="0.3">
      <c r="A84" s="24" t="s">
        <v>36</v>
      </c>
      <c r="B84" s="24" t="s">
        <v>35</v>
      </c>
      <c r="C84" s="24" t="s">
        <v>42</v>
      </c>
      <c r="D84" s="24" t="s">
        <v>232</v>
      </c>
      <c r="E84" s="23"/>
      <c r="F84" s="20"/>
      <c r="G84" s="21"/>
      <c r="H84" s="23"/>
      <c r="I84" s="23"/>
      <c r="J84" s="23"/>
      <c r="K84" s="3" t="s">
        <v>251</v>
      </c>
      <c r="L84" s="9"/>
      <c r="M84" s="9"/>
      <c r="N84" s="10">
        <f t="shared" si="15"/>
        <v>0</v>
      </c>
      <c r="O84" s="38">
        <f t="shared" si="16"/>
        <v>0</v>
      </c>
      <c r="P84" s="11"/>
      <c r="Q84" s="11"/>
      <c r="R84" s="12">
        <f t="shared" si="17"/>
        <v>0</v>
      </c>
      <c r="S84" s="28">
        <f t="shared" si="18"/>
        <v>0</v>
      </c>
      <c r="T84" s="9"/>
      <c r="U84" s="9"/>
      <c r="V84" s="9"/>
      <c r="W84" s="9"/>
      <c r="X84" s="9"/>
      <c r="Y84" s="10">
        <f t="shared" si="19"/>
        <v>0</v>
      </c>
      <c r="Z84" s="30">
        <f t="shared" si="20"/>
        <v>0</v>
      </c>
      <c r="AA84" s="32">
        <f t="shared" si="14"/>
        <v>0</v>
      </c>
    </row>
    <row r="85" spans="1:27" ht="41.4" hidden="1" x14ac:dyDescent="0.3">
      <c r="A85" s="24" t="s">
        <v>36</v>
      </c>
      <c r="B85" s="24" t="s">
        <v>35</v>
      </c>
      <c r="C85" s="24" t="s">
        <v>44</v>
      </c>
      <c r="D85" s="24" t="s">
        <v>232</v>
      </c>
      <c r="E85" s="23"/>
      <c r="F85" s="20"/>
      <c r="G85" s="21"/>
      <c r="H85" s="23"/>
      <c r="I85" s="23"/>
      <c r="J85" s="23"/>
      <c r="K85" s="3" t="s">
        <v>131</v>
      </c>
      <c r="L85" s="9"/>
      <c r="M85" s="9"/>
      <c r="N85" s="10">
        <f t="shared" si="15"/>
        <v>0</v>
      </c>
      <c r="O85" s="38">
        <f t="shared" si="16"/>
        <v>0</v>
      </c>
      <c r="P85" s="11"/>
      <c r="Q85" s="11"/>
      <c r="R85" s="12">
        <f t="shared" si="17"/>
        <v>0</v>
      </c>
      <c r="S85" s="28">
        <f t="shared" si="18"/>
        <v>0</v>
      </c>
      <c r="T85" s="9"/>
      <c r="U85" s="9"/>
      <c r="V85" s="9"/>
      <c r="W85" s="9"/>
      <c r="X85" s="9"/>
      <c r="Y85" s="10">
        <f t="shared" si="19"/>
        <v>0</v>
      </c>
      <c r="Z85" s="30">
        <f t="shared" si="20"/>
        <v>0</v>
      </c>
      <c r="AA85" s="32">
        <f t="shared" si="14"/>
        <v>0</v>
      </c>
    </row>
    <row r="86" spans="1:27" ht="27.6" hidden="1" x14ac:dyDescent="0.3">
      <c r="A86" s="24" t="s">
        <v>36</v>
      </c>
      <c r="B86" s="24"/>
      <c r="C86" s="24" t="s">
        <v>101</v>
      </c>
      <c r="D86" s="24" t="s">
        <v>232</v>
      </c>
      <c r="E86" s="23"/>
      <c r="F86" s="20"/>
      <c r="G86" s="21"/>
      <c r="H86" s="23"/>
      <c r="I86" s="23"/>
      <c r="J86" s="23"/>
      <c r="K86" s="3" t="s">
        <v>252</v>
      </c>
      <c r="L86" s="9"/>
      <c r="M86" s="9"/>
      <c r="N86" s="10">
        <f t="shared" si="15"/>
        <v>0</v>
      </c>
      <c r="O86" s="38">
        <f t="shared" si="16"/>
        <v>0</v>
      </c>
      <c r="P86" s="11"/>
      <c r="Q86" s="11"/>
      <c r="R86" s="12">
        <f t="shared" si="17"/>
        <v>0</v>
      </c>
      <c r="S86" s="28">
        <f t="shared" si="18"/>
        <v>0</v>
      </c>
      <c r="T86" s="9"/>
      <c r="U86" s="9"/>
      <c r="V86" s="9"/>
      <c r="W86" s="9"/>
      <c r="X86" s="9"/>
      <c r="Y86" s="10">
        <f t="shared" si="19"/>
        <v>0</v>
      </c>
      <c r="Z86" s="30">
        <f t="shared" si="20"/>
        <v>0</v>
      </c>
      <c r="AA86" s="32">
        <f t="shared" si="14"/>
        <v>0</v>
      </c>
    </row>
    <row r="87" spans="1:27" ht="41.4" hidden="1" x14ac:dyDescent="0.3">
      <c r="A87" s="24" t="s">
        <v>36</v>
      </c>
      <c r="B87" s="24"/>
      <c r="C87" s="24" t="s">
        <v>101</v>
      </c>
      <c r="D87" s="24" t="s">
        <v>221</v>
      </c>
      <c r="E87" s="23"/>
      <c r="F87" s="20"/>
      <c r="G87" s="21"/>
      <c r="H87" s="23"/>
      <c r="I87" s="23"/>
      <c r="J87" s="23"/>
      <c r="K87" s="3" t="s">
        <v>133</v>
      </c>
      <c r="L87" s="9"/>
      <c r="M87" s="9"/>
      <c r="N87" s="10">
        <f t="shared" si="15"/>
        <v>0</v>
      </c>
      <c r="O87" s="38">
        <f t="shared" si="16"/>
        <v>0</v>
      </c>
      <c r="P87" s="11"/>
      <c r="Q87" s="11"/>
      <c r="R87" s="12">
        <f t="shared" si="17"/>
        <v>0</v>
      </c>
      <c r="S87" s="28">
        <f t="shared" si="18"/>
        <v>0</v>
      </c>
      <c r="T87" s="9"/>
      <c r="U87" s="9"/>
      <c r="V87" s="9"/>
      <c r="W87" s="9"/>
      <c r="X87" s="9"/>
      <c r="Y87" s="10">
        <f t="shared" si="19"/>
        <v>0</v>
      </c>
      <c r="Z87" s="30">
        <f t="shared" si="20"/>
        <v>0</v>
      </c>
      <c r="AA87" s="32">
        <f t="shared" si="14"/>
        <v>0</v>
      </c>
    </row>
    <row r="88" spans="1:27" ht="27.6" x14ac:dyDescent="0.3">
      <c r="A88" s="24" t="s">
        <v>36</v>
      </c>
      <c r="B88" s="24" t="s">
        <v>35</v>
      </c>
      <c r="C88" s="24" t="s">
        <v>37</v>
      </c>
      <c r="D88" s="24" t="s">
        <v>221</v>
      </c>
      <c r="E88" s="23"/>
      <c r="F88" s="20"/>
      <c r="G88" s="21"/>
      <c r="H88" s="23"/>
      <c r="I88" s="23"/>
      <c r="J88" s="23"/>
      <c r="K88" s="3" t="s">
        <v>134</v>
      </c>
      <c r="L88" s="9"/>
      <c r="M88" s="9"/>
      <c r="N88" s="10">
        <f t="shared" si="15"/>
        <v>0</v>
      </c>
      <c r="O88" s="38">
        <f t="shared" si="16"/>
        <v>0</v>
      </c>
      <c r="P88" s="11"/>
      <c r="Q88" s="11"/>
      <c r="R88" s="12">
        <f t="shared" si="17"/>
        <v>0</v>
      </c>
      <c r="S88" s="28">
        <f t="shared" si="18"/>
        <v>0</v>
      </c>
      <c r="T88" s="9"/>
      <c r="U88" s="9"/>
      <c r="V88" s="9"/>
      <c r="W88" s="9"/>
      <c r="X88" s="9"/>
      <c r="Y88" s="10">
        <f t="shared" si="19"/>
        <v>0</v>
      </c>
      <c r="Z88" s="30">
        <f t="shared" si="20"/>
        <v>0</v>
      </c>
      <c r="AA88" s="32">
        <f t="shared" si="14"/>
        <v>0</v>
      </c>
    </row>
    <row r="89" spans="1:27" ht="27.6" hidden="1" x14ac:dyDescent="0.3">
      <c r="A89" s="24" t="s">
        <v>36</v>
      </c>
      <c r="B89" s="24" t="s">
        <v>35</v>
      </c>
      <c r="C89" s="24" t="s">
        <v>42</v>
      </c>
      <c r="D89" s="24" t="s">
        <v>221</v>
      </c>
      <c r="E89" s="23"/>
      <c r="F89" s="20"/>
      <c r="G89" s="21"/>
      <c r="H89" s="23"/>
      <c r="I89" s="23"/>
      <c r="J89" s="23"/>
      <c r="K89" s="3" t="s">
        <v>135</v>
      </c>
      <c r="L89" s="9"/>
      <c r="M89" s="9"/>
      <c r="N89" s="10">
        <f t="shared" si="15"/>
        <v>0</v>
      </c>
      <c r="O89" s="38">
        <f t="shared" si="16"/>
        <v>0</v>
      </c>
      <c r="P89" s="11"/>
      <c r="Q89" s="11"/>
      <c r="R89" s="12">
        <f t="shared" si="17"/>
        <v>0</v>
      </c>
      <c r="S89" s="28">
        <f t="shared" si="18"/>
        <v>0</v>
      </c>
      <c r="T89" s="9"/>
      <c r="U89" s="9"/>
      <c r="V89" s="9"/>
      <c r="W89" s="9"/>
      <c r="X89" s="9"/>
      <c r="Y89" s="10">
        <f t="shared" si="19"/>
        <v>0</v>
      </c>
      <c r="Z89" s="30">
        <f t="shared" si="20"/>
        <v>0</v>
      </c>
      <c r="AA89" s="32">
        <f t="shared" si="14"/>
        <v>0</v>
      </c>
    </row>
    <row r="90" spans="1:27" ht="27.6" hidden="1" x14ac:dyDescent="0.3">
      <c r="A90" s="24" t="s">
        <v>36</v>
      </c>
      <c r="B90" s="24" t="s">
        <v>35</v>
      </c>
      <c r="C90" s="24" t="s">
        <v>44</v>
      </c>
      <c r="D90" s="24" t="s">
        <v>221</v>
      </c>
      <c r="E90" s="23"/>
      <c r="F90" s="20"/>
      <c r="G90" s="21"/>
      <c r="H90" s="23"/>
      <c r="I90" s="23"/>
      <c r="J90" s="23"/>
      <c r="K90" s="3" t="s">
        <v>136</v>
      </c>
      <c r="L90" s="9"/>
      <c r="M90" s="9"/>
      <c r="N90" s="10">
        <f t="shared" si="15"/>
        <v>0</v>
      </c>
      <c r="O90" s="38">
        <f t="shared" si="16"/>
        <v>0</v>
      </c>
      <c r="P90" s="11"/>
      <c r="Q90" s="11"/>
      <c r="R90" s="12">
        <f t="shared" si="17"/>
        <v>0</v>
      </c>
      <c r="S90" s="28">
        <f t="shared" si="18"/>
        <v>0</v>
      </c>
      <c r="T90" s="9"/>
      <c r="U90" s="9"/>
      <c r="V90" s="9"/>
      <c r="W90" s="9"/>
      <c r="X90" s="9"/>
      <c r="Y90" s="10">
        <f t="shared" si="19"/>
        <v>0</v>
      </c>
      <c r="Z90" s="30">
        <f t="shared" si="20"/>
        <v>0</v>
      </c>
      <c r="AA90" s="32">
        <f t="shared" si="14"/>
        <v>0</v>
      </c>
    </row>
    <row r="91" spans="1:27" ht="27.6" hidden="1" x14ac:dyDescent="0.3">
      <c r="A91" s="24" t="s">
        <v>36</v>
      </c>
      <c r="B91" s="24" t="s">
        <v>64</v>
      </c>
      <c r="C91" s="24" t="s">
        <v>65</v>
      </c>
      <c r="D91" s="24" t="s">
        <v>221</v>
      </c>
      <c r="E91" s="23"/>
      <c r="F91" s="20"/>
      <c r="G91" s="21"/>
      <c r="H91" s="23"/>
      <c r="I91" s="23"/>
      <c r="J91" s="23"/>
      <c r="K91" s="3" t="s">
        <v>137</v>
      </c>
      <c r="L91" s="9"/>
      <c r="M91" s="9"/>
      <c r="N91" s="10">
        <f t="shared" si="15"/>
        <v>0</v>
      </c>
      <c r="O91" s="38">
        <f t="shared" si="16"/>
        <v>0</v>
      </c>
      <c r="P91" s="11"/>
      <c r="Q91" s="11"/>
      <c r="R91" s="12">
        <f t="shared" si="17"/>
        <v>0</v>
      </c>
      <c r="S91" s="28">
        <f t="shared" si="18"/>
        <v>0</v>
      </c>
      <c r="T91" s="9"/>
      <c r="U91" s="9"/>
      <c r="V91" s="9"/>
      <c r="W91" s="9"/>
      <c r="X91" s="9"/>
      <c r="Y91" s="10">
        <f t="shared" si="19"/>
        <v>0</v>
      </c>
      <c r="Z91" s="30">
        <f t="shared" si="20"/>
        <v>0</v>
      </c>
      <c r="AA91" s="32">
        <f t="shared" si="14"/>
        <v>0</v>
      </c>
    </row>
    <row r="92" spans="1:27" ht="27.6" hidden="1" x14ac:dyDescent="0.3">
      <c r="A92" s="24" t="s">
        <v>36</v>
      </c>
      <c r="B92" s="24" t="s">
        <v>103</v>
      </c>
      <c r="C92" s="24" t="s">
        <v>104</v>
      </c>
      <c r="D92" s="24" t="s">
        <v>221</v>
      </c>
      <c r="E92" s="23"/>
      <c r="F92" s="20"/>
      <c r="G92" s="21"/>
      <c r="H92" s="23"/>
      <c r="I92" s="23"/>
      <c r="J92" s="23"/>
      <c r="K92" s="3" t="s">
        <v>138</v>
      </c>
      <c r="L92" s="9"/>
      <c r="M92" s="9"/>
      <c r="N92" s="10">
        <f t="shared" si="15"/>
        <v>0</v>
      </c>
      <c r="O92" s="38">
        <f t="shared" si="16"/>
        <v>0</v>
      </c>
      <c r="P92" s="11"/>
      <c r="Q92" s="11"/>
      <c r="R92" s="12">
        <f t="shared" si="17"/>
        <v>0</v>
      </c>
      <c r="S92" s="28">
        <f t="shared" si="18"/>
        <v>0</v>
      </c>
      <c r="T92" s="9"/>
      <c r="U92" s="9"/>
      <c r="V92" s="9"/>
      <c r="W92" s="9"/>
      <c r="X92" s="9"/>
      <c r="Y92" s="10">
        <f t="shared" si="19"/>
        <v>0</v>
      </c>
      <c r="Z92" s="30">
        <f t="shared" si="20"/>
        <v>0</v>
      </c>
      <c r="AA92" s="32">
        <f t="shared" si="14"/>
        <v>0</v>
      </c>
    </row>
    <row r="93" spans="1:27" ht="27.6" hidden="1" x14ac:dyDescent="0.3">
      <c r="A93" s="24" t="s">
        <v>36</v>
      </c>
      <c r="B93" s="24"/>
      <c r="C93" s="24" t="s">
        <v>101</v>
      </c>
      <c r="D93" s="24" t="s">
        <v>221</v>
      </c>
      <c r="E93" s="23"/>
      <c r="F93" s="20"/>
      <c r="G93" s="21"/>
      <c r="H93" s="23"/>
      <c r="I93" s="23"/>
      <c r="J93" s="23"/>
      <c r="K93" s="3" t="s">
        <v>139</v>
      </c>
      <c r="L93" s="9"/>
      <c r="M93" s="9"/>
      <c r="N93" s="10">
        <f t="shared" si="15"/>
        <v>0</v>
      </c>
      <c r="O93" s="38">
        <f t="shared" si="16"/>
        <v>0</v>
      </c>
      <c r="P93" s="11"/>
      <c r="Q93" s="11"/>
      <c r="R93" s="12">
        <f t="shared" si="17"/>
        <v>0</v>
      </c>
      <c r="S93" s="28">
        <f t="shared" si="18"/>
        <v>0</v>
      </c>
      <c r="T93" s="9"/>
      <c r="U93" s="9"/>
      <c r="V93" s="9"/>
      <c r="W93" s="9"/>
      <c r="X93" s="9"/>
      <c r="Y93" s="10">
        <f t="shared" si="19"/>
        <v>0</v>
      </c>
      <c r="Z93" s="30">
        <f t="shared" si="20"/>
        <v>0</v>
      </c>
      <c r="AA93" s="32">
        <f t="shared" si="14"/>
        <v>0</v>
      </c>
    </row>
    <row r="94" spans="1:27" ht="27.6" hidden="1" x14ac:dyDescent="0.3">
      <c r="A94" s="24" t="s">
        <v>36</v>
      </c>
      <c r="B94" s="24" t="s">
        <v>35</v>
      </c>
      <c r="C94" s="24" t="s">
        <v>101</v>
      </c>
      <c r="D94" s="24" t="s">
        <v>227</v>
      </c>
      <c r="E94" s="23"/>
      <c r="F94" s="20"/>
      <c r="G94" s="21"/>
      <c r="H94" s="23"/>
      <c r="I94" s="23"/>
      <c r="J94" s="23"/>
      <c r="K94" s="3" t="s">
        <v>140</v>
      </c>
      <c r="L94" s="9"/>
      <c r="M94" s="9"/>
      <c r="N94" s="10">
        <f t="shared" si="15"/>
        <v>0</v>
      </c>
      <c r="O94" s="38">
        <f t="shared" si="16"/>
        <v>0</v>
      </c>
      <c r="P94" s="11"/>
      <c r="Q94" s="11"/>
      <c r="R94" s="12">
        <f t="shared" si="17"/>
        <v>0</v>
      </c>
      <c r="S94" s="28">
        <f t="shared" si="18"/>
        <v>0</v>
      </c>
      <c r="T94" s="9"/>
      <c r="U94" s="9"/>
      <c r="V94" s="9"/>
      <c r="W94" s="9"/>
      <c r="X94" s="9"/>
      <c r="Y94" s="10">
        <f t="shared" si="19"/>
        <v>0</v>
      </c>
      <c r="Z94" s="30">
        <f t="shared" si="20"/>
        <v>0</v>
      </c>
      <c r="AA94" s="32">
        <f t="shared" si="14"/>
        <v>0</v>
      </c>
    </row>
    <row r="95" spans="1:27" ht="41.4" hidden="1" x14ac:dyDescent="0.3">
      <c r="A95" s="24" t="s">
        <v>36</v>
      </c>
      <c r="B95" s="24"/>
      <c r="C95" s="24" t="s">
        <v>101</v>
      </c>
      <c r="D95" s="24" t="s">
        <v>232</v>
      </c>
      <c r="E95" s="23"/>
      <c r="F95" s="20"/>
      <c r="G95" s="21"/>
      <c r="H95" s="23"/>
      <c r="I95" s="23"/>
      <c r="J95" s="23"/>
      <c r="K95" s="3" t="s">
        <v>253</v>
      </c>
      <c r="L95" s="9"/>
      <c r="M95" s="9"/>
      <c r="N95" s="10">
        <f t="shared" si="15"/>
        <v>0</v>
      </c>
      <c r="O95" s="38">
        <f t="shared" si="16"/>
        <v>0</v>
      </c>
      <c r="P95" s="11"/>
      <c r="Q95" s="11"/>
      <c r="R95" s="12">
        <f t="shared" si="17"/>
        <v>0</v>
      </c>
      <c r="S95" s="28">
        <f t="shared" si="18"/>
        <v>0</v>
      </c>
      <c r="T95" s="9"/>
      <c r="U95" s="9"/>
      <c r="V95" s="9"/>
      <c r="W95" s="9"/>
      <c r="X95" s="9"/>
      <c r="Y95" s="10">
        <f t="shared" si="19"/>
        <v>0</v>
      </c>
      <c r="Z95" s="30">
        <f t="shared" si="20"/>
        <v>0</v>
      </c>
      <c r="AA95" s="32">
        <f t="shared" si="14"/>
        <v>0</v>
      </c>
    </row>
    <row r="96" spans="1:27" ht="27.6" hidden="1" x14ac:dyDescent="0.3">
      <c r="A96" s="24" t="s">
        <v>36</v>
      </c>
      <c r="B96" s="24"/>
      <c r="C96" s="24" t="s">
        <v>101</v>
      </c>
      <c r="D96" s="24" t="s">
        <v>221</v>
      </c>
      <c r="E96" s="23"/>
      <c r="F96" s="20"/>
      <c r="G96" s="21"/>
      <c r="H96" s="23"/>
      <c r="I96" s="23"/>
      <c r="J96" s="23"/>
      <c r="K96" s="3" t="s">
        <v>142</v>
      </c>
      <c r="L96" s="9"/>
      <c r="M96" s="9"/>
      <c r="N96" s="10">
        <f t="shared" si="15"/>
        <v>0</v>
      </c>
      <c r="O96" s="38">
        <f t="shared" si="16"/>
        <v>0</v>
      </c>
      <c r="P96" s="11"/>
      <c r="Q96" s="11"/>
      <c r="R96" s="12">
        <f t="shared" si="17"/>
        <v>0</v>
      </c>
      <c r="S96" s="28">
        <f t="shared" si="18"/>
        <v>0</v>
      </c>
      <c r="T96" s="9"/>
      <c r="U96" s="9"/>
      <c r="V96" s="9"/>
      <c r="W96" s="9"/>
      <c r="X96" s="9"/>
      <c r="Y96" s="10">
        <f t="shared" si="19"/>
        <v>0</v>
      </c>
      <c r="Z96" s="30">
        <f t="shared" si="20"/>
        <v>0</v>
      </c>
      <c r="AA96" s="32">
        <f t="shared" si="14"/>
        <v>0</v>
      </c>
    </row>
    <row r="97" spans="1:27" ht="27.6" hidden="1" x14ac:dyDescent="0.3">
      <c r="A97" s="24" t="s">
        <v>36</v>
      </c>
      <c r="B97" s="24"/>
      <c r="C97" s="24" t="s">
        <v>101</v>
      </c>
      <c r="D97" s="24" t="s">
        <v>232</v>
      </c>
      <c r="E97" s="23"/>
      <c r="F97" s="20"/>
      <c r="G97" s="21"/>
      <c r="H97" s="23"/>
      <c r="I97" s="23"/>
      <c r="J97" s="23"/>
      <c r="K97" s="3" t="s">
        <v>143</v>
      </c>
      <c r="L97" s="9"/>
      <c r="M97" s="9"/>
      <c r="N97" s="10">
        <f t="shared" si="15"/>
        <v>0</v>
      </c>
      <c r="O97" s="38">
        <f t="shared" si="16"/>
        <v>0</v>
      </c>
      <c r="P97" s="11"/>
      <c r="Q97" s="11"/>
      <c r="R97" s="12">
        <f t="shared" si="17"/>
        <v>0</v>
      </c>
      <c r="S97" s="28">
        <f t="shared" si="18"/>
        <v>0</v>
      </c>
      <c r="T97" s="9"/>
      <c r="U97" s="9"/>
      <c r="V97" s="9"/>
      <c r="W97" s="9"/>
      <c r="X97" s="9"/>
      <c r="Y97" s="10">
        <f t="shared" si="19"/>
        <v>0</v>
      </c>
      <c r="Z97" s="30">
        <f t="shared" si="20"/>
        <v>0</v>
      </c>
      <c r="AA97" s="32">
        <f t="shared" si="14"/>
        <v>0</v>
      </c>
    </row>
    <row r="98" spans="1:27" ht="41.4" hidden="1" x14ac:dyDescent="0.3">
      <c r="A98" s="24" t="s">
        <v>36</v>
      </c>
      <c r="B98" s="24"/>
      <c r="C98" s="24" t="s">
        <v>101</v>
      </c>
      <c r="D98" s="24" t="s">
        <v>221</v>
      </c>
      <c r="E98" s="23"/>
      <c r="F98" s="20"/>
      <c r="G98" s="21"/>
      <c r="H98" s="23"/>
      <c r="I98" s="23"/>
      <c r="J98" s="23"/>
      <c r="K98" s="3" t="s">
        <v>144</v>
      </c>
      <c r="L98" s="9"/>
      <c r="M98" s="9"/>
      <c r="N98" s="10">
        <f t="shared" si="15"/>
        <v>0</v>
      </c>
      <c r="O98" s="38">
        <f t="shared" si="16"/>
        <v>0</v>
      </c>
      <c r="P98" s="11"/>
      <c r="Q98" s="11"/>
      <c r="R98" s="12">
        <f t="shared" si="17"/>
        <v>0</v>
      </c>
      <c r="S98" s="28">
        <f t="shared" si="18"/>
        <v>0</v>
      </c>
      <c r="T98" s="9"/>
      <c r="U98" s="9"/>
      <c r="V98" s="9"/>
      <c r="W98" s="9"/>
      <c r="X98" s="9"/>
      <c r="Y98" s="10">
        <f t="shared" si="19"/>
        <v>0</v>
      </c>
      <c r="Z98" s="30">
        <f t="shared" si="20"/>
        <v>0</v>
      </c>
      <c r="AA98" s="32">
        <f t="shared" si="14"/>
        <v>0</v>
      </c>
    </row>
    <row r="99" spans="1:27" ht="27.6" x14ac:dyDescent="0.3">
      <c r="A99" s="24" t="s">
        <v>36</v>
      </c>
      <c r="B99" s="24" t="s">
        <v>35</v>
      </c>
      <c r="C99" s="24" t="s">
        <v>37</v>
      </c>
      <c r="D99" s="24" t="s">
        <v>221</v>
      </c>
      <c r="E99" s="23"/>
      <c r="F99" s="20"/>
      <c r="G99" s="21"/>
      <c r="H99" s="23"/>
      <c r="I99" s="23"/>
      <c r="J99" s="23"/>
      <c r="K99" s="3" t="s">
        <v>145</v>
      </c>
      <c r="L99" s="9"/>
      <c r="M99" s="9"/>
      <c r="N99" s="10">
        <f t="shared" si="15"/>
        <v>0</v>
      </c>
      <c r="O99" s="38">
        <f t="shared" si="16"/>
        <v>0</v>
      </c>
      <c r="P99" s="11"/>
      <c r="Q99" s="11"/>
      <c r="R99" s="12">
        <f t="shared" si="17"/>
        <v>0</v>
      </c>
      <c r="S99" s="28">
        <f t="shared" si="18"/>
        <v>0</v>
      </c>
      <c r="T99" s="9"/>
      <c r="U99" s="9"/>
      <c r="V99" s="9"/>
      <c r="W99" s="9"/>
      <c r="X99" s="9"/>
      <c r="Y99" s="10">
        <f t="shared" si="19"/>
        <v>0</v>
      </c>
      <c r="Z99" s="30">
        <f t="shared" si="20"/>
        <v>0</v>
      </c>
      <c r="AA99" s="32">
        <f t="shared" si="14"/>
        <v>0</v>
      </c>
    </row>
    <row r="100" spans="1:27" ht="27.6" hidden="1" x14ac:dyDescent="0.3">
      <c r="A100" s="24" t="s">
        <v>36</v>
      </c>
      <c r="B100" s="24" t="s">
        <v>35</v>
      </c>
      <c r="C100" s="24" t="s">
        <v>42</v>
      </c>
      <c r="D100" s="24" t="s">
        <v>221</v>
      </c>
      <c r="E100" s="23"/>
      <c r="F100" s="20"/>
      <c r="G100" s="21"/>
      <c r="H100" s="23"/>
      <c r="I100" s="23"/>
      <c r="J100" s="23"/>
      <c r="K100" s="3" t="s">
        <v>146</v>
      </c>
      <c r="L100" s="9"/>
      <c r="M100" s="9"/>
      <c r="N100" s="10">
        <f t="shared" si="15"/>
        <v>0</v>
      </c>
      <c r="O100" s="38">
        <f t="shared" si="16"/>
        <v>0</v>
      </c>
      <c r="P100" s="11"/>
      <c r="Q100" s="11"/>
      <c r="R100" s="12">
        <f t="shared" si="17"/>
        <v>0</v>
      </c>
      <c r="S100" s="28">
        <f t="shared" si="18"/>
        <v>0</v>
      </c>
      <c r="T100" s="9"/>
      <c r="U100" s="9"/>
      <c r="V100" s="9"/>
      <c r="W100" s="9"/>
      <c r="X100" s="9"/>
      <c r="Y100" s="10">
        <f t="shared" si="19"/>
        <v>0</v>
      </c>
      <c r="Z100" s="30">
        <f t="shared" si="20"/>
        <v>0</v>
      </c>
      <c r="AA100" s="32">
        <f t="shared" si="14"/>
        <v>0</v>
      </c>
    </row>
    <row r="101" spans="1:27" ht="27.6" hidden="1" x14ac:dyDescent="0.3">
      <c r="A101" s="24" t="s">
        <v>36</v>
      </c>
      <c r="B101" s="24" t="s">
        <v>35</v>
      </c>
      <c r="C101" s="24" t="s">
        <v>44</v>
      </c>
      <c r="D101" s="24" t="s">
        <v>221</v>
      </c>
      <c r="E101" s="23"/>
      <c r="F101" s="20"/>
      <c r="G101" s="21"/>
      <c r="H101" s="23"/>
      <c r="I101" s="23"/>
      <c r="J101" s="23"/>
      <c r="K101" s="3" t="s">
        <v>147</v>
      </c>
      <c r="L101" s="9"/>
      <c r="M101" s="9"/>
      <c r="N101" s="10">
        <f t="shared" si="15"/>
        <v>0</v>
      </c>
      <c r="O101" s="38">
        <f t="shared" si="16"/>
        <v>0</v>
      </c>
      <c r="P101" s="11"/>
      <c r="Q101" s="11"/>
      <c r="R101" s="12">
        <f t="shared" si="17"/>
        <v>0</v>
      </c>
      <c r="S101" s="28">
        <f t="shared" si="18"/>
        <v>0</v>
      </c>
      <c r="T101" s="9"/>
      <c r="U101" s="9"/>
      <c r="V101" s="9"/>
      <c r="W101" s="9"/>
      <c r="X101" s="9"/>
      <c r="Y101" s="10">
        <f t="shared" si="19"/>
        <v>0</v>
      </c>
      <c r="Z101" s="30">
        <f t="shared" si="20"/>
        <v>0</v>
      </c>
      <c r="AA101" s="32">
        <f t="shared" si="14"/>
        <v>0</v>
      </c>
    </row>
    <row r="102" spans="1:27" ht="27.6" hidden="1" x14ac:dyDescent="0.3">
      <c r="A102" s="24" t="s">
        <v>36</v>
      </c>
      <c r="B102" s="24" t="s">
        <v>64</v>
      </c>
      <c r="C102" s="24" t="s">
        <v>65</v>
      </c>
      <c r="D102" s="24" t="s">
        <v>221</v>
      </c>
      <c r="E102" s="23"/>
      <c r="F102" s="20"/>
      <c r="G102" s="21"/>
      <c r="H102" s="23"/>
      <c r="I102" s="23"/>
      <c r="J102" s="23"/>
      <c r="K102" s="3" t="s">
        <v>148</v>
      </c>
      <c r="L102" s="9"/>
      <c r="M102" s="9"/>
      <c r="N102" s="10">
        <f t="shared" si="15"/>
        <v>0</v>
      </c>
      <c r="O102" s="38">
        <f t="shared" si="16"/>
        <v>0</v>
      </c>
      <c r="P102" s="11"/>
      <c r="Q102" s="11"/>
      <c r="R102" s="12">
        <f t="shared" si="17"/>
        <v>0</v>
      </c>
      <c r="S102" s="28">
        <f t="shared" si="18"/>
        <v>0</v>
      </c>
      <c r="T102" s="9"/>
      <c r="U102" s="9"/>
      <c r="V102" s="9"/>
      <c r="W102" s="9"/>
      <c r="X102" s="9"/>
      <c r="Y102" s="10">
        <f t="shared" si="19"/>
        <v>0</v>
      </c>
      <c r="Z102" s="30">
        <f t="shared" si="20"/>
        <v>0</v>
      </c>
      <c r="AA102" s="32">
        <f t="shared" si="14"/>
        <v>0</v>
      </c>
    </row>
    <row r="103" spans="1:27" ht="27.6" hidden="1" x14ac:dyDescent="0.3">
      <c r="A103" s="24" t="s">
        <v>36</v>
      </c>
      <c r="B103" s="24" t="s">
        <v>103</v>
      </c>
      <c r="C103" s="24" t="s">
        <v>104</v>
      </c>
      <c r="D103" s="24" t="s">
        <v>221</v>
      </c>
      <c r="E103" s="23"/>
      <c r="F103" s="20"/>
      <c r="G103" s="21"/>
      <c r="H103" s="23"/>
      <c r="I103" s="23"/>
      <c r="J103" s="23"/>
      <c r="K103" s="3" t="s">
        <v>149</v>
      </c>
      <c r="L103" s="9"/>
      <c r="M103" s="9"/>
      <c r="N103" s="10">
        <f t="shared" si="15"/>
        <v>0</v>
      </c>
      <c r="O103" s="38">
        <f t="shared" si="16"/>
        <v>0</v>
      </c>
      <c r="P103" s="11"/>
      <c r="Q103" s="11"/>
      <c r="R103" s="12">
        <f t="shared" si="17"/>
        <v>0</v>
      </c>
      <c r="S103" s="28">
        <f t="shared" si="18"/>
        <v>0</v>
      </c>
      <c r="T103" s="9"/>
      <c r="U103" s="9"/>
      <c r="V103" s="9"/>
      <c r="W103" s="9"/>
      <c r="X103" s="9"/>
      <c r="Y103" s="10">
        <f t="shared" si="19"/>
        <v>0</v>
      </c>
      <c r="Z103" s="30">
        <f t="shared" si="20"/>
        <v>0</v>
      </c>
      <c r="AA103" s="32">
        <f t="shared" si="14"/>
        <v>0</v>
      </c>
    </row>
    <row r="104" spans="1:27" ht="27.6" hidden="1" x14ac:dyDescent="0.3">
      <c r="A104" s="24" t="s">
        <v>36</v>
      </c>
      <c r="B104" s="24"/>
      <c r="C104" s="24" t="s">
        <v>101</v>
      </c>
      <c r="D104" s="24" t="s">
        <v>221</v>
      </c>
      <c r="E104" s="23"/>
      <c r="F104" s="20"/>
      <c r="G104" s="21"/>
      <c r="H104" s="23"/>
      <c r="I104" s="23"/>
      <c r="J104" s="23"/>
      <c r="K104" s="3" t="s">
        <v>150</v>
      </c>
      <c r="L104" s="9"/>
      <c r="M104" s="9"/>
      <c r="N104" s="10">
        <f t="shared" si="15"/>
        <v>0</v>
      </c>
      <c r="O104" s="38">
        <f t="shared" si="16"/>
        <v>0</v>
      </c>
      <c r="P104" s="11"/>
      <c r="Q104" s="11"/>
      <c r="R104" s="12">
        <f t="shared" si="17"/>
        <v>0</v>
      </c>
      <c r="S104" s="28">
        <f t="shared" si="18"/>
        <v>0</v>
      </c>
      <c r="T104" s="9"/>
      <c r="U104" s="9"/>
      <c r="V104" s="9"/>
      <c r="W104" s="9"/>
      <c r="X104" s="9"/>
      <c r="Y104" s="10">
        <f t="shared" si="19"/>
        <v>0</v>
      </c>
      <c r="Z104" s="30">
        <f t="shared" si="20"/>
        <v>0</v>
      </c>
      <c r="AA104" s="32">
        <f t="shared" si="14"/>
        <v>0</v>
      </c>
    </row>
    <row r="105" spans="1:27" ht="27.6" hidden="1" x14ac:dyDescent="0.3">
      <c r="A105" s="24" t="s">
        <v>36</v>
      </c>
      <c r="B105" s="24"/>
      <c r="C105" s="24" t="s">
        <v>101</v>
      </c>
      <c r="D105" s="24" t="s">
        <v>232</v>
      </c>
      <c r="E105" s="23"/>
      <c r="F105" s="20"/>
      <c r="G105" s="21"/>
      <c r="H105" s="23"/>
      <c r="I105" s="23"/>
      <c r="J105" s="23"/>
      <c r="K105" s="3" t="s">
        <v>254</v>
      </c>
      <c r="L105" s="9"/>
      <c r="M105" s="9"/>
      <c r="N105" s="10">
        <f t="shared" si="15"/>
        <v>0</v>
      </c>
      <c r="O105" s="38">
        <f t="shared" si="16"/>
        <v>0</v>
      </c>
      <c r="P105" s="11"/>
      <c r="Q105" s="11"/>
      <c r="R105" s="12">
        <f t="shared" si="17"/>
        <v>0</v>
      </c>
      <c r="S105" s="28">
        <f t="shared" si="18"/>
        <v>0</v>
      </c>
      <c r="T105" s="9"/>
      <c r="U105" s="9"/>
      <c r="V105" s="9"/>
      <c r="W105" s="9"/>
      <c r="X105" s="9"/>
      <c r="Y105" s="10">
        <f t="shared" si="19"/>
        <v>0</v>
      </c>
      <c r="Z105" s="30">
        <f t="shared" si="20"/>
        <v>0</v>
      </c>
      <c r="AA105" s="32">
        <f t="shared" si="14"/>
        <v>0</v>
      </c>
    </row>
    <row r="106" spans="1:27" ht="27.6" hidden="1" x14ac:dyDescent="0.3">
      <c r="A106" s="24" t="s">
        <v>36</v>
      </c>
      <c r="B106" s="24"/>
      <c r="C106" s="24" t="s">
        <v>101</v>
      </c>
      <c r="D106" s="24" t="s">
        <v>232</v>
      </c>
      <c r="E106" s="23"/>
      <c r="F106" s="20"/>
      <c r="G106" s="21"/>
      <c r="H106" s="23"/>
      <c r="I106" s="23"/>
      <c r="J106" s="23"/>
      <c r="K106" s="3" t="s">
        <v>255</v>
      </c>
      <c r="L106" s="9"/>
      <c r="M106" s="9"/>
      <c r="N106" s="10">
        <f t="shared" si="15"/>
        <v>0</v>
      </c>
      <c r="O106" s="38">
        <f t="shared" si="16"/>
        <v>0</v>
      </c>
      <c r="P106" s="11"/>
      <c r="Q106" s="11"/>
      <c r="R106" s="12">
        <f t="shared" si="17"/>
        <v>0</v>
      </c>
      <c r="S106" s="28">
        <f t="shared" si="18"/>
        <v>0</v>
      </c>
      <c r="T106" s="9"/>
      <c r="U106" s="9"/>
      <c r="V106" s="9"/>
      <c r="W106" s="9"/>
      <c r="X106" s="9"/>
      <c r="Y106" s="10">
        <f t="shared" si="19"/>
        <v>0</v>
      </c>
      <c r="Z106" s="30">
        <f t="shared" si="20"/>
        <v>0</v>
      </c>
      <c r="AA106" s="32">
        <f t="shared" si="14"/>
        <v>0</v>
      </c>
    </row>
    <row r="107" spans="1:27" ht="27.6" hidden="1" x14ac:dyDescent="0.3">
      <c r="A107" s="24" t="s">
        <v>36</v>
      </c>
      <c r="B107" s="24"/>
      <c r="C107" s="24" t="s">
        <v>101</v>
      </c>
      <c r="D107" s="24" t="s">
        <v>227</v>
      </c>
      <c r="E107" s="23"/>
      <c r="F107" s="20"/>
      <c r="G107" s="21"/>
      <c r="H107" s="23"/>
      <c r="I107" s="23"/>
      <c r="J107" s="23"/>
      <c r="K107" s="3" t="s">
        <v>256</v>
      </c>
      <c r="L107" s="9"/>
      <c r="M107" s="9"/>
      <c r="N107" s="10">
        <f t="shared" ref="N107:N108" si="21">+L107-M107</f>
        <v>0</v>
      </c>
      <c r="O107" s="38">
        <f t="shared" ref="O107:O108" si="22">IFERROR(IF(7&lt;&gt;0, M107*100/L107, IF(L107=M107, M107*100/L107, 0)), 0)</f>
        <v>0</v>
      </c>
      <c r="P107" s="11"/>
      <c r="Q107" s="11"/>
      <c r="R107" s="12">
        <f t="shared" ref="R107:R108" si="23">+P107-Q107</f>
        <v>0</v>
      </c>
      <c r="S107" s="28">
        <f t="shared" ref="S107:S108" si="24">IFERROR(IF(R107&lt;&gt;0, P107*100/Q107, IF(P107=Q107, P107*100/Q107, 0)), 0)</f>
        <v>0</v>
      </c>
      <c r="T107" s="9"/>
      <c r="U107" s="9"/>
      <c r="V107" s="9"/>
      <c r="W107" s="9"/>
      <c r="X107" s="9"/>
      <c r="Y107" s="10">
        <f t="shared" ref="Y107:Y108" si="25">SUM(T107:X107)</f>
        <v>0</v>
      </c>
      <c r="Z107" s="30">
        <f t="shared" ref="Z107:Z108" si="26">+Y107*100/50</f>
        <v>0</v>
      </c>
      <c r="AA107" s="32">
        <f t="shared" ref="AA107:AA108" si="27">+(S107+O107+Z107)/3</f>
        <v>0</v>
      </c>
    </row>
    <row r="108" spans="1:27" ht="27.6" x14ac:dyDescent="0.3">
      <c r="A108" s="24" t="s">
        <v>36</v>
      </c>
      <c r="B108" s="24" t="s">
        <v>35</v>
      </c>
      <c r="C108" s="24" t="s">
        <v>37</v>
      </c>
      <c r="D108" s="24" t="s">
        <v>232</v>
      </c>
      <c r="E108" s="23"/>
      <c r="F108" s="20"/>
      <c r="G108" s="21"/>
      <c r="H108" s="23"/>
      <c r="I108" s="23"/>
      <c r="J108" s="23"/>
      <c r="K108" s="3" t="s">
        <v>257</v>
      </c>
      <c r="L108" s="9"/>
      <c r="M108" s="9"/>
      <c r="N108" s="10">
        <f t="shared" si="21"/>
        <v>0</v>
      </c>
      <c r="O108" s="38">
        <f t="shared" si="22"/>
        <v>0</v>
      </c>
      <c r="P108" s="11"/>
      <c r="Q108" s="11"/>
      <c r="R108" s="12">
        <f t="shared" si="23"/>
        <v>0</v>
      </c>
      <c r="S108" s="28">
        <f t="shared" si="24"/>
        <v>0</v>
      </c>
      <c r="T108" s="9"/>
      <c r="U108" s="9"/>
      <c r="V108" s="9"/>
      <c r="W108" s="9"/>
      <c r="X108" s="9"/>
      <c r="Y108" s="10">
        <f t="shared" si="25"/>
        <v>0</v>
      </c>
      <c r="Z108" s="30">
        <f t="shared" si="26"/>
        <v>0</v>
      </c>
      <c r="AA108" s="32">
        <f t="shared" si="27"/>
        <v>0</v>
      </c>
    </row>
    <row r="109" spans="1:27" ht="27.6" hidden="1" x14ac:dyDescent="0.3">
      <c r="A109" s="24" t="s">
        <v>36</v>
      </c>
      <c r="B109" s="24" t="s">
        <v>35</v>
      </c>
      <c r="C109" s="24" t="s">
        <v>42</v>
      </c>
      <c r="D109" s="24" t="s">
        <v>232</v>
      </c>
      <c r="E109" s="23"/>
      <c r="F109" s="20"/>
      <c r="G109" s="21"/>
      <c r="H109" s="23"/>
      <c r="I109" s="23"/>
      <c r="J109" s="23"/>
      <c r="K109" s="3" t="s">
        <v>258</v>
      </c>
      <c r="L109" s="9"/>
      <c r="M109" s="9"/>
      <c r="N109" s="10">
        <f t="shared" ref="N109:N111" si="28">+L109-M109</f>
        <v>0</v>
      </c>
      <c r="O109" s="38">
        <f t="shared" ref="O109:O111" si="29">IFERROR(IF(7&lt;&gt;0, M109*100/L109, IF(L109=M109, M109*100/L109, 0)), 0)</f>
        <v>0</v>
      </c>
      <c r="P109" s="11"/>
      <c r="Q109" s="11"/>
      <c r="R109" s="12">
        <f t="shared" ref="R109:R111" si="30">+P109-Q109</f>
        <v>0</v>
      </c>
      <c r="S109" s="28">
        <f t="shared" ref="S109:S111" si="31">IFERROR(IF(R109&lt;&gt;0, P109*100/Q109, IF(P109=Q109, P109*100/Q109, 0)), 0)</f>
        <v>0</v>
      </c>
      <c r="T109" s="9"/>
      <c r="U109" s="9"/>
      <c r="V109" s="9"/>
      <c r="W109" s="9"/>
      <c r="X109" s="9"/>
      <c r="Y109" s="10">
        <f t="shared" ref="Y109:Y111" si="32">SUM(T109:X109)</f>
        <v>0</v>
      </c>
      <c r="Z109" s="30">
        <f t="shared" ref="Z109:Z111" si="33">+Y109*100/50</f>
        <v>0</v>
      </c>
      <c r="AA109" s="32">
        <f t="shared" ref="AA109:AA111" si="34">+(S109+O109+Z109)/3</f>
        <v>0</v>
      </c>
    </row>
    <row r="110" spans="1:27" ht="27.6" hidden="1" x14ac:dyDescent="0.3">
      <c r="A110" s="24" t="s">
        <v>36</v>
      </c>
      <c r="B110" s="24" t="s">
        <v>35</v>
      </c>
      <c r="C110" s="24" t="s">
        <v>44</v>
      </c>
      <c r="D110" s="24" t="s">
        <v>232</v>
      </c>
      <c r="E110" s="23"/>
      <c r="F110" s="20"/>
      <c r="G110" s="21"/>
      <c r="H110" s="23"/>
      <c r="I110" s="23"/>
      <c r="J110" s="23"/>
      <c r="K110" s="3" t="s">
        <v>259</v>
      </c>
      <c r="L110" s="9"/>
      <c r="M110" s="9"/>
      <c r="N110" s="10">
        <f t="shared" si="28"/>
        <v>0</v>
      </c>
      <c r="O110" s="38">
        <f t="shared" si="29"/>
        <v>0</v>
      </c>
      <c r="P110" s="11"/>
      <c r="Q110" s="11"/>
      <c r="R110" s="12">
        <f t="shared" si="30"/>
        <v>0</v>
      </c>
      <c r="S110" s="28">
        <f t="shared" si="31"/>
        <v>0</v>
      </c>
      <c r="T110" s="9"/>
      <c r="U110" s="9"/>
      <c r="V110" s="9"/>
      <c r="W110" s="9"/>
      <c r="X110" s="9"/>
      <c r="Y110" s="10">
        <f t="shared" si="32"/>
        <v>0</v>
      </c>
      <c r="Z110" s="30">
        <f t="shared" si="33"/>
        <v>0</v>
      </c>
      <c r="AA110" s="32">
        <f t="shared" si="34"/>
        <v>0</v>
      </c>
    </row>
    <row r="111" spans="1:27" ht="27.6" hidden="1" x14ac:dyDescent="0.3">
      <c r="A111" s="24" t="s">
        <v>36</v>
      </c>
      <c r="B111" s="24" t="s">
        <v>35</v>
      </c>
      <c r="C111" s="24" t="s">
        <v>65</v>
      </c>
      <c r="D111" s="24" t="s">
        <v>232</v>
      </c>
      <c r="E111" s="23"/>
      <c r="F111" s="20"/>
      <c r="G111" s="21"/>
      <c r="H111" s="23"/>
      <c r="I111" s="23"/>
      <c r="J111" s="23"/>
      <c r="K111" s="3" t="s">
        <v>260</v>
      </c>
      <c r="L111" s="9"/>
      <c r="M111" s="9"/>
      <c r="N111" s="10">
        <f t="shared" si="28"/>
        <v>0</v>
      </c>
      <c r="O111" s="38">
        <f t="shared" si="29"/>
        <v>0</v>
      </c>
      <c r="P111" s="11"/>
      <c r="Q111" s="11"/>
      <c r="R111" s="12">
        <f t="shared" si="30"/>
        <v>0</v>
      </c>
      <c r="S111" s="28">
        <f t="shared" si="31"/>
        <v>0</v>
      </c>
      <c r="T111" s="9"/>
      <c r="U111" s="9"/>
      <c r="V111" s="9"/>
      <c r="W111" s="9"/>
      <c r="X111" s="9"/>
      <c r="Y111" s="10">
        <f t="shared" si="32"/>
        <v>0</v>
      </c>
      <c r="Z111" s="30">
        <f t="shared" si="33"/>
        <v>0</v>
      </c>
      <c r="AA111" s="32">
        <f t="shared" si="34"/>
        <v>0</v>
      </c>
    </row>
    <row r="112" spans="1:27" ht="27.6" hidden="1" x14ac:dyDescent="0.3">
      <c r="A112" s="24" t="s">
        <v>84</v>
      </c>
      <c r="B112" s="24"/>
      <c r="C112" s="24" t="s">
        <v>42</v>
      </c>
      <c r="D112" s="24" t="s">
        <v>227</v>
      </c>
      <c r="E112" s="23"/>
      <c r="F112" s="20"/>
      <c r="G112" s="21"/>
      <c r="H112" s="23"/>
      <c r="I112" s="23"/>
      <c r="J112" s="23"/>
      <c r="K112" s="3" t="s">
        <v>154</v>
      </c>
      <c r="L112" s="9"/>
      <c r="M112" s="9"/>
      <c r="N112" s="10">
        <f t="shared" si="15"/>
        <v>0</v>
      </c>
      <c r="O112" s="38">
        <f t="shared" si="16"/>
        <v>0</v>
      </c>
      <c r="P112" s="11"/>
      <c r="Q112" s="11"/>
      <c r="R112" s="12">
        <f t="shared" si="17"/>
        <v>0</v>
      </c>
      <c r="S112" s="28">
        <f t="shared" si="18"/>
        <v>0</v>
      </c>
      <c r="T112" s="9"/>
      <c r="U112" s="9"/>
      <c r="V112" s="9"/>
      <c r="W112" s="9"/>
      <c r="X112" s="9"/>
      <c r="Y112" s="10">
        <f t="shared" si="19"/>
        <v>0</v>
      </c>
      <c r="Z112" s="30">
        <f t="shared" si="20"/>
        <v>0</v>
      </c>
      <c r="AA112" s="32">
        <f t="shared" si="14"/>
        <v>0</v>
      </c>
    </row>
    <row r="113" spans="1:27" ht="27.6" x14ac:dyDescent="0.3">
      <c r="A113" s="24" t="s">
        <v>84</v>
      </c>
      <c r="B113" s="24" t="s">
        <v>35</v>
      </c>
      <c r="C113" s="24" t="s">
        <v>37</v>
      </c>
      <c r="D113" s="24" t="s">
        <v>232</v>
      </c>
      <c r="E113" s="23"/>
      <c r="F113" s="20"/>
      <c r="G113" s="21"/>
      <c r="H113" s="23"/>
      <c r="I113" s="23"/>
      <c r="J113" s="23"/>
      <c r="K113" s="3" t="s">
        <v>155</v>
      </c>
      <c r="L113" s="9"/>
      <c r="M113" s="9"/>
      <c r="N113" s="10">
        <f t="shared" si="15"/>
        <v>0</v>
      </c>
      <c r="O113" s="38">
        <f t="shared" si="16"/>
        <v>0</v>
      </c>
      <c r="P113" s="11"/>
      <c r="Q113" s="11"/>
      <c r="R113" s="12">
        <f t="shared" si="17"/>
        <v>0</v>
      </c>
      <c r="S113" s="28">
        <f t="shared" si="18"/>
        <v>0</v>
      </c>
      <c r="T113" s="9"/>
      <c r="U113" s="9"/>
      <c r="V113" s="9"/>
      <c r="W113" s="9"/>
      <c r="X113" s="9"/>
      <c r="Y113" s="10">
        <f t="shared" si="19"/>
        <v>0</v>
      </c>
      <c r="Z113" s="30">
        <f t="shared" si="20"/>
        <v>0</v>
      </c>
      <c r="AA113" s="32">
        <f t="shared" si="14"/>
        <v>0</v>
      </c>
    </row>
    <row r="114" spans="1:27" ht="27.6" hidden="1" x14ac:dyDescent="0.3">
      <c r="A114" s="24" t="s">
        <v>84</v>
      </c>
      <c r="B114" s="24" t="s">
        <v>35</v>
      </c>
      <c r="C114" s="24" t="s">
        <v>42</v>
      </c>
      <c r="D114" s="24" t="s">
        <v>232</v>
      </c>
      <c r="E114" s="23"/>
      <c r="F114" s="20"/>
      <c r="G114" s="21"/>
      <c r="H114" s="23"/>
      <c r="I114" s="23"/>
      <c r="J114" s="23"/>
      <c r="K114" s="3" t="s">
        <v>156</v>
      </c>
      <c r="L114" s="9"/>
      <c r="M114" s="9"/>
      <c r="N114" s="10">
        <f t="shared" si="15"/>
        <v>0</v>
      </c>
      <c r="O114" s="38">
        <f t="shared" si="16"/>
        <v>0</v>
      </c>
      <c r="P114" s="11"/>
      <c r="Q114" s="11"/>
      <c r="R114" s="12">
        <f t="shared" si="17"/>
        <v>0</v>
      </c>
      <c r="S114" s="28">
        <f t="shared" si="18"/>
        <v>0</v>
      </c>
      <c r="T114" s="9"/>
      <c r="U114" s="9"/>
      <c r="V114" s="9"/>
      <c r="W114" s="9"/>
      <c r="X114" s="9"/>
      <c r="Y114" s="10">
        <f t="shared" si="19"/>
        <v>0</v>
      </c>
      <c r="Z114" s="30">
        <f t="shared" si="20"/>
        <v>0</v>
      </c>
      <c r="AA114" s="32">
        <f t="shared" si="14"/>
        <v>0</v>
      </c>
    </row>
    <row r="115" spans="1:27" ht="27.6" hidden="1" x14ac:dyDescent="0.3">
      <c r="A115" s="24" t="s">
        <v>84</v>
      </c>
      <c r="B115" s="24" t="s">
        <v>35</v>
      </c>
      <c r="C115" s="24" t="s">
        <v>44</v>
      </c>
      <c r="D115" s="24" t="s">
        <v>232</v>
      </c>
      <c r="E115" s="23"/>
      <c r="F115" s="20"/>
      <c r="G115" s="21"/>
      <c r="H115" s="23"/>
      <c r="I115" s="23"/>
      <c r="J115" s="23"/>
      <c r="K115" s="3" t="s">
        <v>157</v>
      </c>
      <c r="L115" s="9"/>
      <c r="M115" s="9"/>
      <c r="N115" s="10">
        <f t="shared" si="15"/>
        <v>0</v>
      </c>
      <c r="O115" s="38">
        <f t="shared" si="16"/>
        <v>0</v>
      </c>
      <c r="P115" s="11"/>
      <c r="Q115" s="11"/>
      <c r="R115" s="12">
        <f t="shared" si="17"/>
        <v>0</v>
      </c>
      <c r="S115" s="28">
        <f t="shared" si="18"/>
        <v>0</v>
      </c>
      <c r="T115" s="9"/>
      <c r="U115" s="9"/>
      <c r="V115" s="9"/>
      <c r="W115" s="9"/>
      <c r="X115" s="9"/>
      <c r="Y115" s="10">
        <f t="shared" si="19"/>
        <v>0</v>
      </c>
      <c r="Z115" s="30">
        <f t="shared" si="20"/>
        <v>0</v>
      </c>
      <c r="AA115" s="32">
        <f t="shared" si="14"/>
        <v>0</v>
      </c>
    </row>
    <row r="116" spans="1:27" ht="27.6" hidden="1" x14ac:dyDescent="0.3">
      <c r="A116" s="24" t="s">
        <v>84</v>
      </c>
      <c r="B116" s="24"/>
      <c r="C116" s="24" t="s">
        <v>65</v>
      </c>
      <c r="D116" s="24" t="s">
        <v>232</v>
      </c>
      <c r="E116" s="23"/>
      <c r="F116" s="20"/>
      <c r="G116" s="21"/>
      <c r="H116" s="23"/>
      <c r="I116" s="23"/>
      <c r="J116" s="23"/>
      <c r="K116" s="3" t="s">
        <v>158</v>
      </c>
      <c r="L116" s="9"/>
      <c r="M116" s="9"/>
      <c r="N116" s="10">
        <f t="shared" si="15"/>
        <v>0</v>
      </c>
      <c r="O116" s="38">
        <f t="shared" si="16"/>
        <v>0</v>
      </c>
      <c r="P116" s="11"/>
      <c r="Q116" s="11"/>
      <c r="R116" s="12">
        <f t="shared" si="17"/>
        <v>0</v>
      </c>
      <c r="S116" s="28">
        <f t="shared" si="18"/>
        <v>0</v>
      </c>
      <c r="T116" s="9"/>
      <c r="U116" s="9"/>
      <c r="V116" s="9"/>
      <c r="W116" s="9"/>
      <c r="X116" s="9"/>
      <c r="Y116" s="10">
        <f t="shared" si="19"/>
        <v>0</v>
      </c>
      <c r="Z116" s="30">
        <f t="shared" si="20"/>
        <v>0</v>
      </c>
      <c r="AA116" s="32">
        <f t="shared" si="14"/>
        <v>0</v>
      </c>
    </row>
    <row r="117" spans="1:27" ht="27.6" hidden="1" x14ac:dyDescent="0.3">
      <c r="A117" s="24" t="s">
        <v>84</v>
      </c>
      <c r="B117" s="24" t="s">
        <v>35</v>
      </c>
      <c r="C117" s="24" t="s">
        <v>223</v>
      </c>
      <c r="D117" s="24" t="s">
        <v>224</v>
      </c>
      <c r="E117" s="23"/>
      <c r="F117" s="20"/>
      <c r="G117" s="21"/>
      <c r="H117" s="23"/>
      <c r="I117" s="23"/>
      <c r="J117" s="23"/>
      <c r="K117" s="3" t="s">
        <v>159</v>
      </c>
      <c r="L117" s="9"/>
      <c r="M117" s="9"/>
      <c r="N117" s="10">
        <f t="shared" si="15"/>
        <v>0</v>
      </c>
      <c r="O117" s="38">
        <f t="shared" si="16"/>
        <v>0</v>
      </c>
      <c r="P117" s="11"/>
      <c r="Q117" s="11"/>
      <c r="R117" s="12">
        <f t="shared" si="17"/>
        <v>0</v>
      </c>
      <c r="S117" s="28">
        <f t="shared" si="18"/>
        <v>0</v>
      </c>
      <c r="T117" s="9"/>
      <c r="U117" s="9"/>
      <c r="V117" s="9"/>
      <c r="W117" s="9"/>
      <c r="X117" s="9"/>
      <c r="Y117" s="10">
        <f t="shared" si="19"/>
        <v>0</v>
      </c>
      <c r="Z117" s="30">
        <f t="shared" si="20"/>
        <v>0</v>
      </c>
      <c r="AA117" s="32">
        <f t="shared" si="14"/>
        <v>0</v>
      </c>
    </row>
    <row r="118" spans="1:27" ht="27.6" hidden="1" x14ac:dyDescent="0.3">
      <c r="A118" s="24" t="s">
        <v>84</v>
      </c>
      <c r="B118" s="24" t="s">
        <v>35</v>
      </c>
      <c r="C118" s="24" t="s">
        <v>225</v>
      </c>
      <c r="D118" s="24" t="s">
        <v>224</v>
      </c>
      <c r="E118" s="23"/>
      <c r="F118" s="20"/>
      <c r="G118" s="21"/>
      <c r="H118" s="23"/>
      <c r="I118" s="23"/>
      <c r="J118" s="23"/>
      <c r="K118" s="3" t="s">
        <v>160</v>
      </c>
      <c r="L118" s="9"/>
      <c r="M118" s="9"/>
      <c r="N118" s="10">
        <f t="shared" si="15"/>
        <v>0</v>
      </c>
      <c r="O118" s="38">
        <f t="shared" si="16"/>
        <v>0</v>
      </c>
      <c r="P118" s="11"/>
      <c r="Q118" s="11"/>
      <c r="R118" s="12">
        <f t="shared" si="17"/>
        <v>0</v>
      </c>
      <c r="S118" s="28">
        <f t="shared" si="18"/>
        <v>0</v>
      </c>
      <c r="T118" s="9"/>
      <c r="U118" s="9"/>
      <c r="V118" s="9"/>
      <c r="W118" s="9"/>
      <c r="X118" s="9"/>
      <c r="Y118" s="10">
        <f t="shared" si="19"/>
        <v>0</v>
      </c>
      <c r="Z118" s="30">
        <f t="shared" si="20"/>
        <v>0</v>
      </c>
      <c r="AA118" s="32">
        <f t="shared" si="14"/>
        <v>0</v>
      </c>
    </row>
    <row r="119" spans="1:27" ht="27.6" hidden="1" x14ac:dyDescent="0.3">
      <c r="A119" s="24" t="s">
        <v>84</v>
      </c>
      <c r="B119" s="24" t="s">
        <v>35</v>
      </c>
      <c r="C119" s="24" t="s">
        <v>226</v>
      </c>
      <c r="D119" s="24" t="s">
        <v>224</v>
      </c>
      <c r="E119" s="23"/>
      <c r="F119" s="20"/>
      <c r="G119" s="21"/>
      <c r="H119" s="23"/>
      <c r="I119" s="23"/>
      <c r="J119" s="23"/>
      <c r="K119" s="3" t="s">
        <v>161</v>
      </c>
      <c r="L119" s="9"/>
      <c r="M119" s="9"/>
      <c r="N119" s="10">
        <f t="shared" si="15"/>
        <v>0</v>
      </c>
      <c r="O119" s="38">
        <f t="shared" si="16"/>
        <v>0</v>
      </c>
      <c r="P119" s="11"/>
      <c r="Q119" s="11"/>
      <c r="R119" s="12">
        <f t="shared" si="17"/>
        <v>0</v>
      </c>
      <c r="S119" s="28">
        <f t="shared" si="18"/>
        <v>0</v>
      </c>
      <c r="T119" s="9"/>
      <c r="U119" s="9"/>
      <c r="V119" s="9"/>
      <c r="W119" s="9"/>
      <c r="X119" s="9"/>
      <c r="Y119" s="10">
        <f t="shared" si="19"/>
        <v>0</v>
      </c>
      <c r="Z119" s="30">
        <f t="shared" si="20"/>
        <v>0</v>
      </c>
      <c r="AA119" s="32">
        <f t="shared" si="14"/>
        <v>0</v>
      </c>
    </row>
    <row r="120" spans="1:27" ht="27.6" hidden="1" x14ac:dyDescent="0.3">
      <c r="A120" s="24" t="s">
        <v>103</v>
      </c>
      <c r="B120" s="24"/>
      <c r="C120" s="24" t="s">
        <v>104</v>
      </c>
      <c r="D120" s="24" t="s">
        <v>221</v>
      </c>
      <c r="E120" s="23"/>
      <c r="F120" s="20"/>
      <c r="G120" s="21"/>
      <c r="H120" s="23"/>
      <c r="I120" s="23"/>
      <c r="J120" s="23"/>
      <c r="K120" s="3" t="s">
        <v>162</v>
      </c>
      <c r="L120" s="9"/>
      <c r="M120" s="9"/>
      <c r="N120" s="10">
        <f t="shared" si="15"/>
        <v>0</v>
      </c>
      <c r="O120" s="38">
        <f t="shared" si="16"/>
        <v>0</v>
      </c>
      <c r="P120" s="11"/>
      <c r="Q120" s="11"/>
      <c r="R120" s="12">
        <f t="shared" si="17"/>
        <v>0</v>
      </c>
      <c r="S120" s="28">
        <f t="shared" si="18"/>
        <v>0</v>
      </c>
      <c r="T120" s="9"/>
      <c r="U120" s="9"/>
      <c r="V120" s="9"/>
      <c r="W120" s="9"/>
      <c r="X120" s="9"/>
      <c r="Y120" s="10">
        <f t="shared" si="19"/>
        <v>0</v>
      </c>
      <c r="Z120" s="30">
        <f t="shared" si="20"/>
        <v>0</v>
      </c>
      <c r="AA120" s="32">
        <f t="shared" si="14"/>
        <v>0</v>
      </c>
    </row>
    <row r="121" spans="1:27" ht="27.6" hidden="1" x14ac:dyDescent="0.3">
      <c r="A121" s="24" t="s">
        <v>103</v>
      </c>
      <c r="B121" s="24"/>
      <c r="C121" s="24" t="s">
        <v>261</v>
      </c>
      <c r="D121" s="24" t="s">
        <v>221</v>
      </c>
      <c r="E121" s="23"/>
      <c r="F121" s="20"/>
      <c r="G121" s="21"/>
      <c r="H121" s="23"/>
      <c r="I121" s="23"/>
      <c r="J121" s="23"/>
      <c r="K121" s="3" t="s">
        <v>164</v>
      </c>
      <c r="L121" s="9"/>
      <c r="M121" s="9"/>
      <c r="N121" s="10">
        <f t="shared" si="15"/>
        <v>0</v>
      </c>
      <c r="O121" s="38">
        <f t="shared" si="16"/>
        <v>0</v>
      </c>
      <c r="P121" s="11"/>
      <c r="Q121" s="11"/>
      <c r="R121" s="12">
        <f t="shared" si="17"/>
        <v>0</v>
      </c>
      <c r="S121" s="28">
        <f t="shared" si="18"/>
        <v>0</v>
      </c>
      <c r="T121" s="9"/>
      <c r="U121" s="9"/>
      <c r="V121" s="9"/>
      <c r="W121" s="9"/>
      <c r="X121" s="9"/>
      <c r="Y121" s="10">
        <f t="shared" si="19"/>
        <v>0</v>
      </c>
      <c r="Z121" s="30">
        <f t="shared" si="20"/>
        <v>0</v>
      </c>
      <c r="AA121" s="32">
        <f t="shared" si="14"/>
        <v>0</v>
      </c>
    </row>
    <row r="122" spans="1:27" ht="41.4" hidden="1" x14ac:dyDescent="0.3">
      <c r="A122" s="24" t="s">
        <v>103</v>
      </c>
      <c r="B122" s="24"/>
      <c r="C122" s="24" t="s">
        <v>104</v>
      </c>
      <c r="D122" s="24" t="s">
        <v>221</v>
      </c>
      <c r="E122" s="23"/>
      <c r="F122" s="20"/>
      <c r="G122" s="21"/>
      <c r="H122" s="23"/>
      <c r="I122" s="23"/>
      <c r="J122" s="23"/>
      <c r="K122" s="3" t="s">
        <v>165</v>
      </c>
      <c r="L122" s="9"/>
      <c r="M122" s="9"/>
      <c r="N122" s="10">
        <f t="shared" si="15"/>
        <v>0</v>
      </c>
      <c r="O122" s="38">
        <f t="shared" si="16"/>
        <v>0</v>
      </c>
      <c r="P122" s="11"/>
      <c r="Q122" s="11"/>
      <c r="R122" s="12">
        <f t="shared" si="17"/>
        <v>0</v>
      </c>
      <c r="S122" s="28">
        <f t="shared" si="18"/>
        <v>0</v>
      </c>
      <c r="T122" s="9"/>
      <c r="U122" s="9"/>
      <c r="V122" s="9"/>
      <c r="W122" s="9"/>
      <c r="X122" s="9"/>
      <c r="Y122" s="10">
        <f t="shared" si="19"/>
        <v>0</v>
      </c>
      <c r="Z122" s="30">
        <f t="shared" si="20"/>
        <v>0</v>
      </c>
      <c r="AA122" s="32">
        <f t="shared" si="14"/>
        <v>0</v>
      </c>
    </row>
    <row r="123" spans="1:27" ht="21.6" hidden="1" x14ac:dyDescent="0.3">
      <c r="A123" s="24" t="s">
        <v>103</v>
      </c>
      <c r="B123" s="24"/>
      <c r="C123" s="24" t="s">
        <v>104</v>
      </c>
      <c r="D123" s="24" t="s">
        <v>221</v>
      </c>
      <c r="E123" s="23"/>
      <c r="F123" s="20"/>
      <c r="G123" s="21"/>
      <c r="H123" s="23"/>
      <c r="I123" s="23"/>
      <c r="J123" s="23"/>
      <c r="K123" s="3" t="s">
        <v>166</v>
      </c>
      <c r="L123" s="9"/>
      <c r="M123" s="9"/>
      <c r="N123" s="10">
        <f t="shared" si="15"/>
        <v>0</v>
      </c>
      <c r="O123" s="38">
        <f t="shared" si="16"/>
        <v>0</v>
      </c>
      <c r="P123" s="11"/>
      <c r="Q123" s="11"/>
      <c r="R123" s="12">
        <f t="shared" si="17"/>
        <v>0</v>
      </c>
      <c r="S123" s="28">
        <f t="shared" si="18"/>
        <v>0</v>
      </c>
      <c r="T123" s="9"/>
      <c r="U123" s="9"/>
      <c r="V123" s="9"/>
      <c r="W123" s="9"/>
      <c r="X123" s="9"/>
      <c r="Y123" s="10">
        <f t="shared" si="19"/>
        <v>0</v>
      </c>
      <c r="Z123" s="30">
        <f t="shared" si="20"/>
        <v>0</v>
      </c>
      <c r="AA123" s="32">
        <f t="shared" si="14"/>
        <v>0</v>
      </c>
    </row>
    <row r="124" spans="1:27" ht="21.6" hidden="1" x14ac:dyDescent="0.3">
      <c r="A124" s="24" t="s">
        <v>103</v>
      </c>
      <c r="B124" s="24"/>
      <c r="C124" s="24" t="s">
        <v>261</v>
      </c>
      <c r="D124" s="24" t="s">
        <v>221</v>
      </c>
      <c r="E124" s="23"/>
      <c r="F124" s="20"/>
      <c r="G124" s="21"/>
      <c r="H124" s="23"/>
      <c r="I124" s="23"/>
      <c r="J124" s="23"/>
      <c r="K124" s="3" t="s">
        <v>167</v>
      </c>
      <c r="L124" s="9"/>
      <c r="M124" s="9"/>
      <c r="N124" s="10">
        <f t="shared" si="15"/>
        <v>0</v>
      </c>
      <c r="O124" s="38">
        <f t="shared" si="16"/>
        <v>0</v>
      </c>
      <c r="P124" s="11"/>
      <c r="Q124" s="11"/>
      <c r="R124" s="12">
        <f t="shared" si="17"/>
        <v>0</v>
      </c>
      <c r="S124" s="28">
        <f t="shared" si="18"/>
        <v>0</v>
      </c>
      <c r="T124" s="9"/>
      <c r="U124" s="9"/>
      <c r="V124" s="9"/>
      <c r="W124" s="9"/>
      <c r="X124" s="9"/>
      <c r="Y124" s="10">
        <f t="shared" si="19"/>
        <v>0</v>
      </c>
      <c r="Z124" s="30">
        <f t="shared" si="20"/>
        <v>0</v>
      </c>
      <c r="AA124" s="32">
        <f t="shared" si="14"/>
        <v>0</v>
      </c>
    </row>
    <row r="125" spans="1:27" ht="27.6" hidden="1" x14ac:dyDescent="0.3">
      <c r="A125" s="24" t="s">
        <v>103</v>
      </c>
      <c r="B125" s="24"/>
      <c r="C125" s="24" t="s">
        <v>104</v>
      </c>
      <c r="D125" s="24" t="s">
        <v>221</v>
      </c>
      <c r="E125" s="23"/>
      <c r="F125" s="20"/>
      <c r="G125" s="21"/>
      <c r="H125" s="23"/>
      <c r="I125" s="23"/>
      <c r="J125" s="23"/>
      <c r="K125" s="3" t="s">
        <v>262</v>
      </c>
      <c r="L125" s="9"/>
      <c r="M125" s="9"/>
      <c r="N125" s="10">
        <f t="shared" si="15"/>
        <v>0</v>
      </c>
      <c r="O125" s="38">
        <f t="shared" si="16"/>
        <v>0</v>
      </c>
      <c r="P125" s="11"/>
      <c r="Q125" s="11"/>
      <c r="R125" s="12">
        <f t="shared" si="17"/>
        <v>0</v>
      </c>
      <c r="S125" s="28">
        <f t="shared" si="18"/>
        <v>0</v>
      </c>
      <c r="T125" s="9"/>
      <c r="U125" s="9"/>
      <c r="V125" s="9"/>
      <c r="W125" s="9"/>
      <c r="X125" s="9"/>
      <c r="Y125" s="10">
        <f t="shared" si="19"/>
        <v>0</v>
      </c>
      <c r="Z125" s="30">
        <f t="shared" si="20"/>
        <v>0</v>
      </c>
      <c r="AA125" s="32">
        <f t="shared" si="14"/>
        <v>0</v>
      </c>
    </row>
    <row r="126" spans="1:27" ht="27.6" hidden="1" x14ac:dyDescent="0.3">
      <c r="A126" s="24" t="s">
        <v>103</v>
      </c>
      <c r="B126" s="24"/>
      <c r="C126" s="24" t="s">
        <v>261</v>
      </c>
      <c r="D126" s="24" t="s">
        <v>221</v>
      </c>
      <c r="E126" s="23"/>
      <c r="F126" s="20"/>
      <c r="G126" s="21"/>
      <c r="H126" s="23"/>
      <c r="I126" s="23"/>
      <c r="J126" s="23"/>
      <c r="K126" s="3" t="s">
        <v>169</v>
      </c>
      <c r="L126" s="9"/>
      <c r="M126" s="9"/>
      <c r="N126" s="10">
        <f t="shared" si="15"/>
        <v>0</v>
      </c>
      <c r="O126" s="38">
        <f t="shared" si="16"/>
        <v>0</v>
      </c>
      <c r="P126" s="11"/>
      <c r="Q126" s="11"/>
      <c r="R126" s="12">
        <f t="shared" si="17"/>
        <v>0</v>
      </c>
      <c r="S126" s="28">
        <f t="shared" si="18"/>
        <v>0</v>
      </c>
      <c r="T126" s="9"/>
      <c r="U126" s="9"/>
      <c r="V126" s="9"/>
      <c r="W126" s="9"/>
      <c r="X126" s="9"/>
      <c r="Y126" s="10">
        <f t="shared" si="19"/>
        <v>0</v>
      </c>
      <c r="Z126" s="30">
        <f t="shared" si="20"/>
        <v>0</v>
      </c>
      <c r="AA126" s="32">
        <f t="shared" si="14"/>
        <v>0</v>
      </c>
    </row>
    <row r="127" spans="1:27" ht="41.4" hidden="1" x14ac:dyDescent="0.3">
      <c r="A127" s="24" t="s">
        <v>103</v>
      </c>
      <c r="B127" s="24"/>
      <c r="C127" s="24" t="s">
        <v>104</v>
      </c>
      <c r="D127" s="24" t="s">
        <v>221</v>
      </c>
      <c r="E127" s="23"/>
      <c r="F127" s="20"/>
      <c r="G127" s="21"/>
      <c r="H127" s="23"/>
      <c r="I127" s="23"/>
      <c r="J127" s="23"/>
      <c r="K127" s="3" t="s">
        <v>170</v>
      </c>
      <c r="L127" s="9"/>
      <c r="M127" s="9"/>
      <c r="N127" s="10">
        <f t="shared" si="15"/>
        <v>0</v>
      </c>
      <c r="O127" s="38">
        <f t="shared" si="16"/>
        <v>0</v>
      </c>
      <c r="P127" s="11"/>
      <c r="Q127" s="11"/>
      <c r="R127" s="12">
        <f t="shared" si="17"/>
        <v>0</v>
      </c>
      <c r="S127" s="28">
        <f t="shared" si="18"/>
        <v>0</v>
      </c>
      <c r="T127" s="9"/>
      <c r="U127" s="9"/>
      <c r="V127" s="9"/>
      <c r="W127" s="9"/>
      <c r="X127" s="9"/>
      <c r="Y127" s="10">
        <f t="shared" si="19"/>
        <v>0</v>
      </c>
      <c r="Z127" s="30">
        <f t="shared" si="20"/>
        <v>0</v>
      </c>
      <c r="AA127" s="32">
        <f t="shared" si="14"/>
        <v>0</v>
      </c>
    </row>
    <row r="128" spans="1:27" ht="41.4" hidden="1" x14ac:dyDescent="0.3">
      <c r="A128" s="24" t="s">
        <v>103</v>
      </c>
      <c r="B128" s="24"/>
      <c r="C128" s="24" t="s">
        <v>261</v>
      </c>
      <c r="D128" s="24" t="s">
        <v>221</v>
      </c>
      <c r="E128" s="23"/>
      <c r="F128" s="20"/>
      <c r="G128" s="21"/>
      <c r="H128" s="23"/>
      <c r="I128" s="23"/>
      <c r="J128" s="23"/>
      <c r="K128" s="3" t="s">
        <v>171</v>
      </c>
      <c r="L128" s="9"/>
      <c r="M128" s="9"/>
      <c r="N128" s="10">
        <f t="shared" si="15"/>
        <v>0</v>
      </c>
      <c r="O128" s="38">
        <f t="shared" si="16"/>
        <v>0</v>
      </c>
      <c r="P128" s="11"/>
      <c r="Q128" s="11"/>
      <c r="R128" s="12">
        <f t="shared" si="17"/>
        <v>0</v>
      </c>
      <c r="S128" s="28">
        <f t="shared" si="18"/>
        <v>0</v>
      </c>
      <c r="T128" s="9"/>
      <c r="U128" s="9"/>
      <c r="V128" s="9"/>
      <c r="W128" s="9"/>
      <c r="X128" s="9"/>
      <c r="Y128" s="10">
        <f t="shared" si="19"/>
        <v>0</v>
      </c>
      <c r="Z128" s="30">
        <f t="shared" si="20"/>
        <v>0</v>
      </c>
      <c r="AA128" s="32">
        <f t="shared" si="14"/>
        <v>0</v>
      </c>
    </row>
    <row r="129" spans="1:27" ht="27.6" hidden="1" x14ac:dyDescent="0.3">
      <c r="A129" s="24" t="s">
        <v>103</v>
      </c>
      <c r="B129" s="24"/>
      <c r="C129" s="24" t="s">
        <v>261</v>
      </c>
      <c r="D129" s="24" t="s">
        <v>221</v>
      </c>
      <c r="E129" s="23"/>
      <c r="F129" s="20"/>
      <c r="G129" s="21"/>
      <c r="H129" s="23"/>
      <c r="I129" s="23"/>
      <c r="J129" s="23"/>
      <c r="K129" s="3" t="s">
        <v>172</v>
      </c>
      <c r="L129" s="9"/>
      <c r="M129" s="9"/>
      <c r="N129" s="10">
        <f t="shared" si="15"/>
        <v>0</v>
      </c>
      <c r="O129" s="38">
        <f t="shared" si="16"/>
        <v>0</v>
      </c>
      <c r="P129" s="11"/>
      <c r="Q129" s="11"/>
      <c r="R129" s="12">
        <f t="shared" si="17"/>
        <v>0</v>
      </c>
      <c r="S129" s="28">
        <f t="shared" si="18"/>
        <v>0</v>
      </c>
      <c r="T129" s="9"/>
      <c r="U129" s="9"/>
      <c r="V129" s="9"/>
      <c r="W129" s="9"/>
      <c r="X129" s="9"/>
      <c r="Y129" s="10">
        <f t="shared" si="19"/>
        <v>0</v>
      </c>
      <c r="Z129" s="30">
        <f t="shared" si="20"/>
        <v>0</v>
      </c>
      <c r="AA129" s="32">
        <f t="shared" si="14"/>
        <v>0</v>
      </c>
    </row>
    <row r="130" spans="1:27" ht="41.4" hidden="1" x14ac:dyDescent="0.3">
      <c r="A130" s="24" t="s">
        <v>103</v>
      </c>
      <c r="B130" s="24"/>
      <c r="C130" s="24" t="s">
        <v>104</v>
      </c>
      <c r="D130" s="24" t="s">
        <v>221</v>
      </c>
      <c r="E130" s="23"/>
      <c r="F130" s="20"/>
      <c r="G130" s="21"/>
      <c r="H130" s="23"/>
      <c r="I130" s="23"/>
      <c r="J130" s="23"/>
      <c r="K130" s="3" t="s">
        <v>173</v>
      </c>
      <c r="L130" s="9"/>
      <c r="M130" s="9"/>
      <c r="N130" s="10">
        <f t="shared" si="15"/>
        <v>0</v>
      </c>
      <c r="O130" s="38">
        <f t="shared" si="16"/>
        <v>0</v>
      </c>
      <c r="P130" s="11"/>
      <c r="Q130" s="11"/>
      <c r="R130" s="12">
        <f t="shared" si="17"/>
        <v>0</v>
      </c>
      <c r="S130" s="28">
        <f t="shared" si="18"/>
        <v>0</v>
      </c>
      <c r="T130" s="9"/>
      <c r="U130" s="9"/>
      <c r="V130" s="9"/>
      <c r="W130" s="9"/>
      <c r="X130" s="9"/>
      <c r="Y130" s="10">
        <f t="shared" si="19"/>
        <v>0</v>
      </c>
      <c r="Z130" s="30">
        <f t="shared" si="20"/>
        <v>0</v>
      </c>
      <c r="AA130" s="32">
        <f t="shared" si="14"/>
        <v>0</v>
      </c>
    </row>
    <row r="131" spans="1:27" ht="27.6" hidden="1" x14ac:dyDescent="0.3">
      <c r="A131" s="24" t="s">
        <v>103</v>
      </c>
      <c r="B131" s="24" t="s">
        <v>84</v>
      </c>
      <c r="C131" s="24" t="s">
        <v>261</v>
      </c>
      <c r="D131" s="24" t="s">
        <v>221</v>
      </c>
      <c r="E131" s="23"/>
      <c r="F131" s="20"/>
      <c r="G131" s="21"/>
      <c r="H131" s="23"/>
      <c r="I131" s="23"/>
      <c r="J131" s="23"/>
      <c r="K131" s="3" t="s">
        <v>174</v>
      </c>
      <c r="L131" s="9"/>
      <c r="M131" s="9"/>
      <c r="N131" s="10">
        <f t="shared" si="15"/>
        <v>0</v>
      </c>
      <c r="O131" s="38">
        <f t="shared" si="16"/>
        <v>0</v>
      </c>
      <c r="P131" s="11"/>
      <c r="Q131" s="11"/>
      <c r="R131" s="12">
        <f t="shared" si="17"/>
        <v>0</v>
      </c>
      <c r="S131" s="28">
        <f t="shared" si="18"/>
        <v>0</v>
      </c>
      <c r="T131" s="9"/>
      <c r="U131" s="9"/>
      <c r="V131" s="9"/>
      <c r="W131" s="9"/>
      <c r="X131" s="9"/>
      <c r="Y131" s="10">
        <f t="shared" si="19"/>
        <v>0</v>
      </c>
      <c r="Z131" s="30">
        <f t="shared" si="20"/>
        <v>0</v>
      </c>
      <c r="AA131" s="32">
        <f t="shared" si="14"/>
        <v>0</v>
      </c>
    </row>
    <row r="132" spans="1:27" ht="27.6" hidden="1" x14ac:dyDescent="0.3">
      <c r="A132" s="24" t="s">
        <v>103</v>
      </c>
      <c r="B132" s="24"/>
      <c r="C132" s="24" t="s">
        <v>104</v>
      </c>
      <c r="D132" s="24" t="s">
        <v>221</v>
      </c>
      <c r="E132" s="23"/>
      <c r="F132" s="20"/>
      <c r="G132" s="21"/>
      <c r="H132" s="23"/>
      <c r="I132" s="23"/>
      <c r="J132" s="23"/>
      <c r="K132" s="3" t="s">
        <v>175</v>
      </c>
      <c r="L132" s="9"/>
      <c r="M132" s="9"/>
      <c r="N132" s="10">
        <f t="shared" si="15"/>
        <v>0</v>
      </c>
      <c r="O132" s="38">
        <f t="shared" si="16"/>
        <v>0</v>
      </c>
      <c r="P132" s="11"/>
      <c r="Q132" s="11"/>
      <c r="R132" s="12">
        <f t="shared" si="17"/>
        <v>0</v>
      </c>
      <c r="S132" s="28">
        <f t="shared" si="18"/>
        <v>0</v>
      </c>
      <c r="T132" s="9"/>
      <c r="U132" s="9"/>
      <c r="V132" s="9"/>
      <c r="W132" s="9"/>
      <c r="X132" s="9"/>
      <c r="Y132" s="10">
        <f t="shared" si="19"/>
        <v>0</v>
      </c>
      <c r="Z132" s="30">
        <f t="shared" si="20"/>
        <v>0</v>
      </c>
      <c r="AA132" s="32">
        <f t="shared" si="14"/>
        <v>0</v>
      </c>
    </row>
    <row r="133" spans="1:27" ht="41.4" hidden="1" x14ac:dyDescent="0.3">
      <c r="A133" s="24" t="s">
        <v>103</v>
      </c>
      <c r="B133" s="24"/>
      <c r="C133" s="24" t="s">
        <v>104</v>
      </c>
      <c r="D133" s="24" t="s">
        <v>221</v>
      </c>
      <c r="E133" s="23"/>
      <c r="F133" s="20"/>
      <c r="G133" s="21"/>
      <c r="H133" s="23"/>
      <c r="I133" s="23"/>
      <c r="J133" s="23"/>
      <c r="K133" s="3" t="s">
        <v>176</v>
      </c>
      <c r="L133" s="9"/>
      <c r="M133" s="9"/>
      <c r="N133" s="10">
        <f t="shared" si="15"/>
        <v>0</v>
      </c>
      <c r="O133" s="38">
        <f t="shared" si="16"/>
        <v>0</v>
      </c>
      <c r="P133" s="11"/>
      <c r="Q133" s="11"/>
      <c r="R133" s="12">
        <f t="shared" si="17"/>
        <v>0</v>
      </c>
      <c r="S133" s="28">
        <f t="shared" si="18"/>
        <v>0</v>
      </c>
      <c r="T133" s="9"/>
      <c r="U133" s="9"/>
      <c r="V133" s="9"/>
      <c r="W133" s="9"/>
      <c r="X133" s="9"/>
      <c r="Y133" s="10">
        <f t="shared" si="19"/>
        <v>0</v>
      </c>
      <c r="Z133" s="30">
        <f t="shared" si="20"/>
        <v>0</v>
      </c>
      <c r="AA133" s="32">
        <f t="shared" si="14"/>
        <v>0</v>
      </c>
    </row>
    <row r="134" spans="1:27" ht="27.6" hidden="1" x14ac:dyDescent="0.3">
      <c r="A134" s="24" t="s">
        <v>103</v>
      </c>
      <c r="B134" s="24"/>
      <c r="C134" s="24" t="s">
        <v>261</v>
      </c>
      <c r="D134" s="24" t="s">
        <v>221</v>
      </c>
      <c r="E134" s="23"/>
      <c r="F134" s="20"/>
      <c r="G134" s="21"/>
      <c r="H134" s="23"/>
      <c r="I134" s="23"/>
      <c r="J134" s="23"/>
      <c r="K134" s="3" t="s">
        <v>177</v>
      </c>
      <c r="L134" s="9"/>
      <c r="M134" s="9"/>
      <c r="N134" s="10">
        <f t="shared" si="15"/>
        <v>0</v>
      </c>
      <c r="O134" s="38">
        <f t="shared" si="16"/>
        <v>0</v>
      </c>
      <c r="P134" s="11"/>
      <c r="Q134" s="11"/>
      <c r="R134" s="12">
        <f t="shared" si="17"/>
        <v>0</v>
      </c>
      <c r="S134" s="28">
        <f t="shared" si="18"/>
        <v>0</v>
      </c>
      <c r="T134" s="9"/>
      <c r="U134" s="9"/>
      <c r="V134" s="9"/>
      <c r="W134" s="9"/>
      <c r="X134" s="9"/>
      <c r="Y134" s="10">
        <f t="shared" si="19"/>
        <v>0</v>
      </c>
      <c r="Z134" s="30">
        <f t="shared" si="20"/>
        <v>0</v>
      </c>
      <c r="AA134" s="32">
        <f t="shared" si="14"/>
        <v>0</v>
      </c>
    </row>
    <row r="135" spans="1:27" ht="27.6" hidden="1" x14ac:dyDescent="0.3">
      <c r="A135" s="24" t="s">
        <v>103</v>
      </c>
      <c r="B135" s="24"/>
      <c r="C135" s="24" t="s">
        <v>104</v>
      </c>
      <c r="D135" s="24" t="s">
        <v>221</v>
      </c>
      <c r="E135" s="23"/>
      <c r="F135" s="20"/>
      <c r="G135" s="21"/>
      <c r="H135" s="23"/>
      <c r="I135" s="23"/>
      <c r="J135" s="23"/>
      <c r="K135" s="3" t="s">
        <v>178</v>
      </c>
      <c r="L135" s="9"/>
      <c r="M135" s="9"/>
      <c r="N135" s="10">
        <f t="shared" si="15"/>
        <v>0</v>
      </c>
      <c r="O135" s="38">
        <f t="shared" si="16"/>
        <v>0</v>
      </c>
      <c r="P135" s="11"/>
      <c r="Q135" s="11"/>
      <c r="R135" s="12">
        <f t="shared" si="17"/>
        <v>0</v>
      </c>
      <c r="S135" s="28">
        <f t="shared" si="18"/>
        <v>0</v>
      </c>
      <c r="T135" s="9"/>
      <c r="U135" s="9"/>
      <c r="V135" s="9"/>
      <c r="W135" s="9"/>
      <c r="X135" s="9"/>
      <c r="Y135" s="10">
        <f t="shared" si="19"/>
        <v>0</v>
      </c>
      <c r="Z135" s="30">
        <f t="shared" si="20"/>
        <v>0</v>
      </c>
      <c r="AA135" s="32">
        <f t="shared" si="14"/>
        <v>0</v>
      </c>
    </row>
    <row r="136" spans="1:27" ht="27.6" hidden="1" x14ac:dyDescent="0.3">
      <c r="A136" s="24" t="s">
        <v>103</v>
      </c>
      <c r="B136" s="24" t="s">
        <v>36</v>
      </c>
      <c r="C136" s="24" t="s">
        <v>261</v>
      </c>
      <c r="D136" s="24" t="s">
        <v>224</v>
      </c>
      <c r="E136" s="23"/>
      <c r="F136" s="20"/>
      <c r="G136" s="21"/>
      <c r="H136" s="23"/>
      <c r="I136" s="23"/>
      <c r="J136" s="23"/>
      <c r="K136" s="3" t="s">
        <v>179</v>
      </c>
      <c r="L136" s="9"/>
      <c r="M136" s="9"/>
      <c r="N136" s="10">
        <f t="shared" si="15"/>
        <v>0</v>
      </c>
      <c r="O136" s="38">
        <f t="shared" si="16"/>
        <v>0</v>
      </c>
      <c r="P136" s="11"/>
      <c r="Q136" s="11"/>
      <c r="R136" s="12">
        <f t="shared" si="17"/>
        <v>0</v>
      </c>
      <c r="S136" s="28">
        <f t="shared" si="18"/>
        <v>0</v>
      </c>
      <c r="T136" s="9"/>
      <c r="U136" s="9"/>
      <c r="V136" s="9"/>
      <c r="W136" s="9"/>
      <c r="X136" s="9"/>
      <c r="Y136" s="10">
        <f t="shared" si="19"/>
        <v>0</v>
      </c>
      <c r="Z136" s="30">
        <f t="shared" si="20"/>
        <v>0</v>
      </c>
      <c r="AA136" s="32">
        <f t="shared" si="14"/>
        <v>0</v>
      </c>
    </row>
    <row r="137" spans="1:27" ht="27.6" hidden="1" x14ac:dyDescent="0.3">
      <c r="A137" s="24" t="s">
        <v>103</v>
      </c>
      <c r="B137" s="24"/>
      <c r="C137" s="24" t="s">
        <v>104</v>
      </c>
      <c r="D137" s="24" t="s">
        <v>221</v>
      </c>
      <c r="E137" s="23"/>
      <c r="F137" s="20"/>
      <c r="G137" s="21"/>
      <c r="H137" s="23"/>
      <c r="I137" s="23"/>
      <c r="J137" s="23"/>
      <c r="K137" s="3" t="s">
        <v>180</v>
      </c>
      <c r="L137" s="9"/>
      <c r="M137" s="9"/>
      <c r="N137" s="10">
        <f t="shared" si="15"/>
        <v>0</v>
      </c>
      <c r="O137" s="38">
        <f t="shared" si="16"/>
        <v>0</v>
      </c>
      <c r="P137" s="11"/>
      <c r="Q137" s="11"/>
      <c r="R137" s="12">
        <f t="shared" si="17"/>
        <v>0</v>
      </c>
      <c r="S137" s="28">
        <f t="shared" si="18"/>
        <v>0</v>
      </c>
      <c r="T137" s="9"/>
      <c r="U137" s="9"/>
      <c r="V137" s="9"/>
      <c r="W137" s="9"/>
      <c r="X137" s="9"/>
      <c r="Y137" s="10">
        <f t="shared" si="19"/>
        <v>0</v>
      </c>
      <c r="Z137" s="30">
        <f t="shared" si="20"/>
        <v>0</v>
      </c>
      <c r="AA137" s="32">
        <f t="shared" si="14"/>
        <v>0</v>
      </c>
    </row>
    <row r="138" spans="1:27" ht="27.6" hidden="1" x14ac:dyDescent="0.3">
      <c r="A138" s="24" t="s">
        <v>103</v>
      </c>
      <c r="B138" s="24" t="s">
        <v>35</v>
      </c>
      <c r="C138" s="24" t="s">
        <v>261</v>
      </c>
      <c r="D138" s="24" t="s">
        <v>227</v>
      </c>
      <c r="E138" s="23"/>
      <c r="F138" s="20"/>
      <c r="G138" s="21"/>
      <c r="H138" s="23"/>
      <c r="I138" s="23"/>
      <c r="J138" s="23"/>
      <c r="K138" s="3" t="s">
        <v>181</v>
      </c>
      <c r="L138" s="9"/>
      <c r="M138" s="9"/>
      <c r="N138" s="10">
        <f t="shared" si="15"/>
        <v>0</v>
      </c>
      <c r="O138" s="38">
        <f t="shared" si="16"/>
        <v>0</v>
      </c>
      <c r="P138" s="11"/>
      <c r="Q138" s="11"/>
      <c r="R138" s="12">
        <f t="shared" si="17"/>
        <v>0</v>
      </c>
      <c r="S138" s="28">
        <f t="shared" si="18"/>
        <v>0</v>
      </c>
      <c r="T138" s="9"/>
      <c r="U138" s="9"/>
      <c r="V138" s="9"/>
      <c r="W138" s="9"/>
      <c r="X138" s="9"/>
      <c r="Y138" s="10">
        <f t="shared" si="19"/>
        <v>0</v>
      </c>
      <c r="Z138" s="30">
        <f t="shared" si="20"/>
        <v>0</v>
      </c>
      <c r="AA138" s="32">
        <f t="shared" si="14"/>
        <v>0</v>
      </c>
    </row>
    <row r="139" spans="1:27" ht="27.6" hidden="1" x14ac:dyDescent="0.3">
      <c r="A139" s="24" t="s">
        <v>182</v>
      </c>
      <c r="B139" s="24" t="s">
        <v>35</v>
      </c>
      <c r="C139" s="24" t="s">
        <v>183</v>
      </c>
      <c r="D139" s="24" t="s">
        <v>227</v>
      </c>
      <c r="E139" s="23"/>
      <c r="F139" s="20"/>
      <c r="G139" s="21"/>
      <c r="H139" s="23"/>
      <c r="I139" s="23"/>
      <c r="J139" s="23"/>
      <c r="K139" s="3" t="s">
        <v>184</v>
      </c>
      <c r="L139" s="9"/>
      <c r="M139" s="9"/>
      <c r="N139" s="10">
        <f t="shared" si="15"/>
        <v>0</v>
      </c>
      <c r="O139" s="38">
        <f t="shared" si="16"/>
        <v>0</v>
      </c>
      <c r="P139" s="11"/>
      <c r="Q139" s="11"/>
      <c r="R139" s="12">
        <f t="shared" si="17"/>
        <v>0</v>
      </c>
      <c r="S139" s="28">
        <f t="shared" si="18"/>
        <v>0</v>
      </c>
      <c r="T139" s="9"/>
      <c r="U139" s="9"/>
      <c r="V139" s="9"/>
      <c r="W139" s="9"/>
      <c r="X139" s="9"/>
      <c r="Y139" s="10">
        <f t="shared" si="19"/>
        <v>0</v>
      </c>
      <c r="Z139" s="30">
        <f t="shared" si="20"/>
        <v>0</v>
      </c>
      <c r="AA139" s="32">
        <f t="shared" si="14"/>
        <v>0</v>
      </c>
    </row>
    <row r="140" spans="1:27" ht="27.6" x14ac:dyDescent="0.3">
      <c r="A140" s="24" t="s">
        <v>182</v>
      </c>
      <c r="B140" s="24" t="s">
        <v>35</v>
      </c>
      <c r="C140" s="24" t="s">
        <v>37</v>
      </c>
      <c r="D140" s="24" t="s">
        <v>227</v>
      </c>
      <c r="E140" s="23"/>
      <c r="F140" s="20"/>
      <c r="G140" s="21"/>
      <c r="H140" s="23"/>
      <c r="I140" s="23"/>
      <c r="J140" s="23"/>
      <c r="K140" s="3" t="s">
        <v>263</v>
      </c>
      <c r="L140" s="9"/>
      <c r="M140" s="9"/>
      <c r="N140" s="10">
        <f t="shared" ref="N140:N143" si="35">+L140-M140</f>
        <v>0</v>
      </c>
      <c r="O140" s="38">
        <f t="shared" ref="O140:O143" si="36">IFERROR(IF(7&lt;&gt;0, M140*100/L140, IF(L140=M140, M140*100/L140, 0)), 0)</f>
        <v>0</v>
      </c>
      <c r="P140" s="11"/>
      <c r="Q140" s="11"/>
      <c r="R140" s="12">
        <f t="shared" ref="R140:R143" si="37">+P140-Q140</f>
        <v>0</v>
      </c>
      <c r="S140" s="28">
        <f t="shared" ref="S140:S143" si="38">IFERROR(IF(R140&lt;&gt;0, P140*100/Q140, IF(P140=Q140, P140*100/Q140, 0)), 0)</f>
        <v>0</v>
      </c>
      <c r="T140" s="9"/>
      <c r="U140" s="9"/>
      <c r="V140" s="9"/>
      <c r="W140" s="9"/>
      <c r="X140" s="9"/>
      <c r="Y140" s="10">
        <f t="shared" ref="Y140:Y143" si="39">SUM(T140:X140)</f>
        <v>0</v>
      </c>
      <c r="Z140" s="30">
        <f t="shared" ref="Z140:Z143" si="40">+Y140*100/50</f>
        <v>0</v>
      </c>
      <c r="AA140" s="32">
        <f t="shared" ref="AA140:AA143" si="41">+(S140+O140+Z140)/3</f>
        <v>0</v>
      </c>
    </row>
    <row r="141" spans="1:27" ht="27.6" hidden="1" x14ac:dyDescent="0.3">
      <c r="A141" s="24" t="s">
        <v>182</v>
      </c>
      <c r="B141" s="24" t="s">
        <v>35</v>
      </c>
      <c r="C141" s="24" t="s">
        <v>42</v>
      </c>
      <c r="D141" s="24" t="s">
        <v>227</v>
      </c>
      <c r="E141" s="23"/>
      <c r="F141" s="20"/>
      <c r="G141" s="21"/>
      <c r="H141" s="23"/>
      <c r="I141" s="23"/>
      <c r="J141" s="23"/>
      <c r="K141" s="3" t="s">
        <v>264</v>
      </c>
      <c r="L141" s="9"/>
      <c r="M141" s="9"/>
      <c r="N141" s="10">
        <f t="shared" si="35"/>
        <v>0</v>
      </c>
      <c r="O141" s="38">
        <f t="shared" si="36"/>
        <v>0</v>
      </c>
      <c r="P141" s="11"/>
      <c r="Q141" s="11"/>
      <c r="R141" s="12">
        <f t="shared" si="37"/>
        <v>0</v>
      </c>
      <c r="S141" s="28">
        <f t="shared" si="38"/>
        <v>0</v>
      </c>
      <c r="T141" s="9"/>
      <c r="U141" s="9"/>
      <c r="V141" s="9"/>
      <c r="W141" s="9"/>
      <c r="X141" s="9"/>
      <c r="Y141" s="10">
        <f t="shared" si="39"/>
        <v>0</v>
      </c>
      <c r="Z141" s="30">
        <f t="shared" si="40"/>
        <v>0</v>
      </c>
      <c r="AA141" s="32">
        <f t="shared" si="41"/>
        <v>0</v>
      </c>
    </row>
    <row r="142" spans="1:27" ht="27.6" hidden="1" x14ac:dyDescent="0.3">
      <c r="A142" s="24" t="s">
        <v>182</v>
      </c>
      <c r="B142" s="24" t="s">
        <v>35</v>
      </c>
      <c r="C142" s="24" t="s">
        <v>44</v>
      </c>
      <c r="D142" s="24" t="s">
        <v>227</v>
      </c>
      <c r="E142" s="23"/>
      <c r="F142" s="20"/>
      <c r="G142" s="21"/>
      <c r="H142" s="23"/>
      <c r="I142" s="23"/>
      <c r="J142" s="23"/>
      <c r="K142" s="3" t="s">
        <v>265</v>
      </c>
      <c r="L142" s="9"/>
      <c r="M142" s="9"/>
      <c r="N142" s="10">
        <f t="shared" si="35"/>
        <v>0</v>
      </c>
      <c r="O142" s="38">
        <f t="shared" si="36"/>
        <v>0</v>
      </c>
      <c r="P142" s="11"/>
      <c r="Q142" s="11"/>
      <c r="R142" s="12">
        <f t="shared" si="37"/>
        <v>0</v>
      </c>
      <c r="S142" s="28">
        <f t="shared" si="38"/>
        <v>0</v>
      </c>
      <c r="T142" s="9"/>
      <c r="U142" s="9"/>
      <c r="V142" s="9"/>
      <c r="W142" s="9"/>
      <c r="X142" s="9"/>
      <c r="Y142" s="10">
        <f t="shared" si="39"/>
        <v>0</v>
      </c>
      <c r="Z142" s="30">
        <f t="shared" si="40"/>
        <v>0</v>
      </c>
      <c r="AA142" s="32">
        <f t="shared" si="41"/>
        <v>0</v>
      </c>
    </row>
    <row r="143" spans="1:27" ht="27.6" hidden="1" x14ac:dyDescent="0.3">
      <c r="A143" s="24" t="s">
        <v>182</v>
      </c>
      <c r="B143" s="24" t="s">
        <v>35</v>
      </c>
      <c r="C143" s="24" t="s">
        <v>65</v>
      </c>
      <c r="D143" s="24" t="s">
        <v>227</v>
      </c>
      <c r="E143" s="23"/>
      <c r="F143" s="20"/>
      <c r="G143" s="21"/>
      <c r="H143" s="23"/>
      <c r="I143" s="23"/>
      <c r="J143" s="23"/>
      <c r="K143" s="3" t="s">
        <v>266</v>
      </c>
      <c r="L143" s="9"/>
      <c r="M143" s="9"/>
      <c r="N143" s="10">
        <f t="shared" si="35"/>
        <v>0</v>
      </c>
      <c r="O143" s="38">
        <f t="shared" si="36"/>
        <v>0</v>
      </c>
      <c r="P143" s="11"/>
      <c r="Q143" s="11"/>
      <c r="R143" s="12">
        <f t="shared" si="37"/>
        <v>0</v>
      </c>
      <c r="S143" s="28">
        <f t="shared" si="38"/>
        <v>0</v>
      </c>
      <c r="T143" s="9"/>
      <c r="U143" s="9"/>
      <c r="V143" s="9"/>
      <c r="W143" s="9"/>
      <c r="X143" s="9"/>
      <c r="Y143" s="10">
        <f t="shared" si="39"/>
        <v>0</v>
      </c>
      <c r="Z143" s="30">
        <f t="shared" si="40"/>
        <v>0</v>
      </c>
      <c r="AA143" s="32">
        <f t="shared" si="41"/>
        <v>0</v>
      </c>
    </row>
    <row r="144" spans="1:27" ht="27.6" hidden="1" x14ac:dyDescent="0.3">
      <c r="A144" s="24" t="s">
        <v>182</v>
      </c>
      <c r="B144" s="24" t="s">
        <v>35</v>
      </c>
      <c r="C144" s="24" t="s">
        <v>104</v>
      </c>
      <c r="D144" s="24" t="s">
        <v>227</v>
      </c>
      <c r="E144" s="23"/>
      <c r="F144" s="20"/>
      <c r="G144" s="21"/>
      <c r="H144" s="23"/>
      <c r="I144" s="23"/>
      <c r="J144" s="23"/>
      <c r="K144" s="3" t="s">
        <v>267</v>
      </c>
      <c r="L144" s="9"/>
      <c r="M144" s="9"/>
      <c r="N144" s="10">
        <f t="shared" ref="N144:N145" si="42">+L144-M144</f>
        <v>0</v>
      </c>
      <c r="O144" s="38">
        <f t="shared" ref="O144:O145" si="43">IFERROR(IF(7&lt;&gt;0, M144*100/L144, IF(L144=M144, M144*100/L144, 0)), 0)</f>
        <v>0</v>
      </c>
      <c r="P144" s="11"/>
      <c r="Q144" s="11"/>
      <c r="R144" s="12">
        <f t="shared" ref="R144:R145" si="44">+P144-Q144</f>
        <v>0</v>
      </c>
      <c r="S144" s="28">
        <f t="shared" ref="S144:S145" si="45">IFERROR(IF(R144&lt;&gt;0, P144*100/Q144, IF(P144=Q144, P144*100/Q144, 0)), 0)</f>
        <v>0</v>
      </c>
      <c r="T144" s="9"/>
      <c r="U144" s="9"/>
      <c r="V144" s="9"/>
      <c r="W144" s="9"/>
      <c r="X144" s="9"/>
      <c r="Y144" s="10">
        <f t="shared" ref="Y144:Y145" si="46">SUM(T144:X144)</f>
        <v>0</v>
      </c>
      <c r="Z144" s="30">
        <f t="shared" ref="Z144:Z145" si="47">+Y144*100/50</f>
        <v>0</v>
      </c>
      <c r="AA144" s="32">
        <f t="shared" ref="AA144:AA145" si="48">+(S144+O144+Z144)/3</f>
        <v>0</v>
      </c>
    </row>
    <row r="145" spans="1:27" ht="27.6" hidden="1" x14ac:dyDescent="0.3">
      <c r="A145" s="24" t="s">
        <v>182</v>
      </c>
      <c r="B145" s="24" t="s">
        <v>35</v>
      </c>
      <c r="C145" s="24" t="s">
        <v>101</v>
      </c>
      <c r="D145" s="24" t="s">
        <v>227</v>
      </c>
      <c r="E145" s="23"/>
      <c r="F145" s="20"/>
      <c r="G145" s="21"/>
      <c r="H145" s="23"/>
      <c r="I145" s="23"/>
      <c r="J145" s="23"/>
      <c r="K145" s="3" t="s">
        <v>268</v>
      </c>
      <c r="L145" s="9"/>
      <c r="M145" s="9"/>
      <c r="N145" s="10">
        <f t="shared" si="42"/>
        <v>0</v>
      </c>
      <c r="O145" s="38">
        <f t="shared" si="43"/>
        <v>0</v>
      </c>
      <c r="P145" s="11"/>
      <c r="Q145" s="11"/>
      <c r="R145" s="12">
        <f t="shared" si="44"/>
        <v>0</v>
      </c>
      <c r="S145" s="28">
        <f t="shared" si="45"/>
        <v>0</v>
      </c>
      <c r="T145" s="9"/>
      <c r="U145" s="9"/>
      <c r="V145" s="9"/>
      <c r="W145" s="9"/>
      <c r="X145" s="9"/>
      <c r="Y145" s="10">
        <f t="shared" si="46"/>
        <v>0</v>
      </c>
      <c r="Z145" s="30">
        <f t="shared" si="47"/>
        <v>0</v>
      </c>
      <c r="AA145" s="32">
        <f t="shared" si="48"/>
        <v>0</v>
      </c>
    </row>
    <row r="146" spans="1:27" ht="27.6" x14ac:dyDescent="0.3">
      <c r="A146" s="24" t="s">
        <v>105</v>
      </c>
      <c r="B146" s="24" t="s">
        <v>35</v>
      </c>
      <c r="C146" s="24" t="s">
        <v>37</v>
      </c>
      <c r="D146" s="24" t="s">
        <v>221</v>
      </c>
      <c r="E146" s="23"/>
      <c r="F146" s="20"/>
      <c r="G146" s="21"/>
      <c r="H146" s="23"/>
      <c r="I146" s="23"/>
      <c r="J146" s="23"/>
      <c r="K146" s="3" t="s">
        <v>185</v>
      </c>
      <c r="L146" s="9"/>
      <c r="M146" s="9"/>
      <c r="N146" s="10">
        <f t="shared" si="15"/>
        <v>0</v>
      </c>
      <c r="O146" s="38">
        <f t="shared" si="16"/>
        <v>0</v>
      </c>
      <c r="P146" s="11"/>
      <c r="Q146" s="11"/>
      <c r="R146" s="12">
        <f t="shared" si="17"/>
        <v>0</v>
      </c>
      <c r="S146" s="28">
        <f t="shared" si="18"/>
        <v>0</v>
      </c>
      <c r="T146" s="9"/>
      <c r="U146" s="9"/>
      <c r="V146" s="9"/>
      <c r="W146" s="9"/>
      <c r="X146" s="9"/>
      <c r="Y146" s="10">
        <f t="shared" si="19"/>
        <v>0</v>
      </c>
      <c r="Z146" s="30">
        <f t="shared" si="20"/>
        <v>0</v>
      </c>
      <c r="AA146" s="32">
        <f t="shared" si="14"/>
        <v>0</v>
      </c>
    </row>
    <row r="147" spans="1:27" ht="27.6" hidden="1" x14ac:dyDescent="0.3">
      <c r="A147" s="24" t="s">
        <v>64</v>
      </c>
      <c r="B147" s="24"/>
      <c r="C147" s="24" t="s">
        <v>65</v>
      </c>
      <c r="D147" s="24" t="s">
        <v>221</v>
      </c>
      <c r="E147" s="23"/>
      <c r="F147" s="20"/>
      <c r="G147" s="21"/>
      <c r="H147" s="23"/>
      <c r="I147" s="23"/>
      <c r="J147" s="23"/>
      <c r="K147" s="3" t="s">
        <v>186</v>
      </c>
      <c r="L147" s="9"/>
      <c r="M147" s="9"/>
      <c r="N147" s="10">
        <f t="shared" si="15"/>
        <v>0</v>
      </c>
      <c r="O147" s="38">
        <f t="shared" si="16"/>
        <v>0</v>
      </c>
      <c r="P147" s="11"/>
      <c r="Q147" s="11"/>
      <c r="R147" s="12">
        <f t="shared" si="17"/>
        <v>0</v>
      </c>
      <c r="S147" s="28">
        <f t="shared" si="18"/>
        <v>0</v>
      </c>
      <c r="T147" s="9"/>
      <c r="U147" s="9"/>
      <c r="V147" s="9"/>
      <c r="W147" s="9"/>
      <c r="X147" s="9"/>
      <c r="Y147" s="10">
        <f t="shared" si="19"/>
        <v>0</v>
      </c>
      <c r="Z147" s="30">
        <f t="shared" si="20"/>
        <v>0</v>
      </c>
      <c r="AA147" s="32">
        <f t="shared" ref="AA147:AA193" si="49">+(S147+O147+Z147)/3</f>
        <v>0</v>
      </c>
    </row>
    <row r="148" spans="1:27" ht="27.6" hidden="1" x14ac:dyDescent="0.3">
      <c r="A148" s="24" t="s">
        <v>105</v>
      </c>
      <c r="B148" s="24" t="s">
        <v>35</v>
      </c>
      <c r="C148" s="24" t="s">
        <v>42</v>
      </c>
      <c r="D148" s="24" t="s">
        <v>221</v>
      </c>
      <c r="E148" s="23"/>
      <c r="F148" s="20"/>
      <c r="G148" s="21"/>
      <c r="H148" s="23"/>
      <c r="I148" s="23"/>
      <c r="J148" s="23"/>
      <c r="K148" s="3" t="s">
        <v>187</v>
      </c>
      <c r="L148" s="9"/>
      <c r="M148" s="9"/>
      <c r="N148" s="10">
        <f t="shared" ref="N148:N193" si="50">+L148-M148</f>
        <v>0</v>
      </c>
      <c r="O148" s="38">
        <f t="shared" ref="O148:O193" si="51">IFERROR(IF(7&lt;&gt;0, M148*100/L148, IF(L148=M148, M148*100/L148, 0)), 0)</f>
        <v>0</v>
      </c>
      <c r="P148" s="11"/>
      <c r="Q148" s="11"/>
      <c r="R148" s="12">
        <f t="shared" ref="R148:R193" si="52">+P148-Q148</f>
        <v>0</v>
      </c>
      <c r="S148" s="28">
        <f t="shared" ref="S148:S193" si="53">IFERROR(IF(R148&lt;&gt;0, P148*100/Q148, IF(P148=Q148, P148*100/Q148, 0)), 0)</f>
        <v>0</v>
      </c>
      <c r="T148" s="9"/>
      <c r="U148" s="9"/>
      <c r="V148" s="9"/>
      <c r="W148" s="9"/>
      <c r="X148" s="9"/>
      <c r="Y148" s="10">
        <f t="shared" ref="Y148:Y193" si="54">SUM(T148:X148)</f>
        <v>0</v>
      </c>
      <c r="Z148" s="30">
        <f t="shared" ref="Z148:Z193" si="55">+Y148*100/50</f>
        <v>0</v>
      </c>
      <c r="AA148" s="32">
        <f t="shared" si="49"/>
        <v>0</v>
      </c>
    </row>
    <row r="149" spans="1:27" ht="27.6" hidden="1" x14ac:dyDescent="0.3">
      <c r="A149" s="24" t="s">
        <v>105</v>
      </c>
      <c r="B149" s="24" t="s">
        <v>35</v>
      </c>
      <c r="C149" s="24" t="s">
        <v>44</v>
      </c>
      <c r="D149" s="24" t="s">
        <v>221</v>
      </c>
      <c r="E149" s="23"/>
      <c r="F149" s="20"/>
      <c r="G149" s="21"/>
      <c r="H149" s="23"/>
      <c r="I149" s="23"/>
      <c r="J149" s="23"/>
      <c r="K149" s="3" t="s">
        <v>188</v>
      </c>
      <c r="L149" s="9"/>
      <c r="M149" s="9"/>
      <c r="N149" s="10">
        <f t="shared" si="50"/>
        <v>0</v>
      </c>
      <c r="O149" s="38">
        <f t="shared" si="51"/>
        <v>0</v>
      </c>
      <c r="P149" s="11"/>
      <c r="Q149" s="11"/>
      <c r="R149" s="12">
        <f t="shared" si="52"/>
        <v>0</v>
      </c>
      <c r="S149" s="28">
        <f t="shared" si="53"/>
        <v>0</v>
      </c>
      <c r="T149" s="9"/>
      <c r="U149" s="9"/>
      <c r="V149" s="9"/>
      <c r="W149" s="9"/>
      <c r="X149" s="9"/>
      <c r="Y149" s="10">
        <f t="shared" si="54"/>
        <v>0</v>
      </c>
      <c r="Z149" s="30">
        <f t="shared" si="55"/>
        <v>0</v>
      </c>
      <c r="AA149" s="32">
        <f t="shared" si="49"/>
        <v>0</v>
      </c>
    </row>
    <row r="150" spans="1:27" ht="41.4" x14ac:dyDescent="0.3">
      <c r="A150" s="24" t="s">
        <v>105</v>
      </c>
      <c r="B150" s="24" t="s">
        <v>35</v>
      </c>
      <c r="C150" s="24" t="s">
        <v>37</v>
      </c>
      <c r="D150" s="24" t="s">
        <v>232</v>
      </c>
      <c r="E150" s="23"/>
      <c r="F150" s="20"/>
      <c r="G150" s="21"/>
      <c r="H150" s="23"/>
      <c r="I150" s="23"/>
      <c r="J150" s="23"/>
      <c r="K150" s="3" t="s">
        <v>269</v>
      </c>
      <c r="L150" s="9"/>
      <c r="M150" s="9"/>
      <c r="N150" s="10">
        <f t="shared" si="50"/>
        <v>0</v>
      </c>
      <c r="O150" s="38">
        <f t="shared" si="51"/>
        <v>0</v>
      </c>
      <c r="P150" s="11"/>
      <c r="Q150" s="11"/>
      <c r="R150" s="12">
        <f t="shared" si="52"/>
        <v>0</v>
      </c>
      <c r="S150" s="28">
        <f t="shared" si="53"/>
        <v>0</v>
      </c>
      <c r="T150" s="9"/>
      <c r="U150" s="9"/>
      <c r="V150" s="9"/>
      <c r="W150" s="9"/>
      <c r="X150" s="9"/>
      <c r="Y150" s="10">
        <f t="shared" si="54"/>
        <v>0</v>
      </c>
      <c r="Z150" s="30">
        <f t="shared" si="55"/>
        <v>0</v>
      </c>
      <c r="AA150" s="32">
        <f t="shared" si="49"/>
        <v>0</v>
      </c>
    </row>
    <row r="151" spans="1:27" ht="41.4" hidden="1" x14ac:dyDescent="0.3">
      <c r="A151" s="24" t="s">
        <v>105</v>
      </c>
      <c r="B151" s="24" t="s">
        <v>35</v>
      </c>
      <c r="C151" s="24" t="s">
        <v>42</v>
      </c>
      <c r="D151" s="24" t="s">
        <v>232</v>
      </c>
      <c r="E151" s="23"/>
      <c r="F151" s="20"/>
      <c r="G151" s="21"/>
      <c r="H151" s="23"/>
      <c r="I151" s="23"/>
      <c r="J151" s="23"/>
      <c r="K151" s="3" t="s">
        <v>270</v>
      </c>
      <c r="L151" s="9"/>
      <c r="M151" s="9"/>
      <c r="N151" s="10">
        <f t="shared" si="50"/>
        <v>0</v>
      </c>
      <c r="O151" s="38">
        <f t="shared" si="51"/>
        <v>0</v>
      </c>
      <c r="P151" s="11"/>
      <c r="Q151" s="11"/>
      <c r="R151" s="12">
        <f t="shared" si="52"/>
        <v>0</v>
      </c>
      <c r="S151" s="28">
        <f t="shared" si="53"/>
        <v>0</v>
      </c>
      <c r="T151" s="9"/>
      <c r="U151" s="9"/>
      <c r="V151" s="9"/>
      <c r="W151" s="9"/>
      <c r="X151" s="9"/>
      <c r="Y151" s="10">
        <f t="shared" si="54"/>
        <v>0</v>
      </c>
      <c r="Z151" s="30">
        <f t="shared" si="55"/>
        <v>0</v>
      </c>
      <c r="AA151" s="32">
        <f t="shared" si="49"/>
        <v>0</v>
      </c>
    </row>
    <row r="152" spans="1:27" ht="41.4" hidden="1" x14ac:dyDescent="0.3">
      <c r="A152" s="24" t="s">
        <v>105</v>
      </c>
      <c r="B152" s="24" t="s">
        <v>35</v>
      </c>
      <c r="C152" s="24" t="s">
        <v>44</v>
      </c>
      <c r="D152" s="24" t="s">
        <v>232</v>
      </c>
      <c r="E152" s="23"/>
      <c r="F152" s="20"/>
      <c r="G152" s="21"/>
      <c r="H152" s="23"/>
      <c r="I152" s="23"/>
      <c r="J152" s="23"/>
      <c r="K152" s="3" t="s">
        <v>271</v>
      </c>
      <c r="L152" s="9"/>
      <c r="M152" s="9"/>
      <c r="N152" s="10">
        <f t="shared" si="50"/>
        <v>0</v>
      </c>
      <c r="O152" s="38">
        <f t="shared" si="51"/>
        <v>0</v>
      </c>
      <c r="P152" s="11"/>
      <c r="Q152" s="11"/>
      <c r="R152" s="12">
        <f t="shared" si="52"/>
        <v>0</v>
      </c>
      <c r="S152" s="28">
        <f t="shared" si="53"/>
        <v>0</v>
      </c>
      <c r="T152" s="9"/>
      <c r="U152" s="9"/>
      <c r="V152" s="9"/>
      <c r="W152" s="9"/>
      <c r="X152" s="9"/>
      <c r="Y152" s="10">
        <f t="shared" si="54"/>
        <v>0</v>
      </c>
      <c r="Z152" s="30">
        <f t="shared" si="55"/>
        <v>0</v>
      </c>
      <c r="AA152" s="32">
        <f t="shared" si="49"/>
        <v>0</v>
      </c>
    </row>
    <row r="153" spans="1:27" ht="27.6" hidden="1" x14ac:dyDescent="0.3">
      <c r="A153" s="24" t="s">
        <v>105</v>
      </c>
      <c r="B153" s="24"/>
      <c r="C153" s="24" t="s">
        <v>106</v>
      </c>
      <c r="D153" s="24" t="s">
        <v>227</v>
      </c>
      <c r="E153" s="23"/>
      <c r="F153" s="20"/>
      <c r="G153" s="21"/>
      <c r="H153" s="23"/>
      <c r="I153" s="23"/>
      <c r="J153" s="23"/>
      <c r="K153" s="3" t="s">
        <v>192</v>
      </c>
      <c r="L153" s="9"/>
      <c r="M153" s="9"/>
      <c r="N153" s="10">
        <f t="shared" si="50"/>
        <v>0</v>
      </c>
      <c r="O153" s="38">
        <f t="shared" si="51"/>
        <v>0</v>
      </c>
      <c r="P153" s="11"/>
      <c r="Q153" s="11"/>
      <c r="R153" s="12">
        <f t="shared" si="52"/>
        <v>0</v>
      </c>
      <c r="S153" s="28">
        <f t="shared" si="53"/>
        <v>0</v>
      </c>
      <c r="T153" s="9"/>
      <c r="U153" s="9"/>
      <c r="V153" s="9"/>
      <c r="W153" s="9"/>
      <c r="X153" s="9"/>
      <c r="Y153" s="10">
        <f t="shared" si="54"/>
        <v>0</v>
      </c>
      <c r="Z153" s="30">
        <f t="shared" si="55"/>
        <v>0</v>
      </c>
      <c r="AA153" s="32">
        <f t="shared" si="49"/>
        <v>0</v>
      </c>
    </row>
    <row r="154" spans="1:27" ht="27.6" hidden="1" x14ac:dyDescent="0.3">
      <c r="A154" s="24" t="s">
        <v>105</v>
      </c>
      <c r="B154" s="24"/>
      <c r="C154" s="24" t="s">
        <v>95</v>
      </c>
      <c r="D154" s="24" t="s">
        <v>221</v>
      </c>
      <c r="E154" s="23"/>
      <c r="F154" s="20"/>
      <c r="G154" s="21"/>
      <c r="H154" s="23"/>
      <c r="I154" s="23"/>
      <c r="J154" s="23"/>
      <c r="K154" s="3" t="s">
        <v>193</v>
      </c>
      <c r="L154" s="9"/>
      <c r="M154" s="9"/>
      <c r="N154" s="10">
        <f t="shared" si="50"/>
        <v>0</v>
      </c>
      <c r="O154" s="38">
        <f t="shared" si="51"/>
        <v>0</v>
      </c>
      <c r="P154" s="11"/>
      <c r="Q154" s="11"/>
      <c r="R154" s="12">
        <f t="shared" si="52"/>
        <v>0</v>
      </c>
      <c r="S154" s="28">
        <f t="shared" si="53"/>
        <v>0</v>
      </c>
      <c r="T154" s="9"/>
      <c r="U154" s="9"/>
      <c r="V154" s="9"/>
      <c r="W154" s="9"/>
      <c r="X154" s="9"/>
      <c r="Y154" s="10">
        <f t="shared" si="54"/>
        <v>0</v>
      </c>
      <c r="Z154" s="30">
        <f t="shared" si="55"/>
        <v>0</v>
      </c>
      <c r="AA154" s="32">
        <f t="shared" si="49"/>
        <v>0</v>
      </c>
    </row>
    <row r="155" spans="1:27" ht="41.4" hidden="1" x14ac:dyDescent="0.3">
      <c r="A155" s="24" t="s">
        <v>182</v>
      </c>
      <c r="B155" s="24"/>
      <c r="C155" s="24" t="s">
        <v>183</v>
      </c>
      <c r="D155" s="24" t="s">
        <v>227</v>
      </c>
      <c r="E155" s="23"/>
      <c r="F155" s="20"/>
      <c r="G155" s="21"/>
      <c r="H155" s="23"/>
      <c r="I155" s="23"/>
      <c r="J155" s="23"/>
      <c r="K155" s="3" t="s">
        <v>194</v>
      </c>
      <c r="L155" s="9"/>
      <c r="M155" s="9"/>
      <c r="N155" s="10">
        <f t="shared" si="50"/>
        <v>0</v>
      </c>
      <c r="O155" s="38">
        <f t="shared" si="51"/>
        <v>0</v>
      </c>
      <c r="P155" s="11"/>
      <c r="Q155" s="11"/>
      <c r="R155" s="12">
        <f t="shared" si="52"/>
        <v>0</v>
      </c>
      <c r="S155" s="28">
        <f t="shared" si="53"/>
        <v>0</v>
      </c>
      <c r="T155" s="9"/>
      <c r="U155" s="9"/>
      <c r="V155" s="9"/>
      <c r="W155" s="9"/>
      <c r="X155" s="9"/>
      <c r="Y155" s="10">
        <f t="shared" si="54"/>
        <v>0</v>
      </c>
      <c r="Z155" s="30">
        <f t="shared" si="55"/>
        <v>0</v>
      </c>
      <c r="AA155" s="32">
        <f t="shared" si="49"/>
        <v>0</v>
      </c>
    </row>
    <row r="156" spans="1:27" ht="27.6" hidden="1" x14ac:dyDescent="0.3">
      <c r="A156" s="24" t="s">
        <v>182</v>
      </c>
      <c r="B156" s="24"/>
      <c r="C156" s="24" t="s">
        <v>95</v>
      </c>
      <c r="D156" s="24" t="s">
        <v>227</v>
      </c>
      <c r="E156" s="23"/>
      <c r="F156" s="20"/>
      <c r="G156" s="21"/>
      <c r="H156" s="23"/>
      <c r="I156" s="23"/>
      <c r="J156" s="23"/>
      <c r="K156" s="3" t="s">
        <v>196</v>
      </c>
      <c r="L156" s="9"/>
      <c r="M156" s="9"/>
      <c r="N156" s="10">
        <f t="shared" si="50"/>
        <v>0</v>
      </c>
      <c r="O156" s="38">
        <f t="shared" si="51"/>
        <v>0</v>
      </c>
      <c r="P156" s="11"/>
      <c r="Q156" s="11"/>
      <c r="R156" s="12">
        <f t="shared" si="52"/>
        <v>0</v>
      </c>
      <c r="S156" s="28">
        <f t="shared" si="53"/>
        <v>0</v>
      </c>
      <c r="T156" s="9"/>
      <c r="U156" s="9"/>
      <c r="V156" s="9"/>
      <c r="W156" s="9"/>
      <c r="X156" s="9"/>
      <c r="Y156" s="10">
        <f t="shared" si="54"/>
        <v>0</v>
      </c>
      <c r="Z156" s="30">
        <f t="shared" si="55"/>
        <v>0</v>
      </c>
      <c r="AA156" s="32">
        <f t="shared" si="49"/>
        <v>0</v>
      </c>
    </row>
    <row r="157" spans="1:27" ht="41.4" hidden="1" x14ac:dyDescent="0.3">
      <c r="A157" s="24" t="s">
        <v>182</v>
      </c>
      <c r="B157" s="24"/>
      <c r="C157" s="24" t="s">
        <v>183</v>
      </c>
      <c r="D157" s="24" t="s">
        <v>227</v>
      </c>
      <c r="E157" s="23"/>
      <c r="F157" s="20"/>
      <c r="G157" s="21"/>
      <c r="H157" s="23"/>
      <c r="I157" s="23"/>
      <c r="J157" s="23"/>
      <c r="K157" s="3" t="s">
        <v>197</v>
      </c>
      <c r="L157" s="9"/>
      <c r="M157" s="9"/>
      <c r="N157" s="10">
        <f t="shared" si="50"/>
        <v>0</v>
      </c>
      <c r="O157" s="38">
        <f t="shared" si="51"/>
        <v>0</v>
      </c>
      <c r="P157" s="11"/>
      <c r="Q157" s="11"/>
      <c r="R157" s="12">
        <f t="shared" si="52"/>
        <v>0</v>
      </c>
      <c r="S157" s="28">
        <f t="shared" si="53"/>
        <v>0</v>
      </c>
      <c r="T157" s="9"/>
      <c r="U157" s="9"/>
      <c r="V157" s="9"/>
      <c r="W157" s="9"/>
      <c r="X157" s="9"/>
      <c r="Y157" s="10">
        <f t="shared" si="54"/>
        <v>0</v>
      </c>
      <c r="Z157" s="30">
        <f t="shared" si="55"/>
        <v>0</v>
      </c>
      <c r="AA157" s="32">
        <f t="shared" si="49"/>
        <v>0</v>
      </c>
    </row>
    <row r="158" spans="1:27" ht="41.4" hidden="1" x14ac:dyDescent="0.3">
      <c r="A158" s="24" t="s">
        <v>182</v>
      </c>
      <c r="B158" s="24"/>
      <c r="C158" s="24" t="s">
        <v>101</v>
      </c>
      <c r="D158" s="24" t="s">
        <v>227</v>
      </c>
      <c r="E158" s="23"/>
      <c r="F158" s="20"/>
      <c r="G158" s="21"/>
      <c r="H158" s="23"/>
      <c r="I158" s="23"/>
      <c r="J158" s="23"/>
      <c r="K158" s="3" t="s">
        <v>197</v>
      </c>
      <c r="L158" s="9"/>
      <c r="M158" s="9"/>
      <c r="N158" s="10">
        <f t="shared" ref="N158" si="56">+L158-M158</f>
        <v>0</v>
      </c>
      <c r="O158" s="38">
        <f t="shared" ref="O158" si="57">IFERROR(IF(7&lt;&gt;0, M158*100/L158, IF(L158=M158, M158*100/L158, 0)), 0)</f>
        <v>0</v>
      </c>
      <c r="P158" s="11"/>
      <c r="Q158" s="11"/>
      <c r="R158" s="12">
        <f t="shared" ref="R158" si="58">+P158-Q158</f>
        <v>0</v>
      </c>
      <c r="S158" s="28">
        <f t="shared" ref="S158" si="59">IFERROR(IF(R158&lt;&gt;0, P158*100/Q158, IF(P158=Q158, P158*100/Q158, 0)), 0)</f>
        <v>0</v>
      </c>
      <c r="T158" s="9"/>
      <c r="U158" s="9"/>
      <c r="V158" s="9"/>
      <c r="W158" s="9"/>
      <c r="X158" s="9"/>
      <c r="Y158" s="10">
        <f t="shared" ref="Y158" si="60">SUM(T158:X158)</f>
        <v>0</v>
      </c>
      <c r="Z158" s="30">
        <f t="shared" ref="Z158" si="61">+Y158*100/50</f>
        <v>0</v>
      </c>
      <c r="AA158" s="32">
        <f t="shared" ref="AA158" si="62">+(S158+O158+Z158)/3</f>
        <v>0</v>
      </c>
    </row>
    <row r="159" spans="1:27" ht="41.4" x14ac:dyDescent="0.3">
      <c r="A159" s="24" t="s">
        <v>35</v>
      </c>
      <c r="B159" s="24"/>
      <c r="C159" s="24" t="s">
        <v>37</v>
      </c>
      <c r="D159" s="24" t="s">
        <v>221</v>
      </c>
      <c r="E159" s="23"/>
      <c r="F159" s="20"/>
      <c r="G159" s="21"/>
      <c r="H159" s="23"/>
      <c r="I159" s="23"/>
      <c r="J159" s="23"/>
      <c r="K159" s="3" t="s">
        <v>198</v>
      </c>
      <c r="L159" s="9"/>
      <c r="M159" s="9"/>
      <c r="N159" s="10">
        <f t="shared" si="50"/>
        <v>0</v>
      </c>
      <c r="O159" s="38">
        <f t="shared" si="51"/>
        <v>0</v>
      </c>
      <c r="P159" s="11"/>
      <c r="Q159" s="11"/>
      <c r="R159" s="12">
        <f t="shared" si="52"/>
        <v>0</v>
      </c>
      <c r="S159" s="28">
        <f t="shared" si="53"/>
        <v>0</v>
      </c>
      <c r="T159" s="9"/>
      <c r="U159" s="9"/>
      <c r="V159" s="9"/>
      <c r="W159" s="9"/>
      <c r="X159" s="9"/>
      <c r="Y159" s="10">
        <f t="shared" si="54"/>
        <v>0</v>
      </c>
      <c r="Z159" s="30">
        <f t="shared" si="55"/>
        <v>0</v>
      </c>
      <c r="AA159" s="32">
        <f t="shared" si="49"/>
        <v>0</v>
      </c>
    </row>
    <row r="160" spans="1:27" ht="41.4" hidden="1" x14ac:dyDescent="0.3">
      <c r="A160" s="24" t="s">
        <v>35</v>
      </c>
      <c r="B160" s="24"/>
      <c r="C160" s="24" t="s">
        <v>42</v>
      </c>
      <c r="D160" s="24" t="s">
        <v>221</v>
      </c>
      <c r="E160" s="23"/>
      <c r="F160" s="20"/>
      <c r="G160" s="21"/>
      <c r="H160" s="23"/>
      <c r="I160" s="23"/>
      <c r="J160" s="23"/>
      <c r="K160" s="3" t="s">
        <v>199</v>
      </c>
      <c r="L160" s="9"/>
      <c r="M160" s="9"/>
      <c r="N160" s="10">
        <f t="shared" si="50"/>
        <v>0</v>
      </c>
      <c r="O160" s="38">
        <f t="shared" si="51"/>
        <v>0</v>
      </c>
      <c r="P160" s="11"/>
      <c r="Q160" s="11"/>
      <c r="R160" s="12">
        <f t="shared" si="52"/>
        <v>0</v>
      </c>
      <c r="S160" s="28">
        <f t="shared" si="53"/>
        <v>0</v>
      </c>
      <c r="T160" s="9"/>
      <c r="U160" s="9"/>
      <c r="V160" s="9"/>
      <c r="W160" s="9"/>
      <c r="X160" s="9"/>
      <c r="Y160" s="10">
        <f t="shared" si="54"/>
        <v>0</v>
      </c>
      <c r="Z160" s="30">
        <f t="shared" si="55"/>
        <v>0</v>
      </c>
      <c r="AA160" s="32">
        <f t="shared" si="49"/>
        <v>0</v>
      </c>
    </row>
    <row r="161" spans="1:27" ht="41.4" hidden="1" x14ac:dyDescent="0.3">
      <c r="A161" s="24" t="s">
        <v>35</v>
      </c>
      <c r="B161" s="24"/>
      <c r="C161" s="24" t="s">
        <v>44</v>
      </c>
      <c r="D161" s="24" t="s">
        <v>221</v>
      </c>
      <c r="E161" s="23"/>
      <c r="F161" s="20"/>
      <c r="G161" s="21"/>
      <c r="H161" s="23"/>
      <c r="I161" s="23"/>
      <c r="J161" s="23"/>
      <c r="K161" s="3" t="s">
        <v>200</v>
      </c>
      <c r="L161" s="9"/>
      <c r="M161" s="9"/>
      <c r="N161" s="10">
        <f t="shared" si="50"/>
        <v>0</v>
      </c>
      <c r="O161" s="38">
        <f t="shared" si="51"/>
        <v>0</v>
      </c>
      <c r="P161" s="11"/>
      <c r="Q161" s="11"/>
      <c r="R161" s="12">
        <f t="shared" si="52"/>
        <v>0</v>
      </c>
      <c r="S161" s="28">
        <f t="shared" si="53"/>
        <v>0</v>
      </c>
      <c r="T161" s="9"/>
      <c r="U161" s="9"/>
      <c r="V161" s="9"/>
      <c r="W161" s="9"/>
      <c r="X161" s="9"/>
      <c r="Y161" s="10">
        <f t="shared" si="54"/>
        <v>0</v>
      </c>
      <c r="Z161" s="30">
        <f t="shared" si="55"/>
        <v>0</v>
      </c>
      <c r="AA161" s="32">
        <f t="shared" si="49"/>
        <v>0</v>
      </c>
    </row>
    <row r="162" spans="1:27" ht="41.4" hidden="1" x14ac:dyDescent="0.3">
      <c r="A162" s="24" t="s">
        <v>35</v>
      </c>
      <c r="B162" s="24"/>
      <c r="C162" s="24" t="s">
        <v>65</v>
      </c>
      <c r="D162" s="24" t="s">
        <v>221</v>
      </c>
      <c r="E162" s="23"/>
      <c r="F162" s="20"/>
      <c r="G162" s="21"/>
      <c r="H162" s="23"/>
      <c r="I162" s="23"/>
      <c r="J162" s="23"/>
      <c r="K162" s="3" t="s">
        <v>201</v>
      </c>
      <c r="L162" s="9"/>
      <c r="M162" s="9"/>
      <c r="N162" s="10">
        <f t="shared" si="50"/>
        <v>0</v>
      </c>
      <c r="O162" s="38">
        <f t="shared" si="51"/>
        <v>0</v>
      </c>
      <c r="P162" s="11"/>
      <c r="Q162" s="11"/>
      <c r="R162" s="12">
        <f t="shared" si="52"/>
        <v>0</v>
      </c>
      <c r="S162" s="28">
        <f t="shared" si="53"/>
        <v>0</v>
      </c>
      <c r="T162" s="9"/>
      <c r="U162" s="9"/>
      <c r="V162" s="9"/>
      <c r="W162" s="9"/>
      <c r="X162" s="9"/>
      <c r="Y162" s="10">
        <f t="shared" si="54"/>
        <v>0</v>
      </c>
      <c r="Z162" s="30">
        <f t="shared" si="55"/>
        <v>0</v>
      </c>
      <c r="AA162" s="32">
        <f t="shared" si="49"/>
        <v>0</v>
      </c>
    </row>
    <row r="163" spans="1:27" ht="41.4" hidden="1" x14ac:dyDescent="0.3">
      <c r="A163" s="24" t="s">
        <v>35</v>
      </c>
      <c r="B163" s="24"/>
      <c r="C163" s="24" t="s">
        <v>104</v>
      </c>
      <c r="D163" s="24" t="s">
        <v>221</v>
      </c>
      <c r="E163" s="23"/>
      <c r="F163" s="20"/>
      <c r="G163" s="21"/>
      <c r="H163" s="23"/>
      <c r="I163" s="23"/>
      <c r="J163" s="23"/>
      <c r="K163" s="3" t="s">
        <v>272</v>
      </c>
      <c r="L163" s="9"/>
      <c r="M163" s="9"/>
      <c r="N163" s="10">
        <f t="shared" ref="N163" si="63">+L163-M163</f>
        <v>0</v>
      </c>
      <c r="O163" s="38">
        <f t="shared" ref="O163" si="64">IFERROR(IF(7&lt;&gt;0, M163*100/L163, IF(L163=M163, M163*100/L163, 0)), 0)</f>
        <v>0</v>
      </c>
      <c r="P163" s="11"/>
      <c r="Q163" s="11"/>
      <c r="R163" s="12">
        <f t="shared" ref="R163" si="65">+P163-Q163</f>
        <v>0</v>
      </c>
      <c r="S163" s="28">
        <f t="shared" ref="S163" si="66">IFERROR(IF(R163&lt;&gt;0, P163*100/Q163, IF(P163=Q163, P163*100/Q163, 0)), 0)</f>
        <v>0</v>
      </c>
      <c r="T163" s="9"/>
      <c r="U163" s="9"/>
      <c r="V163" s="9"/>
      <c r="W163" s="9"/>
      <c r="X163" s="9"/>
      <c r="Y163" s="10">
        <f t="shared" ref="Y163" si="67">SUM(T163:X163)</f>
        <v>0</v>
      </c>
      <c r="Z163" s="30">
        <f t="shared" ref="Z163" si="68">+Y163*100/50</f>
        <v>0</v>
      </c>
      <c r="AA163" s="32">
        <f t="shared" ref="AA163" si="69">+(S163+O163+Z163)/3</f>
        <v>0</v>
      </c>
    </row>
    <row r="164" spans="1:27" ht="27.6" hidden="1" x14ac:dyDescent="0.3">
      <c r="A164" s="24" t="s">
        <v>182</v>
      </c>
      <c r="B164" s="24"/>
      <c r="C164" s="24" t="s">
        <v>183</v>
      </c>
      <c r="D164" s="24" t="s">
        <v>221</v>
      </c>
      <c r="E164" s="23"/>
      <c r="F164" s="20"/>
      <c r="G164" s="21"/>
      <c r="H164" s="23"/>
      <c r="I164" s="23"/>
      <c r="J164" s="23"/>
      <c r="K164" s="3" t="s">
        <v>202</v>
      </c>
      <c r="L164" s="9"/>
      <c r="M164" s="9"/>
      <c r="N164" s="10">
        <f t="shared" si="50"/>
        <v>0</v>
      </c>
      <c r="O164" s="38">
        <f t="shared" si="51"/>
        <v>0</v>
      </c>
      <c r="P164" s="11"/>
      <c r="Q164" s="11"/>
      <c r="R164" s="12">
        <f t="shared" si="52"/>
        <v>0</v>
      </c>
      <c r="S164" s="28">
        <f t="shared" si="53"/>
        <v>0</v>
      </c>
      <c r="T164" s="9"/>
      <c r="U164" s="9"/>
      <c r="V164" s="9"/>
      <c r="W164" s="9"/>
      <c r="X164" s="9"/>
      <c r="Y164" s="10">
        <f t="shared" si="54"/>
        <v>0</v>
      </c>
      <c r="Z164" s="30">
        <f t="shared" si="55"/>
        <v>0</v>
      </c>
      <c r="AA164" s="32">
        <f t="shared" si="49"/>
        <v>0</v>
      </c>
    </row>
    <row r="165" spans="1:27" ht="27.6" hidden="1" x14ac:dyDescent="0.3">
      <c r="A165" s="24" t="s">
        <v>182</v>
      </c>
      <c r="B165" s="24"/>
      <c r="C165" s="24" t="s">
        <v>95</v>
      </c>
      <c r="D165" s="24" t="s">
        <v>221</v>
      </c>
      <c r="E165" s="23"/>
      <c r="F165" s="20"/>
      <c r="G165" s="21"/>
      <c r="H165" s="23"/>
      <c r="I165" s="23"/>
      <c r="J165" s="23"/>
      <c r="K165" s="3" t="s">
        <v>203</v>
      </c>
      <c r="L165" s="9"/>
      <c r="M165" s="9"/>
      <c r="N165" s="10">
        <f t="shared" si="50"/>
        <v>0</v>
      </c>
      <c r="O165" s="38">
        <f t="shared" si="51"/>
        <v>0</v>
      </c>
      <c r="P165" s="11"/>
      <c r="Q165" s="11"/>
      <c r="R165" s="12">
        <f t="shared" si="52"/>
        <v>0</v>
      </c>
      <c r="S165" s="28">
        <f t="shared" si="53"/>
        <v>0</v>
      </c>
      <c r="T165" s="9"/>
      <c r="U165" s="9"/>
      <c r="V165" s="9"/>
      <c r="W165" s="9"/>
      <c r="X165" s="9"/>
      <c r="Y165" s="10">
        <f t="shared" si="54"/>
        <v>0</v>
      </c>
      <c r="Z165" s="30">
        <f t="shared" si="55"/>
        <v>0</v>
      </c>
      <c r="AA165" s="32">
        <f t="shared" si="49"/>
        <v>0</v>
      </c>
    </row>
    <row r="166" spans="1:27" ht="27.6" hidden="1" x14ac:dyDescent="0.3">
      <c r="A166" s="24" t="s">
        <v>204</v>
      </c>
      <c r="B166" s="24"/>
      <c r="C166" s="24" t="s">
        <v>183</v>
      </c>
      <c r="D166" s="24" t="s">
        <v>221</v>
      </c>
      <c r="E166" s="23"/>
      <c r="F166" s="20"/>
      <c r="G166" s="21"/>
      <c r="H166" s="23"/>
      <c r="I166" s="23"/>
      <c r="J166" s="23"/>
      <c r="K166" s="3" t="s">
        <v>205</v>
      </c>
      <c r="L166" s="9"/>
      <c r="M166" s="9"/>
      <c r="N166" s="10">
        <f t="shared" si="50"/>
        <v>0</v>
      </c>
      <c r="O166" s="38">
        <f t="shared" si="51"/>
        <v>0</v>
      </c>
      <c r="P166" s="11"/>
      <c r="Q166" s="11"/>
      <c r="R166" s="12">
        <f t="shared" si="52"/>
        <v>0</v>
      </c>
      <c r="S166" s="28">
        <f t="shared" si="53"/>
        <v>0</v>
      </c>
      <c r="T166" s="9"/>
      <c r="U166" s="9"/>
      <c r="V166" s="9"/>
      <c r="W166" s="9"/>
      <c r="X166" s="9"/>
      <c r="Y166" s="10">
        <f t="shared" si="54"/>
        <v>0</v>
      </c>
      <c r="Z166" s="30">
        <f t="shared" si="55"/>
        <v>0</v>
      </c>
      <c r="AA166" s="32">
        <f t="shared" si="49"/>
        <v>0</v>
      </c>
    </row>
    <row r="167" spans="1:27" ht="41.4" x14ac:dyDescent="0.3">
      <c r="A167" s="24" t="s">
        <v>204</v>
      </c>
      <c r="B167" s="24" t="s">
        <v>35</v>
      </c>
      <c r="C167" s="24" t="s">
        <v>37</v>
      </c>
      <c r="D167" s="24" t="s">
        <v>221</v>
      </c>
      <c r="E167" s="23"/>
      <c r="F167" s="20"/>
      <c r="G167" s="21"/>
      <c r="H167" s="23"/>
      <c r="I167" s="23"/>
      <c r="J167" s="23"/>
      <c r="K167" s="3" t="s">
        <v>206</v>
      </c>
      <c r="L167" s="9"/>
      <c r="M167" s="9"/>
      <c r="N167" s="10">
        <f t="shared" si="50"/>
        <v>0</v>
      </c>
      <c r="O167" s="38">
        <f t="shared" si="51"/>
        <v>0</v>
      </c>
      <c r="P167" s="11"/>
      <c r="Q167" s="11"/>
      <c r="R167" s="12">
        <f t="shared" si="52"/>
        <v>0</v>
      </c>
      <c r="S167" s="28">
        <f t="shared" si="53"/>
        <v>0</v>
      </c>
      <c r="T167" s="9"/>
      <c r="U167" s="9"/>
      <c r="V167" s="9"/>
      <c r="W167" s="9"/>
      <c r="X167" s="9"/>
      <c r="Y167" s="10">
        <f t="shared" si="54"/>
        <v>0</v>
      </c>
      <c r="Z167" s="30">
        <f t="shared" si="55"/>
        <v>0</v>
      </c>
      <c r="AA167" s="32">
        <f t="shared" si="49"/>
        <v>0</v>
      </c>
    </row>
    <row r="168" spans="1:27" ht="41.4" hidden="1" x14ac:dyDescent="0.3">
      <c r="A168" s="24" t="s">
        <v>204</v>
      </c>
      <c r="B168" s="24" t="s">
        <v>35</v>
      </c>
      <c r="C168" s="24" t="s">
        <v>42</v>
      </c>
      <c r="D168" s="24" t="s">
        <v>221</v>
      </c>
      <c r="E168" s="23"/>
      <c r="F168" s="20"/>
      <c r="G168" s="21"/>
      <c r="H168" s="23"/>
      <c r="I168" s="23"/>
      <c r="J168" s="23"/>
      <c r="K168" s="3" t="s">
        <v>206</v>
      </c>
      <c r="L168" s="9"/>
      <c r="M168" s="9"/>
      <c r="N168" s="10">
        <f t="shared" si="50"/>
        <v>0</v>
      </c>
      <c r="O168" s="38">
        <f t="shared" si="51"/>
        <v>0</v>
      </c>
      <c r="P168" s="11"/>
      <c r="Q168" s="11"/>
      <c r="R168" s="12">
        <f t="shared" si="52"/>
        <v>0</v>
      </c>
      <c r="S168" s="28">
        <f t="shared" si="53"/>
        <v>0</v>
      </c>
      <c r="T168" s="9"/>
      <c r="U168" s="9"/>
      <c r="V168" s="9"/>
      <c r="W168" s="9"/>
      <c r="X168" s="9"/>
      <c r="Y168" s="10">
        <f t="shared" si="54"/>
        <v>0</v>
      </c>
      <c r="Z168" s="30">
        <f t="shared" si="55"/>
        <v>0</v>
      </c>
      <c r="AA168" s="32">
        <f t="shared" si="49"/>
        <v>0</v>
      </c>
    </row>
    <row r="169" spans="1:27" ht="41.4" hidden="1" x14ac:dyDescent="0.3">
      <c r="A169" s="24" t="s">
        <v>204</v>
      </c>
      <c r="B169" s="24" t="s">
        <v>35</v>
      </c>
      <c r="C169" s="24" t="s">
        <v>44</v>
      </c>
      <c r="D169" s="24" t="s">
        <v>221</v>
      </c>
      <c r="E169" s="23"/>
      <c r="F169" s="20"/>
      <c r="G169" s="21"/>
      <c r="H169" s="23"/>
      <c r="I169" s="23"/>
      <c r="J169" s="23"/>
      <c r="K169" s="3" t="s">
        <v>206</v>
      </c>
      <c r="L169" s="9"/>
      <c r="M169" s="9"/>
      <c r="N169" s="10">
        <f t="shared" si="50"/>
        <v>0</v>
      </c>
      <c r="O169" s="38">
        <f t="shared" si="51"/>
        <v>0</v>
      </c>
      <c r="P169" s="11"/>
      <c r="Q169" s="11"/>
      <c r="R169" s="12">
        <f t="shared" si="52"/>
        <v>0</v>
      </c>
      <c r="S169" s="28">
        <f t="shared" si="53"/>
        <v>0</v>
      </c>
      <c r="T169" s="9"/>
      <c r="U169" s="9"/>
      <c r="V169" s="9"/>
      <c r="W169" s="9"/>
      <c r="X169" s="9"/>
      <c r="Y169" s="10">
        <f t="shared" si="54"/>
        <v>0</v>
      </c>
      <c r="Z169" s="30">
        <f t="shared" si="55"/>
        <v>0</v>
      </c>
      <c r="AA169" s="32">
        <f t="shared" si="49"/>
        <v>0</v>
      </c>
    </row>
    <row r="170" spans="1:27" ht="41.4" hidden="1" x14ac:dyDescent="0.3">
      <c r="A170" s="24" t="s">
        <v>204</v>
      </c>
      <c r="B170" s="24" t="s">
        <v>64</v>
      </c>
      <c r="C170" s="24" t="s">
        <v>65</v>
      </c>
      <c r="D170" s="24" t="s">
        <v>221</v>
      </c>
      <c r="E170" s="23"/>
      <c r="F170" s="20"/>
      <c r="G170" s="21"/>
      <c r="H170" s="23"/>
      <c r="I170" s="23"/>
      <c r="J170" s="23"/>
      <c r="K170" s="3" t="s">
        <v>206</v>
      </c>
      <c r="L170" s="9"/>
      <c r="M170" s="9"/>
      <c r="N170" s="10">
        <f t="shared" si="50"/>
        <v>0</v>
      </c>
      <c r="O170" s="38">
        <f t="shared" si="51"/>
        <v>0</v>
      </c>
      <c r="P170" s="11"/>
      <c r="Q170" s="11"/>
      <c r="R170" s="12">
        <f t="shared" si="52"/>
        <v>0</v>
      </c>
      <c r="S170" s="28">
        <f t="shared" si="53"/>
        <v>0</v>
      </c>
      <c r="T170" s="9"/>
      <c r="U170" s="9"/>
      <c r="V170" s="9"/>
      <c r="W170" s="9"/>
      <c r="X170" s="9"/>
      <c r="Y170" s="10">
        <f t="shared" si="54"/>
        <v>0</v>
      </c>
      <c r="Z170" s="30">
        <f t="shared" si="55"/>
        <v>0</v>
      </c>
      <c r="AA170" s="32">
        <f t="shared" si="49"/>
        <v>0</v>
      </c>
    </row>
    <row r="171" spans="1:27" ht="41.4" hidden="1" x14ac:dyDescent="0.3">
      <c r="A171" s="24" t="s">
        <v>204</v>
      </c>
      <c r="B171" s="24" t="s">
        <v>105</v>
      </c>
      <c r="C171" s="24" t="s">
        <v>106</v>
      </c>
      <c r="D171" s="24" t="s">
        <v>221</v>
      </c>
      <c r="E171" s="23"/>
      <c r="F171" s="20"/>
      <c r="G171" s="21"/>
      <c r="H171" s="23"/>
      <c r="I171" s="23"/>
      <c r="J171" s="23"/>
      <c r="K171" s="3" t="s">
        <v>206</v>
      </c>
      <c r="L171" s="9"/>
      <c r="M171" s="9"/>
      <c r="N171" s="10">
        <f t="shared" si="50"/>
        <v>0</v>
      </c>
      <c r="O171" s="38">
        <f t="shared" si="51"/>
        <v>0</v>
      </c>
      <c r="P171" s="11"/>
      <c r="Q171" s="11"/>
      <c r="R171" s="12">
        <f t="shared" si="52"/>
        <v>0</v>
      </c>
      <c r="S171" s="28">
        <f t="shared" si="53"/>
        <v>0</v>
      </c>
      <c r="T171" s="9"/>
      <c r="U171" s="9"/>
      <c r="V171" s="9"/>
      <c r="W171" s="9"/>
      <c r="X171" s="9"/>
      <c r="Y171" s="10">
        <f t="shared" si="54"/>
        <v>0</v>
      </c>
      <c r="Z171" s="30">
        <f t="shared" si="55"/>
        <v>0</v>
      </c>
      <c r="AA171" s="32">
        <f t="shared" si="49"/>
        <v>0</v>
      </c>
    </row>
    <row r="172" spans="1:27" ht="41.4" hidden="1" x14ac:dyDescent="0.3">
      <c r="A172" s="24" t="s">
        <v>204</v>
      </c>
      <c r="B172" s="24" t="s">
        <v>36</v>
      </c>
      <c r="C172" s="24" t="s">
        <v>101</v>
      </c>
      <c r="D172" s="24" t="s">
        <v>221</v>
      </c>
      <c r="E172" s="23"/>
      <c r="F172" s="20"/>
      <c r="G172" s="21"/>
      <c r="H172" s="23"/>
      <c r="I172" s="23"/>
      <c r="J172" s="23"/>
      <c r="K172" s="3" t="s">
        <v>206</v>
      </c>
      <c r="L172" s="9"/>
      <c r="M172" s="9"/>
      <c r="N172" s="10">
        <f t="shared" si="50"/>
        <v>0</v>
      </c>
      <c r="O172" s="38">
        <f t="shared" si="51"/>
        <v>0</v>
      </c>
      <c r="P172" s="11"/>
      <c r="Q172" s="11"/>
      <c r="R172" s="12">
        <f t="shared" si="52"/>
        <v>0</v>
      </c>
      <c r="S172" s="28">
        <f t="shared" si="53"/>
        <v>0</v>
      </c>
      <c r="T172" s="9"/>
      <c r="U172" s="9"/>
      <c r="V172" s="9"/>
      <c r="W172" s="9"/>
      <c r="X172" s="9"/>
      <c r="Y172" s="10">
        <f t="shared" si="54"/>
        <v>0</v>
      </c>
      <c r="Z172" s="30">
        <f t="shared" si="55"/>
        <v>0</v>
      </c>
      <c r="AA172" s="32">
        <f t="shared" si="49"/>
        <v>0</v>
      </c>
    </row>
    <row r="173" spans="1:27" ht="41.4" hidden="1" x14ac:dyDescent="0.3">
      <c r="A173" s="24" t="s">
        <v>204</v>
      </c>
      <c r="B173" s="24" t="s">
        <v>182</v>
      </c>
      <c r="C173" s="24" t="s">
        <v>183</v>
      </c>
      <c r="D173" s="24" t="s">
        <v>221</v>
      </c>
      <c r="E173" s="23"/>
      <c r="F173" s="20"/>
      <c r="G173" s="21"/>
      <c r="H173" s="23"/>
      <c r="I173" s="23"/>
      <c r="J173" s="23"/>
      <c r="K173" s="3" t="s">
        <v>206</v>
      </c>
      <c r="L173" s="9"/>
      <c r="M173" s="9"/>
      <c r="N173" s="10">
        <f t="shared" si="50"/>
        <v>0</v>
      </c>
      <c r="O173" s="38">
        <f t="shared" si="51"/>
        <v>0</v>
      </c>
      <c r="P173" s="11"/>
      <c r="Q173" s="11"/>
      <c r="R173" s="12">
        <f t="shared" si="52"/>
        <v>0</v>
      </c>
      <c r="S173" s="28">
        <f t="shared" si="53"/>
        <v>0</v>
      </c>
      <c r="T173" s="9"/>
      <c r="U173" s="9"/>
      <c r="V173" s="9"/>
      <c r="W173" s="9"/>
      <c r="X173" s="9"/>
      <c r="Y173" s="10">
        <f t="shared" si="54"/>
        <v>0</v>
      </c>
      <c r="Z173" s="30">
        <f t="shared" si="55"/>
        <v>0</v>
      </c>
      <c r="AA173" s="32">
        <f t="shared" si="49"/>
        <v>0</v>
      </c>
    </row>
    <row r="174" spans="1:27" ht="27.6" hidden="1" x14ac:dyDescent="0.3">
      <c r="A174" s="24" t="s">
        <v>182</v>
      </c>
      <c r="B174" s="24"/>
      <c r="C174" s="24" t="s">
        <v>183</v>
      </c>
      <c r="D174" s="24" t="s">
        <v>221</v>
      </c>
      <c r="E174" s="23"/>
      <c r="F174" s="20"/>
      <c r="G174" s="21"/>
      <c r="H174" s="23"/>
      <c r="I174" s="23"/>
      <c r="J174" s="23"/>
      <c r="K174" s="3" t="s">
        <v>273</v>
      </c>
      <c r="L174" s="9"/>
      <c r="M174" s="9"/>
      <c r="N174" s="10">
        <f t="shared" si="50"/>
        <v>0</v>
      </c>
      <c r="O174" s="38">
        <f t="shared" si="51"/>
        <v>0</v>
      </c>
      <c r="P174" s="11"/>
      <c r="Q174" s="11"/>
      <c r="R174" s="12">
        <f t="shared" si="52"/>
        <v>0</v>
      </c>
      <c r="S174" s="28">
        <f t="shared" si="53"/>
        <v>0</v>
      </c>
      <c r="T174" s="9"/>
      <c r="U174" s="9"/>
      <c r="V174" s="9"/>
      <c r="W174" s="9"/>
      <c r="X174" s="9"/>
      <c r="Y174" s="10">
        <f t="shared" si="54"/>
        <v>0</v>
      </c>
      <c r="Z174" s="30">
        <f t="shared" si="55"/>
        <v>0</v>
      </c>
      <c r="AA174" s="32">
        <f t="shared" si="49"/>
        <v>0</v>
      </c>
    </row>
    <row r="175" spans="1:27" ht="27.6" hidden="1" x14ac:dyDescent="0.3">
      <c r="A175" s="24" t="s">
        <v>182</v>
      </c>
      <c r="B175" s="24"/>
      <c r="C175" s="24" t="s">
        <v>95</v>
      </c>
      <c r="D175" s="24" t="s">
        <v>227</v>
      </c>
      <c r="E175" s="23"/>
      <c r="F175" s="20"/>
      <c r="G175" s="21"/>
      <c r="H175" s="23"/>
      <c r="I175" s="23"/>
      <c r="J175" s="23"/>
      <c r="K175" s="3" t="s">
        <v>208</v>
      </c>
      <c r="L175" s="9"/>
      <c r="M175" s="9"/>
      <c r="N175" s="10">
        <f t="shared" si="50"/>
        <v>0</v>
      </c>
      <c r="O175" s="38">
        <f t="shared" si="51"/>
        <v>0</v>
      </c>
      <c r="P175" s="11"/>
      <c r="Q175" s="11"/>
      <c r="R175" s="12">
        <f t="shared" si="52"/>
        <v>0</v>
      </c>
      <c r="S175" s="28">
        <f t="shared" si="53"/>
        <v>0</v>
      </c>
      <c r="T175" s="9"/>
      <c r="U175" s="9"/>
      <c r="V175" s="9"/>
      <c r="W175" s="9"/>
      <c r="X175" s="9"/>
      <c r="Y175" s="10">
        <f t="shared" si="54"/>
        <v>0</v>
      </c>
      <c r="Z175" s="30">
        <f t="shared" si="55"/>
        <v>0</v>
      </c>
      <c r="AA175" s="32">
        <f t="shared" si="49"/>
        <v>0</v>
      </c>
    </row>
    <row r="176" spans="1:27" ht="27.6" x14ac:dyDescent="0.3">
      <c r="A176" s="24" t="s">
        <v>35</v>
      </c>
      <c r="B176" s="24"/>
      <c r="C176" s="24" t="s">
        <v>37</v>
      </c>
      <c r="D176" s="24" t="s">
        <v>221</v>
      </c>
      <c r="E176" s="23"/>
      <c r="F176" s="20"/>
      <c r="G176" s="21"/>
      <c r="H176" s="23"/>
      <c r="I176" s="23"/>
      <c r="J176" s="23"/>
      <c r="K176" s="3" t="s">
        <v>209</v>
      </c>
      <c r="L176" s="9"/>
      <c r="M176" s="9"/>
      <c r="N176" s="10">
        <f t="shared" si="50"/>
        <v>0</v>
      </c>
      <c r="O176" s="38">
        <f t="shared" si="51"/>
        <v>0</v>
      </c>
      <c r="P176" s="11"/>
      <c r="Q176" s="11"/>
      <c r="R176" s="12">
        <f t="shared" si="52"/>
        <v>0</v>
      </c>
      <c r="S176" s="28">
        <f t="shared" si="53"/>
        <v>0</v>
      </c>
      <c r="T176" s="9"/>
      <c r="U176" s="9"/>
      <c r="V176" s="9"/>
      <c r="W176" s="9"/>
      <c r="X176" s="9"/>
      <c r="Y176" s="10">
        <f t="shared" si="54"/>
        <v>0</v>
      </c>
      <c r="Z176" s="30">
        <f t="shared" si="55"/>
        <v>0</v>
      </c>
      <c r="AA176" s="32">
        <f t="shared" si="49"/>
        <v>0</v>
      </c>
    </row>
    <row r="177" spans="1:27" ht="27.6" hidden="1" x14ac:dyDescent="0.3">
      <c r="A177" s="24" t="s">
        <v>35</v>
      </c>
      <c r="B177" s="24"/>
      <c r="C177" s="24" t="s">
        <v>42</v>
      </c>
      <c r="D177" s="24" t="s">
        <v>221</v>
      </c>
      <c r="E177" s="23"/>
      <c r="F177" s="20"/>
      <c r="G177" s="21"/>
      <c r="H177" s="23"/>
      <c r="I177" s="23"/>
      <c r="J177" s="23"/>
      <c r="K177" s="3" t="s">
        <v>210</v>
      </c>
      <c r="L177" s="9"/>
      <c r="M177" s="9"/>
      <c r="N177" s="10">
        <f t="shared" si="50"/>
        <v>0</v>
      </c>
      <c r="O177" s="38">
        <f t="shared" si="51"/>
        <v>0</v>
      </c>
      <c r="P177" s="11"/>
      <c r="Q177" s="11"/>
      <c r="R177" s="12">
        <f t="shared" si="52"/>
        <v>0</v>
      </c>
      <c r="S177" s="28">
        <f t="shared" si="53"/>
        <v>0</v>
      </c>
      <c r="T177" s="9"/>
      <c r="U177" s="9"/>
      <c r="V177" s="9"/>
      <c r="W177" s="9"/>
      <c r="X177" s="9"/>
      <c r="Y177" s="10">
        <f t="shared" si="54"/>
        <v>0</v>
      </c>
      <c r="Z177" s="30">
        <f t="shared" si="55"/>
        <v>0</v>
      </c>
      <c r="AA177" s="32">
        <f t="shared" si="49"/>
        <v>0</v>
      </c>
    </row>
    <row r="178" spans="1:27" ht="27.6" hidden="1" x14ac:dyDescent="0.3">
      <c r="A178" s="24" t="s">
        <v>35</v>
      </c>
      <c r="B178" s="24"/>
      <c r="C178" s="24" t="s">
        <v>44</v>
      </c>
      <c r="D178" s="24" t="s">
        <v>221</v>
      </c>
      <c r="E178" s="23"/>
      <c r="F178" s="20"/>
      <c r="G178" s="21"/>
      <c r="H178" s="23"/>
      <c r="I178" s="23"/>
      <c r="J178" s="23"/>
      <c r="K178" s="3" t="s">
        <v>211</v>
      </c>
      <c r="L178" s="9"/>
      <c r="M178" s="9"/>
      <c r="N178" s="10">
        <f t="shared" si="50"/>
        <v>0</v>
      </c>
      <c r="O178" s="38">
        <f t="shared" si="51"/>
        <v>0</v>
      </c>
      <c r="P178" s="11"/>
      <c r="Q178" s="11"/>
      <c r="R178" s="12">
        <f t="shared" si="52"/>
        <v>0</v>
      </c>
      <c r="S178" s="28">
        <f t="shared" si="53"/>
        <v>0</v>
      </c>
      <c r="T178" s="9"/>
      <c r="U178" s="9"/>
      <c r="V178" s="9"/>
      <c r="W178" s="9"/>
      <c r="X178" s="9"/>
      <c r="Y178" s="10">
        <f t="shared" si="54"/>
        <v>0</v>
      </c>
      <c r="Z178" s="30">
        <f t="shared" si="55"/>
        <v>0</v>
      </c>
      <c r="AA178" s="32">
        <f t="shared" si="49"/>
        <v>0</v>
      </c>
    </row>
    <row r="179" spans="1:27" ht="27.6" hidden="1" x14ac:dyDescent="0.3">
      <c r="A179" s="24" t="s">
        <v>35</v>
      </c>
      <c r="B179" s="24"/>
      <c r="C179" s="24" t="s">
        <v>65</v>
      </c>
      <c r="D179" s="24" t="s">
        <v>221</v>
      </c>
      <c r="E179" s="23"/>
      <c r="F179" s="20"/>
      <c r="G179" s="21"/>
      <c r="H179" s="23"/>
      <c r="I179" s="23"/>
      <c r="J179" s="23"/>
      <c r="K179" s="3" t="s">
        <v>212</v>
      </c>
      <c r="L179" s="9"/>
      <c r="M179" s="9"/>
      <c r="N179" s="10">
        <f t="shared" si="50"/>
        <v>0</v>
      </c>
      <c r="O179" s="38">
        <f t="shared" si="51"/>
        <v>0</v>
      </c>
      <c r="P179" s="11"/>
      <c r="Q179" s="11"/>
      <c r="R179" s="12">
        <f t="shared" si="52"/>
        <v>0</v>
      </c>
      <c r="S179" s="28">
        <f t="shared" si="53"/>
        <v>0</v>
      </c>
      <c r="T179" s="9"/>
      <c r="U179" s="9"/>
      <c r="V179" s="9"/>
      <c r="W179" s="9"/>
      <c r="X179" s="9"/>
      <c r="Y179" s="10">
        <f t="shared" si="54"/>
        <v>0</v>
      </c>
      <c r="Z179" s="30">
        <f t="shared" si="55"/>
        <v>0</v>
      </c>
      <c r="AA179" s="32">
        <f t="shared" si="49"/>
        <v>0</v>
      </c>
    </row>
    <row r="180" spans="1:27" ht="27.6" hidden="1" x14ac:dyDescent="0.3">
      <c r="A180" s="24" t="s">
        <v>36</v>
      </c>
      <c r="B180" s="24"/>
      <c r="C180" s="24" t="s">
        <v>101</v>
      </c>
      <c r="D180" s="24" t="s">
        <v>221</v>
      </c>
      <c r="E180" s="23"/>
      <c r="F180" s="20"/>
      <c r="G180" s="21"/>
      <c r="H180" s="23"/>
      <c r="I180" s="23"/>
      <c r="J180" s="23"/>
      <c r="K180" s="3" t="s">
        <v>213</v>
      </c>
      <c r="L180" s="9"/>
      <c r="M180" s="9"/>
      <c r="N180" s="10">
        <f t="shared" si="50"/>
        <v>0</v>
      </c>
      <c r="O180" s="38">
        <f t="shared" si="51"/>
        <v>0</v>
      </c>
      <c r="P180" s="11"/>
      <c r="Q180" s="11"/>
      <c r="R180" s="12">
        <f t="shared" si="52"/>
        <v>0</v>
      </c>
      <c r="S180" s="28">
        <f t="shared" si="53"/>
        <v>0</v>
      </c>
      <c r="T180" s="9"/>
      <c r="U180" s="9"/>
      <c r="V180" s="9"/>
      <c r="W180" s="9"/>
      <c r="X180" s="9"/>
      <c r="Y180" s="10">
        <f t="shared" si="54"/>
        <v>0</v>
      </c>
      <c r="Z180" s="30">
        <f t="shared" si="55"/>
        <v>0</v>
      </c>
      <c r="AA180" s="32">
        <f t="shared" si="49"/>
        <v>0</v>
      </c>
    </row>
    <row r="181" spans="1:27" ht="41.4" hidden="1" x14ac:dyDescent="0.3">
      <c r="A181" s="24" t="s">
        <v>36</v>
      </c>
      <c r="B181" s="24"/>
      <c r="C181" s="24" t="s">
        <v>101</v>
      </c>
      <c r="D181" s="24" t="s">
        <v>227</v>
      </c>
      <c r="E181" s="23"/>
      <c r="F181" s="20"/>
      <c r="G181" s="21"/>
      <c r="H181" s="23"/>
      <c r="I181" s="23"/>
      <c r="J181" s="23"/>
      <c r="K181" s="3" t="s">
        <v>214</v>
      </c>
      <c r="L181" s="9"/>
      <c r="M181" s="9"/>
      <c r="N181" s="10">
        <f t="shared" si="50"/>
        <v>0</v>
      </c>
      <c r="O181" s="38">
        <f t="shared" si="51"/>
        <v>0</v>
      </c>
      <c r="P181" s="11"/>
      <c r="Q181" s="11"/>
      <c r="R181" s="12">
        <f t="shared" si="52"/>
        <v>0</v>
      </c>
      <c r="S181" s="28">
        <f t="shared" si="53"/>
        <v>0</v>
      </c>
      <c r="T181" s="9"/>
      <c r="U181" s="9"/>
      <c r="V181" s="9"/>
      <c r="W181" s="9"/>
      <c r="X181" s="9"/>
      <c r="Y181" s="10">
        <f t="shared" si="54"/>
        <v>0</v>
      </c>
      <c r="Z181" s="30">
        <f t="shared" si="55"/>
        <v>0</v>
      </c>
      <c r="AA181" s="32">
        <f t="shared" si="49"/>
        <v>0</v>
      </c>
    </row>
    <row r="182" spans="1:27" ht="27.6" hidden="1" x14ac:dyDescent="0.3">
      <c r="A182" s="24" t="s">
        <v>36</v>
      </c>
      <c r="B182" s="24"/>
      <c r="C182" s="24" t="s">
        <v>195</v>
      </c>
      <c r="D182" s="24" t="s">
        <v>227</v>
      </c>
      <c r="E182" s="23"/>
      <c r="F182" s="20"/>
      <c r="G182" s="21"/>
      <c r="H182" s="23"/>
      <c r="I182" s="23"/>
      <c r="J182" s="23"/>
      <c r="K182" s="3" t="s">
        <v>215</v>
      </c>
      <c r="L182" s="9"/>
      <c r="M182" s="9"/>
      <c r="N182" s="10">
        <f t="shared" si="50"/>
        <v>0</v>
      </c>
      <c r="O182" s="38">
        <f t="shared" si="51"/>
        <v>0</v>
      </c>
      <c r="P182" s="11"/>
      <c r="Q182" s="11"/>
      <c r="R182" s="12">
        <f t="shared" si="52"/>
        <v>0</v>
      </c>
      <c r="S182" s="28">
        <f t="shared" si="53"/>
        <v>0</v>
      </c>
      <c r="T182" s="9"/>
      <c r="U182" s="9"/>
      <c r="V182" s="9"/>
      <c r="W182" s="9"/>
      <c r="X182" s="9"/>
      <c r="Y182" s="10">
        <f t="shared" si="54"/>
        <v>0</v>
      </c>
      <c r="Z182" s="30">
        <f t="shared" si="55"/>
        <v>0</v>
      </c>
      <c r="AA182" s="32">
        <f t="shared" si="49"/>
        <v>0</v>
      </c>
    </row>
    <row r="183" spans="1:27" ht="27.6" hidden="1" x14ac:dyDescent="0.3">
      <c r="A183" s="24" t="s">
        <v>182</v>
      </c>
      <c r="B183" s="24"/>
      <c r="C183" s="24" t="s">
        <v>183</v>
      </c>
      <c r="D183" s="24" t="s">
        <v>227</v>
      </c>
      <c r="E183" s="23"/>
      <c r="F183" s="20"/>
      <c r="G183" s="21"/>
      <c r="H183" s="23"/>
      <c r="I183" s="23"/>
      <c r="J183" s="23"/>
      <c r="K183" s="3" t="s">
        <v>216</v>
      </c>
      <c r="L183" s="9"/>
      <c r="M183" s="9"/>
      <c r="N183" s="10">
        <f t="shared" si="50"/>
        <v>0</v>
      </c>
      <c r="O183" s="38">
        <f t="shared" si="51"/>
        <v>0</v>
      </c>
      <c r="P183" s="11"/>
      <c r="Q183" s="11"/>
      <c r="R183" s="12">
        <f t="shared" si="52"/>
        <v>0</v>
      </c>
      <c r="S183" s="28">
        <f t="shared" si="53"/>
        <v>0</v>
      </c>
      <c r="T183" s="9"/>
      <c r="U183" s="9"/>
      <c r="V183" s="9"/>
      <c r="W183" s="9"/>
      <c r="X183" s="9"/>
      <c r="Y183" s="10">
        <f t="shared" si="54"/>
        <v>0</v>
      </c>
      <c r="Z183" s="30">
        <f t="shared" si="55"/>
        <v>0</v>
      </c>
      <c r="AA183" s="32">
        <f t="shared" si="49"/>
        <v>0</v>
      </c>
    </row>
    <row r="184" spans="1:27" ht="27.6" hidden="1" x14ac:dyDescent="0.3">
      <c r="A184" s="24" t="s">
        <v>182</v>
      </c>
      <c r="B184" s="24"/>
      <c r="C184" s="24" t="s">
        <v>195</v>
      </c>
      <c r="D184" s="24" t="s">
        <v>227</v>
      </c>
      <c r="E184" s="23"/>
      <c r="F184" s="20"/>
      <c r="G184" s="21"/>
      <c r="H184" s="23"/>
      <c r="I184" s="23"/>
      <c r="J184" s="23"/>
      <c r="K184" s="3" t="s">
        <v>217</v>
      </c>
      <c r="L184" s="9"/>
      <c r="M184" s="9"/>
      <c r="N184" s="10">
        <f t="shared" si="50"/>
        <v>0</v>
      </c>
      <c r="O184" s="38">
        <f t="shared" si="51"/>
        <v>0</v>
      </c>
      <c r="P184" s="11"/>
      <c r="Q184" s="11"/>
      <c r="R184" s="12">
        <f t="shared" si="52"/>
        <v>0</v>
      </c>
      <c r="S184" s="28">
        <f t="shared" si="53"/>
        <v>0</v>
      </c>
      <c r="T184" s="9"/>
      <c r="U184" s="9"/>
      <c r="V184" s="9"/>
      <c r="W184" s="9"/>
      <c r="X184" s="9"/>
      <c r="Y184" s="10">
        <f t="shared" si="54"/>
        <v>0</v>
      </c>
      <c r="Z184" s="30">
        <f t="shared" si="55"/>
        <v>0</v>
      </c>
      <c r="AA184" s="32">
        <f t="shared" si="49"/>
        <v>0</v>
      </c>
    </row>
    <row r="185" spans="1:27" ht="21.6" hidden="1" x14ac:dyDescent="0.3">
      <c r="A185" s="24" t="s">
        <v>84</v>
      </c>
      <c r="B185" s="24" t="s">
        <v>36</v>
      </c>
      <c r="C185" s="24" t="s">
        <v>101</v>
      </c>
      <c r="D185" s="24" t="s">
        <v>232</v>
      </c>
      <c r="E185" s="23"/>
      <c r="F185" s="20"/>
      <c r="G185" s="21"/>
      <c r="H185" s="23"/>
      <c r="I185" s="23"/>
      <c r="J185" s="23"/>
      <c r="K185" s="3" t="s">
        <v>218</v>
      </c>
      <c r="L185" s="9"/>
      <c r="M185" s="9"/>
      <c r="N185" s="10">
        <f t="shared" si="50"/>
        <v>0</v>
      </c>
      <c r="O185" s="38">
        <f t="shared" si="51"/>
        <v>0</v>
      </c>
      <c r="P185" s="11"/>
      <c r="Q185" s="11"/>
      <c r="R185" s="12">
        <f t="shared" si="52"/>
        <v>0</v>
      </c>
      <c r="S185" s="28">
        <f t="shared" si="53"/>
        <v>0</v>
      </c>
      <c r="T185" s="9"/>
      <c r="U185" s="9"/>
      <c r="V185" s="9"/>
      <c r="W185" s="9"/>
      <c r="X185" s="9"/>
      <c r="Y185" s="10">
        <f t="shared" si="54"/>
        <v>0</v>
      </c>
      <c r="Z185" s="30">
        <f t="shared" si="55"/>
        <v>0</v>
      </c>
      <c r="AA185" s="32">
        <f t="shared" si="49"/>
        <v>0</v>
      </c>
    </row>
    <row r="186" spans="1:27" ht="27.6" x14ac:dyDescent="0.3">
      <c r="A186" s="24" t="s">
        <v>274</v>
      </c>
      <c r="B186" s="24"/>
      <c r="C186" s="24" t="s">
        <v>37</v>
      </c>
      <c r="D186" s="24" t="s">
        <v>221</v>
      </c>
      <c r="E186" s="23"/>
      <c r="F186" s="20"/>
      <c r="G186" s="21"/>
      <c r="H186" s="23"/>
      <c r="I186" s="23"/>
      <c r="J186" s="23"/>
      <c r="K186" s="3" t="s">
        <v>275</v>
      </c>
      <c r="L186" s="9"/>
      <c r="M186" s="9"/>
      <c r="N186" s="10">
        <f t="shared" ref="N186:N189" si="70">+L186-M186</f>
        <v>0</v>
      </c>
      <c r="O186" s="38">
        <f t="shared" ref="O186:O189" si="71">IFERROR(IF(7&lt;&gt;0, M186*100/L186, IF(L186=M186, M186*100/L186, 0)), 0)</f>
        <v>0</v>
      </c>
      <c r="P186" s="11"/>
      <c r="Q186" s="11"/>
      <c r="R186" s="12">
        <f t="shared" ref="R186:R189" si="72">+P186-Q186</f>
        <v>0</v>
      </c>
      <c r="S186" s="28">
        <f t="shared" ref="S186:S189" si="73">IFERROR(IF(R186&lt;&gt;0, P186*100/Q186, IF(P186=Q186, P186*100/Q186, 0)), 0)</f>
        <v>0</v>
      </c>
      <c r="T186" s="9"/>
      <c r="U186" s="9"/>
      <c r="V186" s="9"/>
      <c r="W186" s="9"/>
      <c r="X186" s="9"/>
      <c r="Y186" s="10">
        <f t="shared" ref="Y186:Y189" si="74">SUM(T186:X186)</f>
        <v>0</v>
      </c>
      <c r="Z186" s="30">
        <f t="shared" ref="Z186:Z189" si="75">+Y186*100/50</f>
        <v>0</v>
      </c>
      <c r="AA186" s="32">
        <f t="shared" ref="AA186:AA189" si="76">+(S186+O186+Z186)/3</f>
        <v>0</v>
      </c>
    </row>
    <row r="187" spans="1:27" ht="27.6" hidden="1" x14ac:dyDescent="0.3">
      <c r="A187" s="24" t="s">
        <v>274</v>
      </c>
      <c r="B187" s="24"/>
      <c r="C187" s="24" t="s">
        <v>42</v>
      </c>
      <c r="D187" s="24" t="s">
        <v>221</v>
      </c>
      <c r="E187" s="23"/>
      <c r="F187" s="20"/>
      <c r="G187" s="21"/>
      <c r="H187" s="23"/>
      <c r="I187" s="23"/>
      <c r="J187" s="23"/>
      <c r="K187" s="3" t="s">
        <v>276</v>
      </c>
      <c r="L187" s="9"/>
      <c r="M187" s="9"/>
      <c r="N187" s="10">
        <f t="shared" si="70"/>
        <v>0</v>
      </c>
      <c r="O187" s="38">
        <f t="shared" si="71"/>
        <v>0</v>
      </c>
      <c r="P187" s="11"/>
      <c r="Q187" s="11"/>
      <c r="R187" s="12">
        <f t="shared" si="72"/>
        <v>0</v>
      </c>
      <c r="S187" s="28">
        <f t="shared" si="73"/>
        <v>0</v>
      </c>
      <c r="T187" s="9"/>
      <c r="U187" s="9"/>
      <c r="V187" s="9"/>
      <c r="W187" s="9"/>
      <c r="X187" s="9"/>
      <c r="Y187" s="10">
        <f t="shared" si="74"/>
        <v>0</v>
      </c>
      <c r="Z187" s="30">
        <f t="shared" si="75"/>
        <v>0</v>
      </c>
      <c r="AA187" s="32">
        <f t="shared" si="76"/>
        <v>0</v>
      </c>
    </row>
    <row r="188" spans="1:27" ht="27.6" hidden="1" x14ac:dyDescent="0.3">
      <c r="A188" s="24" t="s">
        <v>274</v>
      </c>
      <c r="B188" s="24"/>
      <c r="C188" s="24" t="s">
        <v>44</v>
      </c>
      <c r="D188" s="24" t="s">
        <v>221</v>
      </c>
      <c r="E188" s="23"/>
      <c r="F188" s="20"/>
      <c r="G188" s="21"/>
      <c r="H188" s="23"/>
      <c r="I188" s="23"/>
      <c r="J188" s="23"/>
      <c r="K188" s="3" t="s">
        <v>277</v>
      </c>
      <c r="L188" s="9"/>
      <c r="M188" s="9"/>
      <c r="N188" s="10">
        <f t="shared" ref="N188" si="77">+L188-M188</f>
        <v>0</v>
      </c>
      <c r="O188" s="38">
        <f t="shared" ref="O188" si="78">IFERROR(IF(7&lt;&gt;0, M188*100/L188, IF(L188=M188, M188*100/L188, 0)), 0)</f>
        <v>0</v>
      </c>
      <c r="P188" s="11"/>
      <c r="Q188" s="11"/>
      <c r="R188" s="12">
        <f t="shared" ref="R188" si="79">+P188-Q188</f>
        <v>0</v>
      </c>
      <c r="S188" s="28">
        <f t="shared" ref="S188" si="80">IFERROR(IF(R188&lt;&gt;0, P188*100/Q188, IF(P188=Q188, P188*100/Q188, 0)), 0)</f>
        <v>0</v>
      </c>
      <c r="T188" s="9"/>
      <c r="U188" s="9"/>
      <c r="V188" s="9"/>
      <c r="W188" s="9"/>
      <c r="X188" s="9"/>
      <c r="Y188" s="10">
        <f t="shared" ref="Y188" si="81">SUM(T188:X188)</f>
        <v>0</v>
      </c>
      <c r="Z188" s="30">
        <f t="shared" ref="Z188" si="82">+Y188*100/50</f>
        <v>0</v>
      </c>
      <c r="AA188" s="32">
        <f t="shared" ref="AA188" si="83">+(S188+O188+Z188)/3</f>
        <v>0</v>
      </c>
    </row>
    <row r="189" spans="1:27" ht="41.4" hidden="1" x14ac:dyDescent="0.3">
      <c r="A189" s="24" t="s">
        <v>274</v>
      </c>
      <c r="B189" s="24"/>
      <c r="C189" s="24" t="s">
        <v>65</v>
      </c>
      <c r="D189" s="24" t="s">
        <v>221</v>
      </c>
      <c r="E189" s="23"/>
      <c r="F189" s="20"/>
      <c r="G189" s="21"/>
      <c r="H189" s="23"/>
      <c r="I189" s="23"/>
      <c r="J189" s="23"/>
      <c r="K189" s="3" t="s">
        <v>278</v>
      </c>
      <c r="L189" s="9"/>
      <c r="M189" s="9"/>
      <c r="N189" s="10">
        <f t="shared" si="70"/>
        <v>0</v>
      </c>
      <c r="O189" s="38">
        <f t="shared" si="71"/>
        <v>0</v>
      </c>
      <c r="P189" s="11"/>
      <c r="Q189" s="11"/>
      <c r="R189" s="12">
        <f t="shared" si="72"/>
        <v>0</v>
      </c>
      <c r="S189" s="28">
        <f t="shared" si="73"/>
        <v>0</v>
      </c>
      <c r="T189" s="9"/>
      <c r="U189" s="9"/>
      <c r="V189" s="9"/>
      <c r="W189" s="9"/>
      <c r="X189" s="9"/>
      <c r="Y189" s="10">
        <f t="shared" si="74"/>
        <v>0</v>
      </c>
      <c r="Z189" s="30">
        <f t="shared" si="75"/>
        <v>0</v>
      </c>
      <c r="AA189" s="32">
        <f t="shared" si="76"/>
        <v>0</v>
      </c>
    </row>
    <row r="190" spans="1:27" ht="21.6" x14ac:dyDescent="0.3">
      <c r="A190" s="24" t="s">
        <v>84</v>
      </c>
      <c r="B190" s="24" t="s">
        <v>35</v>
      </c>
      <c r="C190" s="24" t="s">
        <v>37</v>
      </c>
      <c r="D190" s="24" t="s">
        <v>232</v>
      </c>
      <c r="E190" s="23"/>
      <c r="F190" s="20"/>
      <c r="G190" s="21"/>
      <c r="H190" s="23"/>
      <c r="I190" s="23"/>
      <c r="J190" s="23"/>
      <c r="K190" s="3" t="s">
        <v>279</v>
      </c>
      <c r="L190" s="9"/>
      <c r="M190" s="9"/>
      <c r="N190" s="10">
        <f t="shared" ref="N190:N192" si="84">+L190-M190</f>
        <v>0</v>
      </c>
      <c r="O190" s="38">
        <f t="shared" ref="O190:O192" si="85">IFERROR(IF(7&lt;&gt;0, M190*100/L190, IF(L190=M190, M190*100/L190, 0)), 0)</f>
        <v>0</v>
      </c>
      <c r="P190" s="11"/>
      <c r="Q190" s="11"/>
      <c r="R190" s="12">
        <f t="shared" ref="R190:R192" si="86">+P190-Q190</f>
        <v>0</v>
      </c>
      <c r="S190" s="28">
        <f t="shared" ref="S190:S192" si="87">IFERROR(IF(R190&lt;&gt;0, P190*100/Q190, IF(P190=Q190, P190*100/Q190, 0)), 0)</f>
        <v>0</v>
      </c>
      <c r="T190" s="9"/>
      <c r="U190" s="9"/>
      <c r="V190" s="9"/>
      <c r="W190" s="9"/>
      <c r="X190" s="9"/>
      <c r="Y190" s="10">
        <f t="shared" ref="Y190:Y192" si="88">SUM(T190:X190)</f>
        <v>0</v>
      </c>
      <c r="Z190" s="30">
        <f t="shared" ref="Z190:Z192" si="89">+Y190*100/50</f>
        <v>0</v>
      </c>
      <c r="AA190" s="32">
        <f t="shared" ref="AA190:AA192" si="90">+(S190+O190+Z190)/3</f>
        <v>0</v>
      </c>
    </row>
    <row r="191" spans="1:27" ht="21.6" hidden="1" x14ac:dyDescent="0.3">
      <c r="A191" s="24" t="s">
        <v>84</v>
      </c>
      <c r="B191" s="24" t="s">
        <v>35</v>
      </c>
      <c r="C191" s="24" t="s">
        <v>42</v>
      </c>
      <c r="D191" s="24" t="s">
        <v>232</v>
      </c>
      <c r="E191" s="23"/>
      <c r="F191" s="20"/>
      <c r="G191" s="21"/>
      <c r="H191" s="23"/>
      <c r="I191" s="23"/>
      <c r="J191" s="23"/>
      <c r="K191" s="3" t="s">
        <v>280</v>
      </c>
      <c r="L191" s="9"/>
      <c r="M191" s="9"/>
      <c r="N191" s="10">
        <f t="shared" si="84"/>
        <v>0</v>
      </c>
      <c r="O191" s="38">
        <f t="shared" si="85"/>
        <v>0</v>
      </c>
      <c r="P191" s="11"/>
      <c r="Q191" s="11"/>
      <c r="R191" s="12">
        <f t="shared" si="86"/>
        <v>0</v>
      </c>
      <c r="S191" s="28">
        <f t="shared" si="87"/>
        <v>0</v>
      </c>
      <c r="T191" s="9"/>
      <c r="U191" s="9"/>
      <c r="V191" s="9"/>
      <c r="W191" s="9"/>
      <c r="X191" s="9"/>
      <c r="Y191" s="10">
        <f t="shared" si="88"/>
        <v>0</v>
      </c>
      <c r="Z191" s="30">
        <f t="shared" si="89"/>
        <v>0</v>
      </c>
      <c r="AA191" s="32">
        <f t="shared" si="90"/>
        <v>0</v>
      </c>
    </row>
    <row r="192" spans="1:27" ht="21.6" hidden="1" x14ac:dyDescent="0.3">
      <c r="A192" s="24" t="s">
        <v>84</v>
      </c>
      <c r="B192" s="24" t="s">
        <v>35</v>
      </c>
      <c r="C192" s="24" t="s">
        <v>44</v>
      </c>
      <c r="D192" s="24" t="s">
        <v>232</v>
      </c>
      <c r="E192" s="23"/>
      <c r="F192" s="20"/>
      <c r="G192" s="21"/>
      <c r="H192" s="23"/>
      <c r="I192" s="23"/>
      <c r="J192" s="23"/>
      <c r="K192" s="3" t="s">
        <v>281</v>
      </c>
      <c r="L192" s="9"/>
      <c r="M192" s="9"/>
      <c r="N192" s="10">
        <f t="shared" si="84"/>
        <v>0</v>
      </c>
      <c r="O192" s="38">
        <f t="shared" si="85"/>
        <v>0</v>
      </c>
      <c r="P192" s="11"/>
      <c r="Q192" s="11"/>
      <c r="R192" s="12">
        <f t="shared" si="86"/>
        <v>0</v>
      </c>
      <c r="S192" s="28">
        <f t="shared" si="87"/>
        <v>0</v>
      </c>
      <c r="T192" s="9"/>
      <c r="U192" s="9"/>
      <c r="V192" s="9"/>
      <c r="W192" s="9"/>
      <c r="X192" s="9"/>
      <c r="Y192" s="10">
        <f t="shared" si="88"/>
        <v>0</v>
      </c>
      <c r="Z192" s="30">
        <f t="shared" si="89"/>
        <v>0</v>
      </c>
      <c r="AA192" s="32">
        <f t="shared" si="90"/>
        <v>0</v>
      </c>
    </row>
    <row r="193" spans="1:27" ht="27.6" hidden="1" x14ac:dyDescent="0.3">
      <c r="A193" s="24" t="s">
        <v>84</v>
      </c>
      <c r="B193" s="24" t="s">
        <v>64</v>
      </c>
      <c r="C193" s="24" t="s">
        <v>65</v>
      </c>
      <c r="D193" s="24" t="s">
        <v>232</v>
      </c>
      <c r="E193" s="23"/>
      <c r="F193" s="20"/>
      <c r="G193" s="21"/>
      <c r="H193" s="23"/>
      <c r="I193" s="23"/>
      <c r="J193" s="23"/>
      <c r="K193" s="3" t="s">
        <v>282</v>
      </c>
      <c r="L193" s="9"/>
      <c r="M193" s="9"/>
      <c r="N193" s="10">
        <f t="shared" si="50"/>
        <v>0</v>
      </c>
      <c r="O193" s="38">
        <f t="shared" si="51"/>
        <v>0</v>
      </c>
      <c r="P193" s="11"/>
      <c r="Q193" s="11"/>
      <c r="R193" s="12">
        <f t="shared" si="52"/>
        <v>0</v>
      </c>
      <c r="S193" s="28">
        <f t="shared" si="53"/>
        <v>0</v>
      </c>
      <c r="T193" s="9"/>
      <c r="U193" s="9"/>
      <c r="V193" s="9"/>
      <c r="W193" s="9"/>
      <c r="X193" s="9"/>
      <c r="Y193" s="10">
        <f t="shared" si="54"/>
        <v>0</v>
      </c>
      <c r="Z193" s="30">
        <f t="shared" si="55"/>
        <v>0</v>
      </c>
      <c r="AA193" s="32">
        <f t="shared" si="49"/>
        <v>0</v>
      </c>
    </row>
    <row r="194" spans="1:27" hidden="1" x14ac:dyDescent="0.3">
      <c r="A194" s="34"/>
      <c r="B194" s="34"/>
      <c r="C194" s="34"/>
      <c r="D194" s="34"/>
      <c r="E194" s="35"/>
      <c r="F194" s="35"/>
      <c r="G194" s="35"/>
      <c r="H194" s="35"/>
      <c r="I194" s="35"/>
      <c r="J194" s="35"/>
      <c r="K194" s="36"/>
      <c r="L194" s="119"/>
      <c r="M194" s="120"/>
      <c r="N194" s="121"/>
      <c r="O194" s="33">
        <f>AVERAGEIF(O13:O193,"&gt;0")</f>
        <v>91.222222222222229</v>
      </c>
      <c r="P194" s="122"/>
      <c r="Q194" s="123"/>
      <c r="R194" s="124"/>
      <c r="S194" s="33">
        <f t="shared" ref="S194:AA194" si="91">AVERAGEIF(S13:S193,"&gt;0")</f>
        <v>79.870129870129873</v>
      </c>
      <c r="T194" s="33">
        <f t="shared" si="91"/>
        <v>8</v>
      </c>
      <c r="U194" s="33">
        <f t="shared" si="91"/>
        <v>5.666666666666667</v>
      </c>
      <c r="V194" s="33">
        <f t="shared" si="91"/>
        <v>6</v>
      </c>
      <c r="W194" s="33">
        <f t="shared" si="91"/>
        <v>7.333333333333333</v>
      </c>
      <c r="X194" s="33">
        <f t="shared" si="91"/>
        <v>7.666666666666667</v>
      </c>
      <c r="Y194" s="33">
        <f t="shared" si="91"/>
        <v>34.666666666666664</v>
      </c>
      <c r="Z194" s="33">
        <f t="shared" si="91"/>
        <v>69.333333333333329</v>
      </c>
      <c r="AA194" s="33">
        <f t="shared" si="91"/>
        <v>80.141895141895148</v>
      </c>
    </row>
  </sheetData>
  <autoFilter ref="A9:AA194" xr:uid="{90563A32-5EBF-452E-9143-123B4501033A}">
    <filterColumn colId="2">
      <filters>
        <filter val="Lider-Prog-EV1"/>
      </filters>
    </filterColumn>
  </autoFilter>
  <mergeCells count="18">
    <mergeCell ref="A1:AA1"/>
    <mergeCell ref="A2:AA2"/>
    <mergeCell ref="A4:E5"/>
    <mergeCell ref="O4:P4"/>
    <mergeCell ref="Q4:AA4"/>
    <mergeCell ref="O5:P5"/>
    <mergeCell ref="Q5:AA5"/>
    <mergeCell ref="J4:M5"/>
    <mergeCell ref="A7:D7"/>
    <mergeCell ref="T7:Z7"/>
    <mergeCell ref="AA7:AA8"/>
    <mergeCell ref="L194:N194"/>
    <mergeCell ref="P194:R194"/>
    <mergeCell ref="E7:E8"/>
    <mergeCell ref="F7:H7"/>
    <mergeCell ref="K7:K8"/>
    <mergeCell ref="L7:O7"/>
    <mergeCell ref="P7:S7"/>
  </mergeCells>
  <dataValidations count="1">
    <dataValidation type="list" allowBlank="1" showInputMessage="1" showErrorMessage="1" sqref="I194:J194 G10:H194" xr:uid="{3BD34070-2BF7-4C8A-B39D-CDD1B182F31F}">
      <formula1>INDIRECT(F10)</formula1>
    </dataValidation>
  </dataValidations>
  <pageMargins left="0.7" right="0.7" top="0.75" bottom="0.75" header="0.3" footer="0.3"/>
  <pageSetup scale="82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C2F6076A-50F8-4286-9208-6583A32F02DD}">
          <x14:formula1>
            <xm:f>'Lista desplegable'!$O$13:$O$37</xm:f>
          </x14:formula1>
          <xm:sqref>H4:H5</xm:sqref>
        </x14:dataValidation>
        <x14:dataValidation type="list" allowBlank="1" showInputMessage="1" showErrorMessage="1" xr:uid="{8FA5D381-E638-4661-957F-360B21EFF868}">
          <x14:formula1>
            <xm:f>'Lista desplegable'!$N$13:$N$21</xm:f>
          </x14:formula1>
          <xm:sqref>Q4:Q5</xm:sqref>
        </x14:dataValidation>
        <x14:dataValidation type="list" allowBlank="1" showInputMessage="1" showErrorMessage="1" xr:uid="{C7E9C03C-D199-4836-BA72-4CC09E8F9FEC}">
          <x14:formula1>
            <xm:f>'Lista desplegable'!$O$41:$O$65</xm:f>
          </x14:formula1>
          <xm:sqref>J4</xm:sqref>
        </x14:dataValidation>
        <x14:dataValidation type="list" allowBlank="1" showInputMessage="1" showErrorMessage="1" xr:uid="{2CB4ADDF-007A-4179-90BD-825F4F079D51}">
          <x14:formula1>
            <xm:f>'Lista desplegable'!$C$44:$C$55</xm:f>
          </x14:formula1>
          <xm:sqref>A10:B193</xm:sqref>
        </x14:dataValidation>
        <x14:dataValidation type="list" allowBlank="1" showInputMessage="1" showErrorMessage="1" xr:uid="{99FC89AB-072D-47A6-AA0C-A6B00A7CF302}">
          <x14:formula1>
            <xm:f>'Lista desplegable'!$B$13:$B$24</xm:f>
          </x14:formula1>
          <xm:sqref>E10:E193</xm:sqref>
        </x14:dataValidation>
        <x14:dataValidation type="list" allowBlank="1" showInputMessage="1" showErrorMessage="1" xr:uid="{304D6FD8-8F76-409D-99B8-650A99222974}">
          <x14:formula1>
            <xm:f>'Lista desplegable'!$D$12:$D$31</xm:f>
          </x14:formula1>
          <xm:sqref>I10:I193</xm:sqref>
        </x14:dataValidation>
        <x14:dataValidation type="list" allowBlank="1" showInputMessage="1" showErrorMessage="1" xr:uid="{1BEB3117-7C59-4556-AE4B-791EB051CE11}">
          <x14:formula1>
            <xm:f>'Lista desplegable'!$D$11:$D$21</xm:f>
          </x14:formula1>
          <xm:sqref>T10:X193</xm:sqref>
        </x14:dataValidation>
        <x14:dataValidation type="list" allowBlank="1" showInputMessage="1" showErrorMessage="1" xr:uid="{891AD1FD-E7DA-4B94-91B1-3DD85CFB9128}">
          <x14:formula1>
            <xm:f>'Lista desplegable'!$A$2:$A$16</xm:f>
          </x14:formula1>
          <xm:sqref>F10:F194</xm:sqref>
        </x14:dataValidation>
        <x14:dataValidation type="list" allowBlank="1" showInputMessage="1" showErrorMessage="1" xr:uid="{F972871D-351F-4F2F-9430-D9C9B44FD469}">
          <x14:formula1>
            <xm:f>'Lista desplegable'!$C$12:$C$33</xm:f>
          </x14:formula1>
          <xm:sqref>C10:C193</xm:sqref>
        </x14:dataValidation>
        <x14:dataValidation type="list" allowBlank="1" showInputMessage="1" showErrorMessage="1" xr:uid="{B2F70DE5-8106-453C-B31B-AF65CFB09354}">
          <x14:formula1>
            <xm:f>'Lista desplegable'!$E$11:$E$16</xm:f>
          </x14:formula1>
          <xm:sqref>D10:D193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BE0ED-5162-4511-9441-D3ECF2A7D10D}">
  <sheetPr filterMode="1"/>
  <dimension ref="A1:Y182"/>
  <sheetViews>
    <sheetView showGridLines="0" view="pageBreakPreview" zoomScaleNormal="100" zoomScaleSheetLayoutView="100" workbookViewId="0">
      <pane xSplit="9" ySplit="9" topLeftCell="J118" activePane="bottomRight" state="frozen"/>
      <selection pane="topRight" activeCell="J1" sqref="J1"/>
      <selection pane="bottomLeft" activeCell="A10" sqref="A10"/>
      <selection pane="bottomRight" activeCell="L125" sqref="L125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4.5546875" style="1" customWidth="1"/>
    <col min="13" max="13" width="4.5546875" style="2" customWidth="1"/>
    <col min="14" max="15" width="5.5546875" style="2" customWidth="1"/>
    <col min="16" max="16" width="6.88671875" style="2" customWidth="1"/>
    <col min="17" max="17" width="4.5546875" style="2" customWidth="1"/>
    <col min="18" max="23" width="5.5546875" style="1" customWidth="1"/>
    <col min="24" max="24" width="4.5546875" style="1" customWidth="1"/>
    <col min="25" max="25" width="5.5546875" style="1" customWidth="1"/>
    <col min="26" max="16384" width="10.88671875" style="1"/>
  </cols>
  <sheetData>
    <row r="1" spans="1:25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</row>
    <row r="2" spans="1:25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</row>
    <row r="3" spans="1:25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5"/>
      <c r="N3" s="15"/>
      <c r="O3" s="15"/>
      <c r="P3" s="15"/>
      <c r="Q3" s="15"/>
      <c r="R3" s="14"/>
      <c r="S3" s="14"/>
      <c r="T3" s="14"/>
      <c r="U3" s="14"/>
      <c r="V3" s="14"/>
      <c r="W3" s="14"/>
      <c r="X3" s="14"/>
      <c r="Y3" s="14"/>
    </row>
    <row r="4" spans="1:25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283</v>
      </c>
      <c r="J4" s="142"/>
      <c r="K4" s="142"/>
      <c r="L4" s="39"/>
      <c r="M4" s="134" t="s">
        <v>5</v>
      </c>
      <c r="N4" s="134"/>
      <c r="O4" s="135" t="s">
        <v>284</v>
      </c>
      <c r="P4" s="135"/>
      <c r="Q4" s="135"/>
      <c r="R4" s="135"/>
      <c r="S4" s="135"/>
      <c r="T4" s="135"/>
      <c r="U4" s="135"/>
      <c r="V4" s="135"/>
      <c r="W4" s="135"/>
      <c r="X4" s="135"/>
      <c r="Y4" s="135"/>
    </row>
    <row r="5" spans="1:25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134" t="s">
        <v>7</v>
      </c>
      <c r="N5" s="134"/>
      <c r="O5" s="135" t="s">
        <v>8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</row>
    <row r="7" spans="1:25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30" t="s">
        <v>14</v>
      </c>
      <c r="O7" s="130"/>
      <c r="P7" s="130"/>
      <c r="Q7" s="130"/>
      <c r="R7" s="114" t="s">
        <v>15</v>
      </c>
      <c r="S7" s="115"/>
      <c r="T7" s="115"/>
      <c r="U7" s="115"/>
      <c r="V7" s="115"/>
      <c r="W7" s="115"/>
      <c r="X7" s="116"/>
      <c r="Y7" s="117" t="s">
        <v>16</v>
      </c>
    </row>
    <row r="8" spans="1:25" ht="70.2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37" t="s">
        <v>27</v>
      </c>
      <c r="N8" s="4" t="s">
        <v>28</v>
      </c>
      <c r="O8" s="4" t="s">
        <v>25</v>
      </c>
      <c r="P8" s="7" t="s">
        <v>26</v>
      </c>
      <c r="Q8" s="27" t="s">
        <v>27</v>
      </c>
      <c r="R8" s="5" t="s">
        <v>29</v>
      </c>
      <c r="S8" s="5" t="s">
        <v>30</v>
      </c>
      <c r="T8" s="5" t="s">
        <v>31</v>
      </c>
      <c r="U8" s="5" t="s">
        <v>32</v>
      </c>
      <c r="V8" s="5" t="s">
        <v>33</v>
      </c>
      <c r="W8" s="8" t="s">
        <v>34</v>
      </c>
      <c r="X8" s="29" t="s">
        <v>27</v>
      </c>
      <c r="Y8" s="118"/>
    </row>
    <row r="9" spans="1:25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37"/>
      <c r="N9" s="4"/>
      <c r="O9" s="4"/>
      <c r="P9" s="7"/>
      <c r="Q9" s="27"/>
      <c r="R9" s="5"/>
      <c r="S9" s="5"/>
      <c r="T9" s="5"/>
      <c r="U9" s="5"/>
      <c r="V9" s="5"/>
      <c r="W9" s="8"/>
      <c r="X9" s="29"/>
      <c r="Y9" s="31"/>
    </row>
    <row r="10" spans="1:25" ht="27.6" hidden="1" x14ac:dyDescent="0.3">
      <c r="A10" s="24" t="s">
        <v>35</v>
      </c>
      <c r="B10" s="24" t="s">
        <v>36</v>
      </c>
      <c r="C10" s="24" t="s">
        <v>37</v>
      </c>
      <c r="D10" s="23"/>
      <c r="E10" s="20" t="s">
        <v>38</v>
      </c>
      <c r="F10" s="21" t="s">
        <v>39</v>
      </c>
      <c r="G10" s="22" t="s">
        <v>40</v>
      </c>
      <c r="H10" s="22">
        <v>1</v>
      </c>
      <c r="I10" s="3" t="s">
        <v>41</v>
      </c>
      <c r="J10" s="9"/>
      <c r="K10" s="9"/>
      <c r="L10" s="10">
        <f>+J10-K10</f>
        <v>0</v>
      </c>
      <c r="M10" s="38">
        <f>IFERROR(IF(7&lt;&gt;0, K10*100/J10, IF(J10=K10, K10*100/J10, 0)), 0)</f>
        <v>0</v>
      </c>
      <c r="N10" s="11"/>
      <c r="O10" s="11"/>
      <c r="P10" s="12">
        <f>+N10-O10</f>
        <v>0</v>
      </c>
      <c r="Q10" s="28">
        <f>IFERROR(IF(P10&lt;&gt;0, N10*100/O10, IF(N10=O10, N10*100/O10, 0)), 0)</f>
        <v>0</v>
      </c>
      <c r="R10" s="9"/>
      <c r="S10" s="9"/>
      <c r="T10" s="9"/>
      <c r="U10" s="9"/>
      <c r="V10" s="9"/>
      <c r="W10" s="10">
        <f>SUM(R10:V10)</f>
        <v>0</v>
      </c>
      <c r="X10" s="30">
        <f>+W10*100/50</f>
        <v>0</v>
      </c>
      <c r="Y10" s="32">
        <f t="shared" ref="Y10:Y73" si="0">+(Q10+M10+X10)/3</f>
        <v>0</v>
      </c>
    </row>
    <row r="11" spans="1:25" ht="27.6" hidden="1" x14ac:dyDescent="0.3">
      <c r="A11" s="24" t="s">
        <v>35</v>
      </c>
      <c r="B11" s="24" t="s">
        <v>36</v>
      </c>
      <c r="C11" s="24" t="s">
        <v>42</v>
      </c>
      <c r="D11" s="23"/>
      <c r="E11" s="20" t="s">
        <v>38</v>
      </c>
      <c r="F11" s="21" t="s">
        <v>39</v>
      </c>
      <c r="G11" s="22" t="s">
        <v>40</v>
      </c>
      <c r="H11" s="22">
        <v>1</v>
      </c>
      <c r="I11" s="3" t="s">
        <v>43</v>
      </c>
      <c r="J11" s="9"/>
      <c r="K11" s="9"/>
      <c r="L11" s="10">
        <f t="shared" ref="L11:L74" si="1">+J11-K11</f>
        <v>0</v>
      </c>
      <c r="M11" s="38">
        <f t="shared" ref="M11:M74" si="2">IFERROR(IF(7&lt;&gt;0, K11*100/J11, IF(J11=K11, K11*100/J11, 0)), 0)</f>
        <v>0</v>
      </c>
      <c r="N11" s="11"/>
      <c r="O11" s="11"/>
      <c r="P11" s="12">
        <f t="shared" ref="P11:P74" si="3">+N11-O11</f>
        <v>0</v>
      </c>
      <c r="Q11" s="28">
        <f t="shared" ref="Q11:Q74" si="4">IFERROR(IF(P11&lt;&gt;0, N11*100/O11, IF(N11=O11, N11*100/O11, 0)), 0)</f>
        <v>0</v>
      </c>
      <c r="R11" s="9"/>
      <c r="S11" s="9"/>
      <c r="T11" s="9"/>
      <c r="U11" s="9"/>
      <c r="V11" s="9"/>
      <c r="W11" s="10">
        <f t="shared" ref="W11:W74" si="5">SUM(R11:V11)</f>
        <v>0</v>
      </c>
      <c r="X11" s="30">
        <f t="shared" ref="X11:X74" si="6">+W11*100/50</f>
        <v>0</v>
      </c>
      <c r="Y11" s="32">
        <f t="shared" si="0"/>
        <v>0</v>
      </c>
    </row>
    <row r="12" spans="1:25" ht="27.6" hidden="1" x14ac:dyDescent="0.3">
      <c r="A12" s="24" t="s">
        <v>35</v>
      </c>
      <c r="B12" s="24" t="s">
        <v>36</v>
      </c>
      <c r="C12" s="24" t="s">
        <v>44</v>
      </c>
      <c r="D12" s="23"/>
      <c r="E12" s="20" t="s">
        <v>38</v>
      </c>
      <c r="F12" s="21" t="s">
        <v>39</v>
      </c>
      <c r="G12" s="22" t="s">
        <v>40</v>
      </c>
      <c r="H12" s="22">
        <v>1</v>
      </c>
      <c r="I12" s="3" t="s">
        <v>45</v>
      </c>
      <c r="J12" s="9"/>
      <c r="K12" s="9"/>
      <c r="L12" s="10">
        <f t="shared" si="1"/>
        <v>0</v>
      </c>
      <c r="M12" s="38">
        <f t="shared" si="2"/>
        <v>0</v>
      </c>
      <c r="N12" s="11"/>
      <c r="O12" s="11"/>
      <c r="P12" s="12">
        <f t="shared" si="3"/>
        <v>0</v>
      </c>
      <c r="Q12" s="28">
        <f t="shared" si="4"/>
        <v>0</v>
      </c>
      <c r="R12" s="9"/>
      <c r="S12" s="9"/>
      <c r="T12" s="9"/>
      <c r="U12" s="9"/>
      <c r="V12" s="9"/>
      <c r="W12" s="10">
        <f t="shared" si="5"/>
        <v>0</v>
      </c>
      <c r="X12" s="30">
        <f t="shared" si="6"/>
        <v>0</v>
      </c>
      <c r="Y12" s="32">
        <f t="shared" si="0"/>
        <v>0</v>
      </c>
    </row>
    <row r="13" spans="1:25" ht="27.6" hidden="1" x14ac:dyDescent="0.3">
      <c r="A13" s="24" t="s">
        <v>35</v>
      </c>
      <c r="B13" s="24" t="s">
        <v>36</v>
      </c>
      <c r="C13" s="24" t="s">
        <v>46</v>
      </c>
      <c r="D13" s="23"/>
      <c r="E13" s="20" t="s">
        <v>38</v>
      </c>
      <c r="F13" s="21" t="s">
        <v>39</v>
      </c>
      <c r="G13" s="22" t="s">
        <v>40</v>
      </c>
      <c r="H13" s="22">
        <v>1</v>
      </c>
      <c r="I13" s="3" t="s">
        <v>47</v>
      </c>
      <c r="J13" s="9">
        <v>500</v>
      </c>
      <c r="K13" s="9">
        <v>410</v>
      </c>
      <c r="L13" s="10">
        <f t="shared" si="1"/>
        <v>90</v>
      </c>
      <c r="M13" s="38">
        <f t="shared" si="2"/>
        <v>82</v>
      </c>
      <c r="N13" s="11">
        <v>15</v>
      </c>
      <c r="O13" s="11">
        <v>22</v>
      </c>
      <c r="P13" s="12">
        <f t="shared" si="3"/>
        <v>-7</v>
      </c>
      <c r="Q13" s="28">
        <f t="shared" si="4"/>
        <v>68.181818181818187</v>
      </c>
      <c r="R13" s="9">
        <v>9</v>
      </c>
      <c r="S13" s="9">
        <v>7</v>
      </c>
      <c r="T13" s="9">
        <v>10</v>
      </c>
      <c r="U13" s="9">
        <v>8</v>
      </c>
      <c r="V13" s="9">
        <v>10</v>
      </c>
      <c r="W13" s="10">
        <f t="shared" si="5"/>
        <v>44</v>
      </c>
      <c r="X13" s="30">
        <f t="shared" si="6"/>
        <v>88</v>
      </c>
      <c r="Y13" s="32">
        <f t="shared" si="0"/>
        <v>79.393939393939391</v>
      </c>
    </row>
    <row r="14" spans="1:25" ht="27.6" hidden="1" x14ac:dyDescent="0.3">
      <c r="A14" s="24" t="s">
        <v>35</v>
      </c>
      <c r="B14" s="24" t="s">
        <v>36</v>
      </c>
      <c r="C14" s="24" t="s">
        <v>48</v>
      </c>
      <c r="D14" s="23"/>
      <c r="E14" s="20"/>
      <c r="F14" s="21"/>
      <c r="G14" s="22"/>
      <c r="H14" s="22"/>
      <c r="I14" s="3" t="s">
        <v>49</v>
      </c>
      <c r="J14" s="9"/>
      <c r="K14" s="9"/>
      <c r="L14" s="10">
        <f t="shared" si="1"/>
        <v>0</v>
      </c>
      <c r="M14" s="38">
        <f t="shared" si="2"/>
        <v>0</v>
      </c>
      <c r="N14" s="11"/>
      <c r="O14" s="11"/>
      <c r="P14" s="12">
        <f t="shared" si="3"/>
        <v>0</v>
      </c>
      <c r="Q14" s="28">
        <f t="shared" si="4"/>
        <v>0</v>
      </c>
      <c r="R14" s="9"/>
      <c r="S14" s="9"/>
      <c r="T14" s="9"/>
      <c r="U14" s="9"/>
      <c r="V14" s="9"/>
      <c r="W14" s="10">
        <f t="shared" si="5"/>
        <v>0</v>
      </c>
      <c r="X14" s="30">
        <f t="shared" si="6"/>
        <v>0</v>
      </c>
      <c r="Y14" s="32">
        <f t="shared" si="0"/>
        <v>0</v>
      </c>
    </row>
    <row r="15" spans="1:25" ht="27.6" hidden="1" x14ac:dyDescent="0.3">
      <c r="A15" s="24" t="s">
        <v>35</v>
      </c>
      <c r="B15" s="24" t="s">
        <v>36</v>
      </c>
      <c r="C15" s="24" t="s">
        <v>50</v>
      </c>
      <c r="D15" s="23"/>
      <c r="E15" s="20"/>
      <c r="F15" s="21"/>
      <c r="G15" s="22"/>
      <c r="H15" s="22"/>
      <c r="I15" s="3" t="s">
        <v>51</v>
      </c>
      <c r="J15" s="9"/>
      <c r="K15" s="9"/>
      <c r="L15" s="10">
        <f t="shared" si="1"/>
        <v>0</v>
      </c>
      <c r="M15" s="38">
        <f t="shared" si="2"/>
        <v>0</v>
      </c>
      <c r="N15" s="11"/>
      <c r="O15" s="11"/>
      <c r="P15" s="12">
        <f t="shared" si="3"/>
        <v>0</v>
      </c>
      <c r="Q15" s="28">
        <f t="shared" si="4"/>
        <v>0</v>
      </c>
      <c r="R15" s="9"/>
      <c r="S15" s="9"/>
      <c r="T15" s="9"/>
      <c r="U15" s="9"/>
      <c r="V15" s="9"/>
      <c r="W15" s="10">
        <f t="shared" si="5"/>
        <v>0</v>
      </c>
      <c r="X15" s="30">
        <f t="shared" si="6"/>
        <v>0</v>
      </c>
      <c r="Y15" s="32">
        <f t="shared" si="0"/>
        <v>0</v>
      </c>
    </row>
    <row r="16" spans="1:25" ht="27.6" hidden="1" x14ac:dyDescent="0.3">
      <c r="A16" s="24" t="s">
        <v>35</v>
      </c>
      <c r="B16" s="24" t="s">
        <v>36</v>
      </c>
      <c r="C16" s="24" t="s">
        <v>37</v>
      </c>
      <c r="D16" s="23"/>
      <c r="E16" s="20"/>
      <c r="F16" s="21"/>
      <c r="G16" s="22"/>
      <c r="H16" s="22"/>
      <c r="I16" s="3" t="s">
        <v>52</v>
      </c>
      <c r="J16" s="9"/>
      <c r="K16" s="9"/>
      <c r="L16" s="10">
        <f t="shared" si="1"/>
        <v>0</v>
      </c>
      <c r="M16" s="38">
        <f t="shared" si="2"/>
        <v>0</v>
      </c>
      <c r="N16" s="11"/>
      <c r="O16" s="11"/>
      <c r="P16" s="12">
        <f t="shared" si="3"/>
        <v>0</v>
      </c>
      <c r="Q16" s="28">
        <f t="shared" si="4"/>
        <v>0</v>
      </c>
      <c r="R16" s="9"/>
      <c r="S16" s="9"/>
      <c r="T16" s="9"/>
      <c r="U16" s="9"/>
      <c r="V16" s="9"/>
      <c r="W16" s="10">
        <f t="shared" si="5"/>
        <v>0</v>
      </c>
      <c r="X16" s="30">
        <f t="shared" si="6"/>
        <v>0</v>
      </c>
      <c r="Y16" s="32">
        <f t="shared" si="0"/>
        <v>0</v>
      </c>
    </row>
    <row r="17" spans="1:25" ht="27.6" hidden="1" x14ac:dyDescent="0.3">
      <c r="A17" s="24" t="s">
        <v>35</v>
      </c>
      <c r="B17" s="24" t="s">
        <v>36</v>
      </c>
      <c r="C17" s="24" t="s">
        <v>42</v>
      </c>
      <c r="D17" s="23"/>
      <c r="E17" s="20"/>
      <c r="F17" s="21"/>
      <c r="G17" s="22"/>
      <c r="H17" s="22"/>
      <c r="I17" s="3" t="s">
        <v>53</v>
      </c>
      <c r="J17" s="9"/>
      <c r="K17" s="9"/>
      <c r="L17" s="10">
        <f t="shared" si="1"/>
        <v>0</v>
      </c>
      <c r="M17" s="38">
        <f t="shared" si="2"/>
        <v>0</v>
      </c>
      <c r="N17" s="11"/>
      <c r="O17" s="11"/>
      <c r="P17" s="12">
        <f t="shared" si="3"/>
        <v>0</v>
      </c>
      <c r="Q17" s="28">
        <f t="shared" si="4"/>
        <v>0</v>
      </c>
      <c r="R17" s="9"/>
      <c r="S17" s="9"/>
      <c r="T17" s="9"/>
      <c r="U17" s="9"/>
      <c r="V17" s="9"/>
      <c r="W17" s="10">
        <f t="shared" si="5"/>
        <v>0</v>
      </c>
      <c r="X17" s="30">
        <f t="shared" si="6"/>
        <v>0</v>
      </c>
      <c r="Y17" s="32">
        <f t="shared" si="0"/>
        <v>0</v>
      </c>
    </row>
    <row r="18" spans="1:25" ht="27.6" hidden="1" x14ac:dyDescent="0.3">
      <c r="A18" s="24" t="s">
        <v>35</v>
      </c>
      <c r="B18" s="24" t="s">
        <v>36</v>
      </c>
      <c r="C18" s="24" t="s">
        <v>44</v>
      </c>
      <c r="D18" s="23"/>
      <c r="E18" s="20"/>
      <c r="F18" s="21"/>
      <c r="G18" s="22"/>
      <c r="H18" s="22"/>
      <c r="I18" s="3" t="s">
        <v>54</v>
      </c>
      <c r="J18" s="9"/>
      <c r="K18" s="9"/>
      <c r="L18" s="10">
        <f t="shared" si="1"/>
        <v>0</v>
      </c>
      <c r="M18" s="38">
        <f t="shared" si="2"/>
        <v>0</v>
      </c>
      <c r="N18" s="11"/>
      <c r="O18" s="11"/>
      <c r="P18" s="12">
        <f t="shared" si="3"/>
        <v>0</v>
      </c>
      <c r="Q18" s="28">
        <f t="shared" si="4"/>
        <v>0</v>
      </c>
      <c r="R18" s="9"/>
      <c r="S18" s="9"/>
      <c r="T18" s="9"/>
      <c r="U18" s="9"/>
      <c r="V18" s="9"/>
      <c r="W18" s="10">
        <f t="shared" si="5"/>
        <v>0</v>
      </c>
      <c r="X18" s="30">
        <f t="shared" si="6"/>
        <v>0</v>
      </c>
      <c r="Y18" s="32">
        <f t="shared" si="0"/>
        <v>0</v>
      </c>
    </row>
    <row r="19" spans="1:25" ht="27.6" hidden="1" x14ac:dyDescent="0.3">
      <c r="A19" s="24" t="s">
        <v>35</v>
      </c>
      <c r="B19" s="24" t="s">
        <v>36</v>
      </c>
      <c r="C19" s="24" t="s">
        <v>46</v>
      </c>
      <c r="D19" s="23"/>
      <c r="E19" s="20"/>
      <c r="F19" s="21"/>
      <c r="G19" s="22"/>
      <c r="H19" s="22"/>
      <c r="I19" s="3" t="s">
        <v>55</v>
      </c>
      <c r="J19" s="9"/>
      <c r="K19" s="9"/>
      <c r="L19" s="10">
        <f t="shared" si="1"/>
        <v>0</v>
      </c>
      <c r="M19" s="38">
        <f t="shared" si="2"/>
        <v>0</v>
      </c>
      <c r="N19" s="11"/>
      <c r="O19" s="11"/>
      <c r="P19" s="12">
        <f t="shared" si="3"/>
        <v>0</v>
      </c>
      <c r="Q19" s="28">
        <f t="shared" si="4"/>
        <v>0</v>
      </c>
      <c r="R19" s="9"/>
      <c r="S19" s="9"/>
      <c r="T19" s="9"/>
      <c r="U19" s="9"/>
      <c r="V19" s="9"/>
      <c r="W19" s="10">
        <f t="shared" si="5"/>
        <v>0</v>
      </c>
      <c r="X19" s="30">
        <f t="shared" si="6"/>
        <v>0</v>
      </c>
      <c r="Y19" s="32">
        <f t="shared" si="0"/>
        <v>0</v>
      </c>
    </row>
    <row r="20" spans="1:25" ht="27.6" hidden="1" x14ac:dyDescent="0.3">
      <c r="A20" s="24" t="s">
        <v>35</v>
      </c>
      <c r="B20" s="24" t="s">
        <v>36</v>
      </c>
      <c r="C20" s="24" t="s">
        <v>48</v>
      </c>
      <c r="D20" s="23"/>
      <c r="E20" s="20"/>
      <c r="F20" s="21"/>
      <c r="G20" s="22"/>
      <c r="H20" s="22"/>
      <c r="I20" s="3" t="s">
        <v>56</v>
      </c>
      <c r="J20" s="9"/>
      <c r="K20" s="9"/>
      <c r="L20" s="10">
        <f t="shared" si="1"/>
        <v>0</v>
      </c>
      <c r="M20" s="38">
        <f t="shared" si="2"/>
        <v>0</v>
      </c>
      <c r="N20" s="11"/>
      <c r="O20" s="11"/>
      <c r="P20" s="12">
        <f t="shared" si="3"/>
        <v>0</v>
      </c>
      <c r="Q20" s="28">
        <f t="shared" si="4"/>
        <v>0</v>
      </c>
      <c r="R20" s="9"/>
      <c r="S20" s="9"/>
      <c r="T20" s="9"/>
      <c r="U20" s="9"/>
      <c r="V20" s="9"/>
      <c r="W20" s="10">
        <f t="shared" si="5"/>
        <v>0</v>
      </c>
      <c r="X20" s="30">
        <f t="shared" si="6"/>
        <v>0</v>
      </c>
      <c r="Y20" s="32">
        <f t="shared" si="0"/>
        <v>0</v>
      </c>
    </row>
    <row r="21" spans="1:25" ht="27.6" hidden="1" x14ac:dyDescent="0.3">
      <c r="A21" s="24" t="s">
        <v>35</v>
      </c>
      <c r="B21" s="24" t="s">
        <v>36</v>
      </c>
      <c r="C21" s="24" t="s">
        <v>50</v>
      </c>
      <c r="D21" s="23"/>
      <c r="E21" s="20"/>
      <c r="F21" s="21"/>
      <c r="G21" s="22"/>
      <c r="H21" s="22"/>
      <c r="I21" s="3" t="s">
        <v>57</v>
      </c>
      <c r="J21" s="9"/>
      <c r="K21" s="9"/>
      <c r="L21" s="10">
        <f t="shared" si="1"/>
        <v>0</v>
      </c>
      <c r="M21" s="38">
        <f t="shared" si="2"/>
        <v>0</v>
      </c>
      <c r="N21" s="11"/>
      <c r="O21" s="11"/>
      <c r="P21" s="12">
        <f t="shared" si="3"/>
        <v>0</v>
      </c>
      <c r="Q21" s="28">
        <f t="shared" si="4"/>
        <v>0</v>
      </c>
      <c r="R21" s="9"/>
      <c r="S21" s="9"/>
      <c r="T21" s="9"/>
      <c r="U21" s="9"/>
      <c r="V21" s="9"/>
      <c r="W21" s="10">
        <f t="shared" si="5"/>
        <v>0</v>
      </c>
      <c r="X21" s="30">
        <f t="shared" si="6"/>
        <v>0</v>
      </c>
      <c r="Y21" s="32">
        <f t="shared" si="0"/>
        <v>0</v>
      </c>
    </row>
    <row r="22" spans="1:25" ht="27.6" hidden="1" x14ac:dyDescent="0.3">
      <c r="A22" s="24" t="s">
        <v>35</v>
      </c>
      <c r="B22" s="24" t="s">
        <v>36</v>
      </c>
      <c r="C22" s="24" t="s">
        <v>37</v>
      </c>
      <c r="D22" s="23"/>
      <c r="E22" s="20"/>
      <c r="F22" s="21"/>
      <c r="G22" s="22"/>
      <c r="H22" s="22"/>
      <c r="I22" s="3" t="s">
        <v>58</v>
      </c>
      <c r="J22" s="9"/>
      <c r="K22" s="9"/>
      <c r="L22" s="10">
        <f t="shared" si="1"/>
        <v>0</v>
      </c>
      <c r="M22" s="38">
        <f t="shared" si="2"/>
        <v>0</v>
      </c>
      <c r="N22" s="11"/>
      <c r="O22" s="11"/>
      <c r="P22" s="12">
        <f t="shared" si="3"/>
        <v>0</v>
      </c>
      <c r="Q22" s="28">
        <f t="shared" si="4"/>
        <v>0</v>
      </c>
      <c r="R22" s="9"/>
      <c r="S22" s="9"/>
      <c r="T22" s="9"/>
      <c r="U22" s="9"/>
      <c r="V22" s="9"/>
      <c r="W22" s="10">
        <f t="shared" si="5"/>
        <v>0</v>
      </c>
      <c r="X22" s="30">
        <f t="shared" si="6"/>
        <v>0</v>
      </c>
      <c r="Y22" s="32">
        <f t="shared" si="0"/>
        <v>0</v>
      </c>
    </row>
    <row r="23" spans="1:25" ht="27.6" hidden="1" x14ac:dyDescent="0.3">
      <c r="A23" s="24" t="s">
        <v>35</v>
      </c>
      <c r="B23" s="24" t="s">
        <v>36</v>
      </c>
      <c r="C23" s="24" t="s">
        <v>42</v>
      </c>
      <c r="D23" s="23"/>
      <c r="E23" s="20"/>
      <c r="F23" s="21"/>
      <c r="G23" s="22"/>
      <c r="H23" s="22"/>
      <c r="I23" s="3" t="s">
        <v>59</v>
      </c>
      <c r="J23" s="9"/>
      <c r="K23" s="9"/>
      <c r="L23" s="10">
        <f t="shared" si="1"/>
        <v>0</v>
      </c>
      <c r="M23" s="38">
        <f t="shared" si="2"/>
        <v>0</v>
      </c>
      <c r="N23" s="11"/>
      <c r="O23" s="11"/>
      <c r="P23" s="12">
        <f t="shared" si="3"/>
        <v>0</v>
      </c>
      <c r="Q23" s="28">
        <f t="shared" si="4"/>
        <v>0</v>
      </c>
      <c r="R23" s="9"/>
      <c r="S23" s="9"/>
      <c r="T23" s="9"/>
      <c r="U23" s="9"/>
      <c r="V23" s="9"/>
      <c r="W23" s="10">
        <f t="shared" si="5"/>
        <v>0</v>
      </c>
      <c r="X23" s="30">
        <f t="shared" si="6"/>
        <v>0</v>
      </c>
      <c r="Y23" s="32">
        <f t="shared" si="0"/>
        <v>0</v>
      </c>
    </row>
    <row r="24" spans="1:25" ht="27.6" hidden="1" x14ac:dyDescent="0.3">
      <c r="A24" s="24" t="s">
        <v>35</v>
      </c>
      <c r="B24" s="24" t="s">
        <v>36</v>
      </c>
      <c r="C24" s="24" t="s">
        <v>44</v>
      </c>
      <c r="D24" s="23"/>
      <c r="E24" s="20"/>
      <c r="F24" s="21"/>
      <c r="G24" s="22"/>
      <c r="H24" s="22"/>
      <c r="I24" s="3" t="s">
        <v>60</v>
      </c>
      <c r="J24" s="9"/>
      <c r="K24" s="9"/>
      <c r="L24" s="10">
        <f t="shared" si="1"/>
        <v>0</v>
      </c>
      <c r="M24" s="38">
        <f t="shared" si="2"/>
        <v>0</v>
      </c>
      <c r="N24" s="11"/>
      <c r="O24" s="11"/>
      <c r="P24" s="12">
        <f t="shared" si="3"/>
        <v>0</v>
      </c>
      <c r="Q24" s="28">
        <f t="shared" si="4"/>
        <v>0</v>
      </c>
      <c r="R24" s="9"/>
      <c r="S24" s="9"/>
      <c r="T24" s="9"/>
      <c r="U24" s="9"/>
      <c r="V24" s="9"/>
      <c r="W24" s="10">
        <f t="shared" si="5"/>
        <v>0</v>
      </c>
      <c r="X24" s="30">
        <f t="shared" si="6"/>
        <v>0</v>
      </c>
      <c r="Y24" s="32">
        <f t="shared" si="0"/>
        <v>0</v>
      </c>
    </row>
    <row r="25" spans="1:25" ht="27.6" hidden="1" x14ac:dyDescent="0.3">
      <c r="A25" s="24" t="s">
        <v>35</v>
      </c>
      <c r="B25" s="24"/>
      <c r="C25" s="24" t="s">
        <v>37</v>
      </c>
      <c r="D25" s="23"/>
      <c r="E25" s="20"/>
      <c r="F25" s="21"/>
      <c r="G25" s="22"/>
      <c r="H25" s="22"/>
      <c r="I25" s="3" t="s">
        <v>61</v>
      </c>
      <c r="J25" s="9"/>
      <c r="K25" s="9"/>
      <c r="L25" s="10">
        <f t="shared" si="1"/>
        <v>0</v>
      </c>
      <c r="M25" s="38">
        <f t="shared" si="2"/>
        <v>0</v>
      </c>
      <c r="N25" s="11"/>
      <c r="O25" s="11"/>
      <c r="P25" s="12">
        <f t="shared" si="3"/>
        <v>0</v>
      </c>
      <c r="Q25" s="28">
        <f t="shared" si="4"/>
        <v>0</v>
      </c>
      <c r="R25" s="9"/>
      <c r="S25" s="9"/>
      <c r="T25" s="9"/>
      <c r="U25" s="9"/>
      <c r="V25" s="9"/>
      <c r="W25" s="10">
        <f t="shared" si="5"/>
        <v>0</v>
      </c>
      <c r="X25" s="30">
        <f t="shared" si="6"/>
        <v>0</v>
      </c>
      <c r="Y25" s="32">
        <f t="shared" si="0"/>
        <v>0</v>
      </c>
    </row>
    <row r="26" spans="1:25" ht="27.6" hidden="1" x14ac:dyDescent="0.3">
      <c r="A26" s="24" t="s">
        <v>35</v>
      </c>
      <c r="B26" s="24"/>
      <c r="C26" s="24" t="s">
        <v>42</v>
      </c>
      <c r="D26" s="23"/>
      <c r="E26" s="20"/>
      <c r="F26" s="21"/>
      <c r="G26" s="22"/>
      <c r="H26" s="22"/>
      <c r="I26" s="3" t="s">
        <v>62</v>
      </c>
      <c r="J26" s="9"/>
      <c r="K26" s="9"/>
      <c r="L26" s="10">
        <f t="shared" si="1"/>
        <v>0</v>
      </c>
      <c r="M26" s="38">
        <f t="shared" si="2"/>
        <v>0</v>
      </c>
      <c r="N26" s="11"/>
      <c r="O26" s="11"/>
      <c r="P26" s="12">
        <f t="shared" si="3"/>
        <v>0</v>
      </c>
      <c r="Q26" s="28">
        <f t="shared" si="4"/>
        <v>0</v>
      </c>
      <c r="R26" s="9"/>
      <c r="S26" s="9"/>
      <c r="T26" s="9"/>
      <c r="U26" s="9"/>
      <c r="V26" s="9"/>
      <c r="W26" s="10">
        <f t="shared" si="5"/>
        <v>0</v>
      </c>
      <c r="X26" s="30">
        <f t="shared" si="6"/>
        <v>0</v>
      </c>
      <c r="Y26" s="32">
        <f t="shared" si="0"/>
        <v>0</v>
      </c>
    </row>
    <row r="27" spans="1:25" ht="27.6" hidden="1" x14ac:dyDescent="0.3">
      <c r="A27" s="24" t="s">
        <v>35</v>
      </c>
      <c r="B27" s="24"/>
      <c r="C27" s="24" t="s">
        <v>44</v>
      </c>
      <c r="D27" s="23"/>
      <c r="E27" s="20"/>
      <c r="F27" s="21"/>
      <c r="G27" s="22"/>
      <c r="H27" s="22"/>
      <c r="I27" s="3" t="s">
        <v>63</v>
      </c>
      <c r="J27" s="9"/>
      <c r="K27" s="9"/>
      <c r="L27" s="10">
        <f t="shared" si="1"/>
        <v>0</v>
      </c>
      <c r="M27" s="38">
        <f t="shared" si="2"/>
        <v>0</v>
      </c>
      <c r="N27" s="11"/>
      <c r="O27" s="11"/>
      <c r="P27" s="12">
        <f t="shared" si="3"/>
        <v>0</v>
      </c>
      <c r="Q27" s="28">
        <f t="shared" si="4"/>
        <v>0</v>
      </c>
      <c r="R27" s="9"/>
      <c r="S27" s="9"/>
      <c r="T27" s="9"/>
      <c r="U27" s="9"/>
      <c r="V27" s="9"/>
      <c r="W27" s="10">
        <f t="shared" si="5"/>
        <v>0</v>
      </c>
      <c r="X27" s="30">
        <f t="shared" si="6"/>
        <v>0</v>
      </c>
      <c r="Y27" s="32">
        <f t="shared" si="0"/>
        <v>0</v>
      </c>
    </row>
    <row r="28" spans="1:25" ht="41.4" hidden="1" x14ac:dyDescent="0.3">
      <c r="A28" s="24" t="s">
        <v>64</v>
      </c>
      <c r="B28" s="24"/>
      <c r="C28" s="24" t="s">
        <v>65</v>
      </c>
      <c r="D28" s="23"/>
      <c r="E28" s="20"/>
      <c r="F28" s="21"/>
      <c r="G28" s="22"/>
      <c r="H28" s="22"/>
      <c r="I28" s="3" t="s">
        <v>66</v>
      </c>
      <c r="J28" s="9"/>
      <c r="K28" s="9"/>
      <c r="L28" s="10">
        <f t="shared" si="1"/>
        <v>0</v>
      </c>
      <c r="M28" s="38">
        <f t="shared" si="2"/>
        <v>0</v>
      </c>
      <c r="N28" s="11"/>
      <c r="O28" s="11"/>
      <c r="P28" s="12">
        <f t="shared" si="3"/>
        <v>0</v>
      </c>
      <c r="Q28" s="28">
        <f t="shared" si="4"/>
        <v>0</v>
      </c>
      <c r="R28" s="9"/>
      <c r="S28" s="9"/>
      <c r="T28" s="9"/>
      <c r="U28" s="9"/>
      <c r="V28" s="9"/>
      <c r="W28" s="10">
        <f t="shared" si="5"/>
        <v>0</v>
      </c>
      <c r="X28" s="30">
        <f t="shared" si="6"/>
        <v>0</v>
      </c>
      <c r="Y28" s="32">
        <f t="shared" si="0"/>
        <v>0</v>
      </c>
    </row>
    <row r="29" spans="1:25" ht="27.6" hidden="1" x14ac:dyDescent="0.3">
      <c r="A29" s="24" t="s">
        <v>35</v>
      </c>
      <c r="B29" s="24"/>
      <c r="C29" s="24" t="s">
        <v>37</v>
      </c>
      <c r="D29" s="23"/>
      <c r="E29" s="20"/>
      <c r="F29" s="21"/>
      <c r="G29" s="22"/>
      <c r="H29" s="22"/>
      <c r="I29" s="3" t="s">
        <v>67</v>
      </c>
      <c r="J29" s="9"/>
      <c r="K29" s="9"/>
      <c r="L29" s="10">
        <f t="shared" si="1"/>
        <v>0</v>
      </c>
      <c r="M29" s="38">
        <f t="shared" si="2"/>
        <v>0</v>
      </c>
      <c r="N29" s="11"/>
      <c r="O29" s="11"/>
      <c r="P29" s="12">
        <f t="shared" si="3"/>
        <v>0</v>
      </c>
      <c r="Q29" s="28">
        <f t="shared" si="4"/>
        <v>0</v>
      </c>
      <c r="R29" s="9"/>
      <c r="S29" s="9"/>
      <c r="T29" s="9"/>
      <c r="U29" s="9"/>
      <c r="V29" s="9"/>
      <c r="W29" s="10">
        <f t="shared" si="5"/>
        <v>0</v>
      </c>
      <c r="X29" s="30">
        <f t="shared" si="6"/>
        <v>0</v>
      </c>
      <c r="Y29" s="32">
        <f t="shared" si="0"/>
        <v>0</v>
      </c>
    </row>
    <row r="30" spans="1:25" ht="27.6" hidden="1" x14ac:dyDescent="0.3">
      <c r="A30" s="24" t="s">
        <v>64</v>
      </c>
      <c r="B30" s="24"/>
      <c r="C30" s="24" t="s">
        <v>65</v>
      </c>
      <c r="D30" s="23"/>
      <c r="E30" s="20"/>
      <c r="F30" s="21"/>
      <c r="G30" s="22"/>
      <c r="H30" s="22"/>
      <c r="I30" s="3" t="s">
        <v>68</v>
      </c>
      <c r="J30" s="9"/>
      <c r="K30" s="9"/>
      <c r="L30" s="10">
        <f t="shared" si="1"/>
        <v>0</v>
      </c>
      <c r="M30" s="38">
        <f t="shared" si="2"/>
        <v>0</v>
      </c>
      <c r="N30" s="11"/>
      <c r="O30" s="11"/>
      <c r="P30" s="12">
        <f t="shared" si="3"/>
        <v>0</v>
      </c>
      <c r="Q30" s="28">
        <f t="shared" si="4"/>
        <v>0</v>
      </c>
      <c r="R30" s="9"/>
      <c r="S30" s="9"/>
      <c r="T30" s="9"/>
      <c r="U30" s="9"/>
      <c r="V30" s="9"/>
      <c r="W30" s="10">
        <f t="shared" si="5"/>
        <v>0</v>
      </c>
      <c r="X30" s="30">
        <f t="shared" si="6"/>
        <v>0</v>
      </c>
      <c r="Y30" s="32">
        <f t="shared" si="0"/>
        <v>0</v>
      </c>
    </row>
    <row r="31" spans="1:25" ht="27.6" hidden="1" x14ac:dyDescent="0.3">
      <c r="A31" s="24" t="s">
        <v>35</v>
      </c>
      <c r="B31" s="24"/>
      <c r="C31" s="24" t="s">
        <v>42</v>
      </c>
      <c r="D31" s="23"/>
      <c r="E31" s="20"/>
      <c r="F31" s="21"/>
      <c r="G31" s="22"/>
      <c r="H31" s="22"/>
      <c r="I31" s="3" t="s">
        <v>69</v>
      </c>
      <c r="J31" s="9"/>
      <c r="K31" s="9"/>
      <c r="L31" s="10">
        <f t="shared" si="1"/>
        <v>0</v>
      </c>
      <c r="M31" s="38">
        <f t="shared" si="2"/>
        <v>0</v>
      </c>
      <c r="N31" s="11"/>
      <c r="O31" s="11"/>
      <c r="P31" s="12">
        <f t="shared" si="3"/>
        <v>0</v>
      </c>
      <c r="Q31" s="28">
        <f t="shared" si="4"/>
        <v>0</v>
      </c>
      <c r="R31" s="9"/>
      <c r="S31" s="9"/>
      <c r="T31" s="9"/>
      <c r="U31" s="9"/>
      <c r="V31" s="9"/>
      <c r="W31" s="10">
        <f t="shared" si="5"/>
        <v>0</v>
      </c>
      <c r="X31" s="30">
        <f t="shared" si="6"/>
        <v>0</v>
      </c>
      <c r="Y31" s="32">
        <f t="shared" si="0"/>
        <v>0</v>
      </c>
    </row>
    <row r="32" spans="1:25" ht="27.6" hidden="1" x14ac:dyDescent="0.3">
      <c r="A32" s="24" t="s">
        <v>35</v>
      </c>
      <c r="B32" s="24"/>
      <c r="C32" s="24" t="s">
        <v>44</v>
      </c>
      <c r="D32" s="23"/>
      <c r="E32" s="20"/>
      <c r="F32" s="21"/>
      <c r="G32" s="22"/>
      <c r="H32" s="22"/>
      <c r="I32" s="3" t="s">
        <v>70</v>
      </c>
      <c r="J32" s="9"/>
      <c r="K32" s="9"/>
      <c r="L32" s="10">
        <f t="shared" si="1"/>
        <v>0</v>
      </c>
      <c r="M32" s="38">
        <f t="shared" si="2"/>
        <v>0</v>
      </c>
      <c r="N32" s="11"/>
      <c r="O32" s="11"/>
      <c r="P32" s="12">
        <f t="shared" si="3"/>
        <v>0</v>
      </c>
      <c r="Q32" s="28">
        <f t="shared" si="4"/>
        <v>0</v>
      </c>
      <c r="R32" s="9"/>
      <c r="S32" s="9"/>
      <c r="T32" s="9"/>
      <c r="U32" s="9"/>
      <c r="V32" s="9"/>
      <c r="W32" s="10">
        <f t="shared" si="5"/>
        <v>0</v>
      </c>
      <c r="X32" s="30">
        <f t="shared" si="6"/>
        <v>0</v>
      </c>
      <c r="Y32" s="32">
        <f t="shared" si="0"/>
        <v>0</v>
      </c>
    </row>
    <row r="33" spans="1:25" ht="27.6" hidden="1" x14ac:dyDescent="0.3">
      <c r="A33" s="24" t="s">
        <v>35</v>
      </c>
      <c r="B33" s="24"/>
      <c r="C33" s="24" t="s">
        <v>37</v>
      </c>
      <c r="D33" s="23"/>
      <c r="E33" s="20"/>
      <c r="F33" s="21"/>
      <c r="G33" s="22"/>
      <c r="H33" s="22"/>
      <c r="I33" s="3" t="s">
        <v>71</v>
      </c>
      <c r="J33" s="9"/>
      <c r="K33" s="9"/>
      <c r="L33" s="10">
        <f t="shared" si="1"/>
        <v>0</v>
      </c>
      <c r="M33" s="38">
        <f t="shared" si="2"/>
        <v>0</v>
      </c>
      <c r="N33" s="11"/>
      <c r="O33" s="11"/>
      <c r="P33" s="12">
        <f t="shared" si="3"/>
        <v>0</v>
      </c>
      <c r="Q33" s="28">
        <f t="shared" si="4"/>
        <v>0</v>
      </c>
      <c r="R33" s="9"/>
      <c r="S33" s="9"/>
      <c r="T33" s="9"/>
      <c r="U33" s="9"/>
      <c r="V33" s="9"/>
      <c r="W33" s="10">
        <f t="shared" si="5"/>
        <v>0</v>
      </c>
      <c r="X33" s="30">
        <f t="shared" si="6"/>
        <v>0</v>
      </c>
      <c r="Y33" s="32">
        <f t="shared" si="0"/>
        <v>0</v>
      </c>
    </row>
    <row r="34" spans="1:25" ht="27.6" hidden="1" x14ac:dyDescent="0.3">
      <c r="A34" s="24" t="s">
        <v>35</v>
      </c>
      <c r="B34" s="24"/>
      <c r="C34" s="24" t="s">
        <v>42</v>
      </c>
      <c r="D34" s="23"/>
      <c r="E34" s="20"/>
      <c r="F34" s="21"/>
      <c r="G34" s="22"/>
      <c r="H34" s="22"/>
      <c r="I34" s="3" t="s">
        <v>72</v>
      </c>
      <c r="J34" s="9"/>
      <c r="K34" s="9"/>
      <c r="L34" s="10">
        <f t="shared" si="1"/>
        <v>0</v>
      </c>
      <c r="M34" s="38">
        <f t="shared" si="2"/>
        <v>0</v>
      </c>
      <c r="N34" s="11"/>
      <c r="O34" s="11"/>
      <c r="P34" s="12">
        <f t="shared" si="3"/>
        <v>0</v>
      </c>
      <c r="Q34" s="28">
        <f t="shared" si="4"/>
        <v>0</v>
      </c>
      <c r="R34" s="9"/>
      <c r="S34" s="9"/>
      <c r="T34" s="9"/>
      <c r="U34" s="9"/>
      <c r="V34" s="9"/>
      <c r="W34" s="10">
        <f t="shared" si="5"/>
        <v>0</v>
      </c>
      <c r="X34" s="30">
        <f t="shared" si="6"/>
        <v>0</v>
      </c>
      <c r="Y34" s="32">
        <f t="shared" si="0"/>
        <v>0</v>
      </c>
    </row>
    <row r="35" spans="1:25" ht="27.6" hidden="1" x14ac:dyDescent="0.3">
      <c r="A35" s="24" t="s">
        <v>35</v>
      </c>
      <c r="B35" s="24"/>
      <c r="C35" s="24" t="s">
        <v>44</v>
      </c>
      <c r="D35" s="23"/>
      <c r="E35" s="20"/>
      <c r="F35" s="21"/>
      <c r="G35" s="22"/>
      <c r="H35" s="22"/>
      <c r="I35" s="3" t="s">
        <v>73</v>
      </c>
      <c r="J35" s="9"/>
      <c r="K35" s="9"/>
      <c r="L35" s="10">
        <f t="shared" si="1"/>
        <v>0</v>
      </c>
      <c r="M35" s="38">
        <f t="shared" si="2"/>
        <v>0</v>
      </c>
      <c r="N35" s="11"/>
      <c r="O35" s="11"/>
      <c r="P35" s="12">
        <f t="shared" si="3"/>
        <v>0</v>
      </c>
      <c r="Q35" s="28">
        <f t="shared" si="4"/>
        <v>0</v>
      </c>
      <c r="R35" s="9"/>
      <c r="S35" s="9"/>
      <c r="T35" s="9"/>
      <c r="U35" s="9"/>
      <c r="V35" s="9"/>
      <c r="W35" s="10">
        <f t="shared" si="5"/>
        <v>0</v>
      </c>
      <c r="X35" s="30">
        <f t="shared" si="6"/>
        <v>0</v>
      </c>
      <c r="Y35" s="32">
        <f t="shared" si="0"/>
        <v>0</v>
      </c>
    </row>
    <row r="36" spans="1:25" ht="27.6" hidden="1" x14ac:dyDescent="0.3">
      <c r="A36" s="24" t="s">
        <v>64</v>
      </c>
      <c r="B36" s="24"/>
      <c r="C36" s="24" t="s">
        <v>65</v>
      </c>
      <c r="D36" s="23"/>
      <c r="E36" s="20"/>
      <c r="F36" s="21"/>
      <c r="G36" s="22"/>
      <c r="H36" s="22"/>
      <c r="I36" s="3" t="s">
        <v>74</v>
      </c>
      <c r="J36" s="9"/>
      <c r="K36" s="9"/>
      <c r="L36" s="10">
        <f t="shared" si="1"/>
        <v>0</v>
      </c>
      <c r="M36" s="38">
        <f t="shared" si="2"/>
        <v>0</v>
      </c>
      <c r="N36" s="11"/>
      <c r="O36" s="11"/>
      <c r="P36" s="12">
        <f t="shared" si="3"/>
        <v>0</v>
      </c>
      <c r="Q36" s="28">
        <f t="shared" si="4"/>
        <v>0</v>
      </c>
      <c r="R36" s="9"/>
      <c r="S36" s="9"/>
      <c r="T36" s="9"/>
      <c r="U36" s="9"/>
      <c r="V36" s="9"/>
      <c r="W36" s="10">
        <f t="shared" si="5"/>
        <v>0</v>
      </c>
      <c r="X36" s="30">
        <f t="shared" si="6"/>
        <v>0</v>
      </c>
      <c r="Y36" s="32">
        <f t="shared" si="0"/>
        <v>0</v>
      </c>
    </row>
    <row r="37" spans="1:25" ht="27.6" hidden="1" x14ac:dyDescent="0.3">
      <c r="A37" s="24" t="s">
        <v>35</v>
      </c>
      <c r="B37" s="24"/>
      <c r="C37" s="24" t="s">
        <v>46</v>
      </c>
      <c r="D37" s="23"/>
      <c r="E37" s="20"/>
      <c r="F37" s="21"/>
      <c r="G37" s="23"/>
      <c r="H37" s="23"/>
      <c r="I37" s="3" t="s">
        <v>75</v>
      </c>
      <c r="J37" s="9">
        <v>4</v>
      </c>
      <c r="K37" s="9">
        <v>4</v>
      </c>
      <c r="L37" s="10">
        <f t="shared" si="1"/>
        <v>0</v>
      </c>
      <c r="M37" s="38">
        <f t="shared" si="2"/>
        <v>100</v>
      </c>
      <c r="N37" s="11">
        <v>5</v>
      </c>
      <c r="O37" s="11">
        <v>5</v>
      </c>
      <c r="P37" s="12">
        <f t="shared" si="3"/>
        <v>0</v>
      </c>
      <c r="Q37" s="28">
        <f t="shared" si="4"/>
        <v>100</v>
      </c>
      <c r="R37" s="9">
        <v>8</v>
      </c>
      <c r="S37" s="9">
        <v>6</v>
      </c>
      <c r="T37" s="9">
        <v>6</v>
      </c>
      <c r="U37" s="9">
        <v>8</v>
      </c>
      <c r="V37" s="9">
        <v>8</v>
      </c>
      <c r="W37" s="10">
        <f t="shared" si="5"/>
        <v>36</v>
      </c>
      <c r="X37" s="30">
        <f t="shared" si="6"/>
        <v>72</v>
      </c>
      <c r="Y37" s="32">
        <f t="shared" si="0"/>
        <v>90.666666666666671</v>
      </c>
    </row>
    <row r="38" spans="1:25" ht="27.6" hidden="1" x14ac:dyDescent="0.3">
      <c r="A38" s="24" t="s">
        <v>64</v>
      </c>
      <c r="B38" s="24" t="s">
        <v>35</v>
      </c>
      <c r="C38" s="24" t="s">
        <v>46</v>
      </c>
      <c r="D38" s="23"/>
      <c r="E38" s="20"/>
      <c r="F38" s="21"/>
      <c r="G38" s="23"/>
      <c r="H38" s="23"/>
      <c r="I38" s="3" t="s">
        <v>76</v>
      </c>
      <c r="J38" s="9"/>
      <c r="K38" s="9"/>
      <c r="L38" s="10">
        <f t="shared" si="1"/>
        <v>0</v>
      </c>
      <c r="M38" s="38">
        <f t="shared" si="2"/>
        <v>0</v>
      </c>
      <c r="N38" s="11"/>
      <c r="O38" s="11"/>
      <c r="P38" s="12">
        <f t="shared" si="3"/>
        <v>0</v>
      </c>
      <c r="Q38" s="28">
        <f t="shared" si="4"/>
        <v>0</v>
      </c>
      <c r="R38" s="9"/>
      <c r="S38" s="9"/>
      <c r="T38" s="9"/>
      <c r="U38" s="9"/>
      <c r="V38" s="9"/>
      <c r="W38" s="10">
        <f t="shared" si="5"/>
        <v>0</v>
      </c>
      <c r="X38" s="30">
        <f t="shared" si="6"/>
        <v>0</v>
      </c>
      <c r="Y38" s="32">
        <f t="shared" si="0"/>
        <v>0</v>
      </c>
    </row>
    <row r="39" spans="1:25" ht="27.6" hidden="1" x14ac:dyDescent="0.3">
      <c r="A39" s="24" t="s">
        <v>35</v>
      </c>
      <c r="B39" s="24"/>
      <c r="C39" s="24" t="s">
        <v>48</v>
      </c>
      <c r="D39" s="23"/>
      <c r="E39" s="20"/>
      <c r="F39" s="21"/>
      <c r="G39" s="23"/>
      <c r="H39" s="23"/>
      <c r="I39" s="3" t="s">
        <v>77</v>
      </c>
      <c r="J39" s="9"/>
      <c r="K39" s="9"/>
      <c r="L39" s="10">
        <f t="shared" si="1"/>
        <v>0</v>
      </c>
      <c r="M39" s="38">
        <f t="shared" si="2"/>
        <v>0</v>
      </c>
      <c r="N39" s="11"/>
      <c r="O39" s="11"/>
      <c r="P39" s="12">
        <f t="shared" si="3"/>
        <v>0</v>
      </c>
      <c r="Q39" s="28">
        <f t="shared" si="4"/>
        <v>0</v>
      </c>
      <c r="R39" s="9"/>
      <c r="S39" s="9"/>
      <c r="T39" s="9"/>
      <c r="U39" s="9"/>
      <c r="V39" s="9"/>
      <c r="W39" s="10">
        <f t="shared" si="5"/>
        <v>0</v>
      </c>
      <c r="X39" s="30">
        <f t="shared" si="6"/>
        <v>0</v>
      </c>
      <c r="Y39" s="32">
        <f t="shared" si="0"/>
        <v>0</v>
      </c>
    </row>
    <row r="40" spans="1:25" ht="27.6" hidden="1" x14ac:dyDescent="0.3">
      <c r="A40" s="24" t="s">
        <v>35</v>
      </c>
      <c r="B40" s="24"/>
      <c r="C40" s="24" t="s">
        <v>50</v>
      </c>
      <c r="D40" s="23"/>
      <c r="E40" s="20"/>
      <c r="F40" s="21"/>
      <c r="G40" s="23"/>
      <c r="H40" s="23"/>
      <c r="I40" s="3" t="s">
        <v>78</v>
      </c>
      <c r="J40" s="9"/>
      <c r="K40" s="9"/>
      <c r="L40" s="10">
        <f t="shared" si="1"/>
        <v>0</v>
      </c>
      <c r="M40" s="38">
        <f t="shared" si="2"/>
        <v>0</v>
      </c>
      <c r="N40" s="11"/>
      <c r="O40" s="11"/>
      <c r="P40" s="12">
        <f t="shared" si="3"/>
        <v>0</v>
      </c>
      <c r="Q40" s="28">
        <f t="shared" si="4"/>
        <v>0</v>
      </c>
      <c r="R40" s="9"/>
      <c r="S40" s="9"/>
      <c r="T40" s="9"/>
      <c r="U40" s="9"/>
      <c r="V40" s="9"/>
      <c r="W40" s="10">
        <f t="shared" si="5"/>
        <v>0</v>
      </c>
      <c r="X40" s="30">
        <f t="shared" si="6"/>
        <v>0</v>
      </c>
      <c r="Y40" s="32">
        <f t="shared" si="0"/>
        <v>0</v>
      </c>
    </row>
    <row r="41" spans="1:25" ht="27.6" hidden="1" x14ac:dyDescent="0.3">
      <c r="A41" s="24" t="s">
        <v>35</v>
      </c>
      <c r="B41" s="24" t="s">
        <v>79</v>
      </c>
      <c r="C41" s="24" t="s">
        <v>37</v>
      </c>
      <c r="D41" s="23"/>
      <c r="E41" s="20"/>
      <c r="F41" s="21"/>
      <c r="G41" s="23"/>
      <c r="H41" s="23"/>
      <c r="I41" s="3" t="s">
        <v>80</v>
      </c>
      <c r="J41" s="9"/>
      <c r="K41" s="9"/>
      <c r="L41" s="10">
        <f t="shared" si="1"/>
        <v>0</v>
      </c>
      <c r="M41" s="38">
        <f t="shared" si="2"/>
        <v>0</v>
      </c>
      <c r="N41" s="11"/>
      <c r="O41" s="11"/>
      <c r="P41" s="12">
        <f t="shared" si="3"/>
        <v>0</v>
      </c>
      <c r="Q41" s="28">
        <f t="shared" si="4"/>
        <v>0</v>
      </c>
      <c r="R41" s="9"/>
      <c r="S41" s="9"/>
      <c r="T41" s="9"/>
      <c r="U41" s="9"/>
      <c r="V41" s="9"/>
      <c r="W41" s="10">
        <f t="shared" si="5"/>
        <v>0</v>
      </c>
      <c r="X41" s="30">
        <f t="shared" si="6"/>
        <v>0</v>
      </c>
      <c r="Y41" s="32">
        <f t="shared" si="0"/>
        <v>0</v>
      </c>
    </row>
    <row r="42" spans="1:25" ht="27.6" hidden="1" x14ac:dyDescent="0.3">
      <c r="A42" s="24" t="s">
        <v>64</v>
      </c>
      <c r="B42" s="24"/>
      <c r="C42" s="24" t="s">
        <v>65</v>
      </c>
      <c r="D42" s="23"/>
      <c r="E42" s="20"/>
      <c r="F42" s="21"/>
      <c r="G42" s="23"/>
      <c r="H42" s="23"/>
      <c r="I42" s="3" t="s">
        <v>81</v>
      </c>
      <c r="J42" s="9"/>
      <c r="K42" s="9"/>
      <c r="L42" s="10">
        <f t="shared" si="1"/>
        <v>0</v>
      </c>
      <c r="M42" s="38">
        <f t="shared" si="2"/>
        <v>0</v>
      </c>
      <c r="N42" s="11"/>
      <c r="O42" s="11"/>
      <c r="P42" s="12">
        <f t="shared" si="3"/>
        <v>0</v>
      </c>
      <c r="Q42" s="28">
        <f t="shared" si="4"/>
        <v>0</v>
      </c>
      <c r="R42" s="9"/>
      <c r="S42" s="9"/>
      <c r="T42" s="9"/>
      <c r="U42" s="9"/>
      <c r="V42" s="9"/>
      <c r="W42" s="10">
        <f t="shared" si="5"/>
        <v>0</v>
      </c>
      <c r="X42" s="30">
        <f t="shared" si="6"/>
        <v>0</v>
      </c>
      <c r="Y42" s="32">
        <f t="shared" si="0"/>
        <v>0</v>
      </c>
    </row>
    <row r="43" spans="1:25" ht="27.6" hidden="1" x14ac:dyDescent="0.3">
      <c r="A43" s="24" t="s">
        <v>35</v>
      </c>
      <c r="B43" s="24" t="s">
        <v>79</v>
      </c>
      <c r="C43" s="24" t="s">
        <v>42</v>
      </c>
      <c r="D43" s="23"/>
      <c r="E43" s="20"/>
      <c r="F43" s="21"/>
      <c r="G43" s="23"/>
      <c r="H43" s="23"/>
      <c r="I43" s="3" t="s">
        <v>82</v>
      </c>
      <c r="J43" s="9"/>
      <c r="K43" s="9"/>
      <c r="L43" s="10">
        <f t="shared" si="1"/>
        <v>0</v>
      </c>
      <c r="M43" s="38">
        <f t="shared" si="2"/>
        <v>0</v>
      </c>
      <c r="N43" s="11"/>
      <c r="O43" s="11"/>
      <c r="P43" s="12">
        <f t="shared" si="3"/>
        <v>0</v>
      </c>
      <c r="Q43" s="28">
        <f t="shared" si="4"/>
        <v>0</v>
      </c>
      <c r="R43" s="9"/>
      <c r="S43" s="9"/>
      <c r="T43" s="9"/>
      <c r="U43" s="9"/>
      <c r="V43" s="9"/>
      <c r="W43" s="10">
        <f t="shared" si="5"/>
        <v>0</v>
      </c>
      <c r="X43" s="30">
        <f t="shared" si="6"/>
        <v>0</v>
      </c>
      <c r="Y43" s="32">
        <f t="shared" si="0"/>
        <v>0</v>
      </c>
    </row>
    <row r="44" spans="1:25" ht="27.6" hidden="1" x14ac:dyDescent="0.3">
      <c r="A44" s="24" t="s">
        <v>35</v>
      </c>
      <c r="B44" s="24" t="s">
        <v>79</v>
      </c>
      <c r="C44" s="24" t="s">
        <v>44</v>
      </c>
      <c r="D44" s="23"/>
      <c r="E44" s="20"/>
      <c r="F44" s="21"/>
      <c r="G44" s="23"/>
      <c r="H44" s="23"/>
      <c r="I44" s="3" t="s">
        <v>83</v>
      </c>
      <c r="J44" s="9"/>
      <c r="K44" s="9"/>
      <c r="L44" s="10">
        <f t="shared" si="1"/>
        <v>0</v>
      </c>
      <c r="M44" s="38">
        <f t="shared" si="2"/>
        <v>0</v>
      </c>
      <c r="N44" s="11"/>
      <c r="O44" s="11"/>
      <c r="P44" s="12">
        <f t="shared" si="3"/>
        <v>0</v>
      </c>
      <c r="Q44" s="28">
        <f t="shared" si="4"/>
        <v>0</v>
      </c>
      <c r="R44" s="9"/>
      <c r="S44" s="9"/>
      <c r="T44" s="9"/>
      <c r="U44" s="9"/>
      <c r="V44" s="9"/>
      <c r="W44" s="10">
        <f t="shared" si="5"/>
        <v>0</v>
      </c>
      <c r="X44" s="30">
        <f t="shared" si="6"/>
        <v>0</v>
      </c>
      <c r="Y44" s="32">
        <f t="shared" si="0"/>
        <v>0</v>
      </c>
    </row>
    <row r="45" spans="1:25" ht="27.6" hidden="1" x14ac:dyDescent="0.3">
      <c r="A45" s="24" t="s">
        <v>84</v>
      </c>
      <c r="B45" s="24" t="s">
        <v>35</v>
      </c>
      <c r="C45" s="24" t="s">
        <v>85</v>
      </c>
      <c r="D45" s="23"/>
      <c r="E45" s="20"/>
      <c r="F45" s="21"/>
      <c r="G45" s="23"/>
      <c r="H45" s="23"/>
      <c r="I45" s="3" t="s">
        <v>86</v>
      </c>
      <c r="J45" s="9"/>
      <c r="K45" s="9"/>
      <c r="L45" s="10">
        <f t="shared" si="1"/>
        <v>0</v>
      </c>
      <c r="M45" s="38">
        <f t="shared" si="2"/>
        <v>0</v>
      </c>
      <c r="N45" s="11"/>
      <c r="O45" s="11"/>
      <c r="P45" s="12">
        <f t="shared" si="3"/>
        <v>0</v>
      </c>
      <c r="Q45" s="28">
        <f t="shared" si="4"/>
        <v>0</v>
      </c>
      <c r="R45" s="9"/>
      <c r="S45" s="9"/>
      <c r="T45" s="9"/>
      <c r="U45" s="9"/>
      <c r="V45" s="9"/>
      <c r="W45" s="10">
        <f t="shared" si="5"/>
        <v>0</v>
      </c>
      <c r="X45" s="30">
        <f t="shared" si="6"/>
        <v>0</v>
      </c>
      <c r="Y45" s="32">
        <f t="shared" si="0"/>
        <v>0</v>
      </c>
    </row>
    <row r="46" spans="1:25" ht="27.6" hidden="1" x14ac:dyDescent="0.3">
      <c r="A46" s="24" t="s">
        <v>79</v>
      </c>
      <c r="B46" s="24" t="s">
        <v>35</v>
      </c>
      <c r="C46" s="24" t="s">
        <v>46</v>
      </c>
      <c r="D46" s="23"/>
      <c r="E46" s="20"/>
      <c r="F46" s="21"/>
      <c r="G46" s="23"/>
      <c r="H46" s="23"/>
      <c r="I46" s="3" t="s">
        <v>87</v>
      </c>
      <c r="J46" s="9"/>
      <c r="K46" s="9"/>
      <c r="L46" s="10">
        <f t="shared" si="1"/>
        <v>0</v>
      </c>
      <c r="M46" s="38">
        <f t="shared" si="2"/>
        <v>0</v>
      </c>
      <c r="N46" s="11"/>
      <c r="O46" s="11"/>
      <c r="P46" s="12">
        <f t="shared" si="3"/>
        <v>0</v>
      </c>
      <c r="Q46" s="28">
        <f t="shared" si="4"/>
        <v>0</v>
      </c>
      <c r="R46" s="9"/>
      <c r="S46" s="9"/>
      <c r="T46" s="9"/>
      <c r="U46" s="9"/>
      <c r="V46" s="9"/>
      <c r="W46" s="10">
        <f t="shared" si="5"/>
        <v>0</v>
      </c>
      <c r="X46" s="30">
        <f t="shared" si="6"/>
        <v>0</v>
      </c>
      <c r="Y46" s="32">
        <f t="shared" si="0"/>
        <v>0</v>
      </c>
    </row>
    <row r="47" spans="1:25" ht="27.6" hidden="1" x14ac:dyDescent="0.3">
      <c r="A47" s="24" t="s">
        <v>79</v>
      </c>
      <c r="B47" s="24" t="s">
        <v>35</v>
      </c>
      <c r="C47" s="24" t="s">
        <v>48</v>
      </c>
      <c r="D47" s="23"/>
      <c r="E47" s="20"/>
      <c r="F47" s="21"/>
      <c r="G47" s="23"/>
      <c r="H47" s="23"/>
      <c r="I47" s="3" t="s">
        <v>88</v>
      </c>
      <c r="J47" s="9"/>
      <c r="K47" s="9"/>
      <c r="L47" s="10">
        <f t="shared" si="1"/>
        <v>0</v>
      </c>
      <c r="M47" s="38">
        <f t="shared" si="2"/>
        <v>0</v>
      </c>
      <c r="N47" s="11"/>
      <c r="O47" s="11"/>
      <c r="P47" s="12">
        <f t="shared" si="3"/>
        <v>0</v>
      </c>
      <c r="Q47" s="28">
        <f t="shared" si="4"/>
        <v>0</v>
      </c>
      <c r="R47" s="9"/>
      <c r="S47" s="9"/>
      <c r="T47" s="9"/>
      <c r="U47" s="9"/>
      <c r="V47" s="9"/>
      <c r="W47" s="10">
        <f t="shared" si="5"/>
        <v>0</v>
      </c>
      <c r="X47" s="30">
        <f t="shared" si="6"/>
        <v>0</v>
      </c>
      <c r="Y47" s="32">
        <f t="shared" si="0"/>
        <v>0</v>
      </c>
    </row>
    <row r="48" spans="1:25" ht="27.6" hidden="1" x14ac:dyDescent="0.3">
      <c r="A48" s="24" t="s">
        <v>79</v>
      </c>
      <c r="B48" s="24" t="s">
        <v>35</v>
      </c>
      <c r="C48" s="24" t="s">
        <v>50</v>
      </c>
      <c r="D48" s="23"/>
      <c r="E48" s="20"/>
      <c r="F48" s="21"/>
      <c r="G48" s="23"/>
      <c r="H48" s="23"/>
      <c r="I48" s="3" t="s">
        <v>89</v>
      </c>
      <c r="J48" s="9"/>
      <c r="K48" s="9"/>
      <c r="L48" s="10">
        <f t="shared" si="1"/>
        <v>0</v>
      </c>
      <c r="M48" s="38">
        <f t="shared" si="2"/>
        <v>0</v>
      </c>
      <c r="N48" s="11"/>
      <c r="O48" s="11"/>
      <c r="P48" s="12">
        <f t="shared" si="3"/>
        <v>0</v>
      </c>
      <c r="Q48" s="28">
        <f t="shared" si="4"/>
        <v>0</v>
      </c>
      <c r="R48" s="9"/>
      <c r="S48" s="9"/>
      <c r="T48" s="9"/>
      <c r="U48" s="9"/>
      <c r="V48" s="9"/>
      <c r="W48" s="10">
        <f t="shared" si="5"/>
        <v>0</v>
      </c>
      <c r="X48" s="30">
        <f t="shared" si="6"/>
        <v>0</v>
      </c>
      <c r="Y48" s="32">
        <f t="shared" si="0"/>
        <v>0</v>
      </c>
    </row>
    <row r="49" spans="1:25" ht="27.6" hidden="1" x14ac:dyDescent="0.3">
      <c r="A49" s="24" t="s">
        <v>35</v>
      </c>
      <c r="B49" s="24"/>
      <c r="C49" s="24" t="s">
        <v>37</v>
      </c>
      <c r="D49" s="23"/>
      <c r="E49" s="20"/>
      <c r="F49" s="21"/>
      <c r="G49" s="23"/>
      <c r="H49" s="23"/>
      <c r="I49" s="3" t="s">
        <v>90</v>
      </c>
      <c r="J49" s="9">
        <v>60</v>
      </c>
      <c r="K49" s="9">
        <v>55</v>
      </c>
      <c r="L49" s="10">
        <f t="shared" si="1"/>
        <v>5</v>
      </c>
      <c r="M49" s="38">
        <f t="shared" si="2"/>
        <v>91.666666666666671</v>
      </c>
      <c r="N49" s="11">
        <v>5</v>
      </c>
      <c r="O49" s="11">
        <v>7</v>
      </c>
      <c r="P49" s="12">
        <f t="shared" si="3"/>
        <v>-2</v>
      </c>
      <c r="Q49" s="28">
        <f t="shared" si="4"/>
        <v>71.428571428571431</v>
      </c>
      <c r="R49" s="9">
        <v>7</v>
      </c>
      <c r="S49" s="9">
        <v>4</v>
      </c>
      <c r="T49" s="9">
        <v>2</v>
      </c>
      <c r="U49" s="9">
        <v>6</v>
      </c>
      <c r="V49" s="9">
        <v>5</v>
      </c>
      <c r="W49" s="10">
        <f t="shared" si="5"/>
        <v>24</v>
      </c>
      <c r="X49" s="30">
        <f t="shared" si="6"/>
        <v>48</v>
      </c>
      <c r="Y49" s="32">
        <f t="shared" si="0"/>
        <v>70.365079365079367</v>
      </c>
    </row>
    <row r="50" spans="1:25" ht="27.6" hidden="1" x14ac:dyDescent="0.3">
      <c r="A50" s="24" t="s">
        <v>64</v>
      </c>
      <c r="B50" s="24"/>
      <c r="C50" s="24" t="s">
        <v>65</v>
      </c>
      <c r="D50" s="23"/>
      <c r="E50" s="20"/>
      <c r="F50" s="21"/>
      <c r="G50" s="23"/>
      <c r="H50" s="23"/>
      <c r="I50" s="3" t="s">
        <v>91</v>
      </c>
      <c r="J50" s="9"/>
      <c r="K50" s="9"/>
      <c r="L50" s="10">
        <f t="shared" si="1"/>
        <v>0</v>
      </c>
      <c r="M50" s="38">
        <f t="shared" si="2"/>
        <v>0</v>
      </c>
      <c r="N50" s="11"/>
      <c r="O50" s="11"/>
      <c r="P50" s="12">
        <f t="shared" si="3"/>
        <v>0</v>
      </c>
      <c r="Q50" s="28">
        <f t="shared" si="4"/>
        <v>0</v>
      </c>
      <c r="R50" s="9"/>
      <c r="S50" s="9"/>
      <c r="T50" s="9"/>
      <c r="U50" s="9"/>
      <c r="V50" s="9"/>
      <c r="W50" s="10">
        <f t="shared" si="5"/>
        <v>0</v>
      </c>
      <c r="X50" s="30">
        <f t="shared" si="6"/>
        <v>0</v>
      </c>
      <c r="Y50" s="32">
        <f t="shared" si="0"/>
        <v>0</v>
      </c>
    </row>
    <row r="51" spans="1:25" ht="27.6" hidden="1" x14ac:dyDescent="0.3">
      <c r="A51" s="24" t="s">
        <v>35</v>
      </c>
      <c r="B51" s="24"/>
      <c r="C51" s="24" t="s">
        <v>42</v>
      </c>
      <c r="D51" s="23"/>
      <c r="E51" s="20"/>
      <c r="F51" s="21"/>
      <c r="G51" s="23"/>
      <c r="H51" s="23"/>
      <c r="I51" s="3" t="s">
        <v>92</v>
      </c>
      <c r="J51" s="9"/>
      <c r="K51" s="9"/>
      <c r="L51" s="10">
        <f t="shared" si="1"/>
        <v>0</v>
      </c>
      <c r="M51" s="38">
        <f t="shared" si="2"/>
        <v>0</v>
      </c>
      <c r="N51" s="11"/>
      <c r="O51" s="11"/>
      <c r="P51" s="12">
        <f t="shared" si="3"/>
        <v>0</v>
      </c>
      <c r="Q51" s="28">
        <f t="shared" si="4"/>
        <v>0</v>
      </c>
      <c r="R51" s="9"/>
      <c r="S51" s="9"/>
      <c r="T51" s="9"/>
      <c r="U51" s="9"/>
      <c r="V51" s="9"/>
      <c r="W51" s="10">
        <f t="shared" si="5"/>
        <v>0</v>
      </c>
      <c r="X51" s="30">
        <f t="shared" si="6"/>
        <v>0</v>
      </c>
      <c r="Y51" s="32">
        <f t="shared" si="0"/>
        <v>0</v>
      </c>
    </row>
    <row r="52" spans="1:25" ht="27.6" hidden="1" x14ac:dyDescent="0.3">
      <c r="A52" s="24" t="s">
        <v>35</v>
      </c>
      <c r="B52" s="24"/>
      <c r="C52" s="24" t="s">
        <v>44</v>
      </c>
      <c r="D52" s="23"/>
      <c r="E52" s="20"/>
      <c r="F52" s="21"/>
      <c r="G52" s="23"/>
      <c r="H52" s="23"/>
      <c r="I52" s="3" t="s">
        <v>93</v>
      </c>
      <c r="J52" s="9"/>
      <c r="K52" s="9"/>
      <c r="L52" s="10">
        <f t="shared" si="1"/>
        <v>0</v>
      </c>
      <c r="M52" s="38">
        <f t="shared" si="2"/>
        <v>0</v>
      </c>
      <c r="N52" s="11"/>
      <c r="O52" s="11"/>
      <c r="P52" s="12">
        <f t="shared" si="3"/>
        <v>0</v>
      </c>
      <c r="Q52" s="28">
        <f t="shared" si="4"/>
        <v>0</v>
      </c>
      <c r="R52" s="9"/>
      <c r="S52" s="9"/>
      <c r="T52" s="9"/>
      <c r="U52" s="9"/>
      <c r="V52" s="9"/>
      <c r="W52" s="10">
        <f t="shared" si="5"/>
        <v>0</v>
      </c>
      <c r="X52" s="30">
        <f t="shared" si="6"/>
        <v>0</v>
      </c>
      <c r="Y52" s="32">
        <f t="shared" si="0"/>
        <v>0</v>
      </c>
    </row>
    <row r="53" spans="1:25" ht="27.6" hidden="1" x14ac:dyDescent="0.3">
      <c r="A53" s="24" t="s">
        <v>64</v>
      </c>
      <c r="B53" s="24"/>
      <c r="C53" s="24" t="s">
        <v>65</v>
      </c>
      <c r="D53" s="23"/>
      <c r="E53" s="20"/>
      <c r="F53" s="21"/>
      <c r="G53" s="23"/>
      <c r="H53" s="23"/>
      <c r="I53" s="3" t="s">
        <v>94</v>
      </c>
      <c r="J53" s="9"/>
      <c r="K53" s="9"/>
      <c r="L53" s="10">
        <f t="shared" si="1"/>
        <v>0</v>
      </c>
      <c r="M53" s="38">
        <f t="shared" si="2"/>
        <v>0</v>
      </c>
      <c r="N53" s="11"/>
      <c r="O53" s="11"/>
      <c r="P53" s="12">
        <f t="shared" si="3"/>
        <v>0</v>
      </c>
      <c r="Q53" s="28">
        <f t="shared" si="4"/>
        <v>0</v>
      </c>
      <c r="R53" s="9"/>
      <c r="S53" s="9"/>
      <c r="T53" s="9"/>
      <c r="U53" s="9"/>
      <c r="V53" s="9"/>
      <c r="W53" s="10">
        <f t="shared" si="5"/>
        <v>0</v>
      </c>
      <c r="X53" s="30">
        <f t="shared" si="6"/>
        <v>0</v>
      </c>
      <c r="Y53" s="32">
        <f t="shared" si="0"/>
        <v>0</v>
      </c>
    </row>
    <row r="54" spans="1:25" ht="41.4" hidden="1" x14ac:dyDescent="0.3">
      <c r="A54" s="24" t="s">
        <v>64</v>
      </c>
      <c r="B54" s="24"/>
      <c r="C54" s="24" t="s">
        <v>95</v>
      </c>
      <c r="D54" s="23"/>
      <c r="E54" s="20"/>
      <c r="F54" s="21"/>
      <c r="G54" s="23"/>
      <c r="H54" s="23"/>
      <c r="I54" s="3" t="s">
        <v>96</v>
      </c>
      <c r="J54" s="9"/>
      <c r="K54" s="9"/>
      <c r="L54" s="10">
        <f t="shared" si="1"/>
        <v>0</v>
      </c>
      <c r="M54" s="38">
        <f t="shared" si="2"/>
        <v>0</v>
      </c>
      <c r="N54" s="11"/>
      <c r="O54" s="11"/>
      <c r="P54" s="12">
        <f t="shared" si="3"/>
        <v>0</v>
      </c>
      <c r="Q54" s="28">
        <f t="shared" si="4"/>
        <v>0</v>
      </c>
      <c r="R54" s="9"/>
      <c r="S54" s="9"/>
      <c r="T54" s="9"/>
      <c r="U54" s="9"/>
      <c r="V54" s="9"/>
      <c r="W54" s="10">
        <f t="shared" si="5"/>
        <v>0</v>
      </c>
      <c r="X54" s="30">
        <f t="shared" si="6"/>
        <v>0</v>
      </c>
      <c r="Y54" s="32">
        <f t="shared" si="0"/>
        <v>0</v>
      </c>
    </row>
    <row r="55" spans="1:25" ht="41.4" hidden="1" x14ac:dyDescent="0.3">
      <c r="A55" s="24" t="s">
        <v>64</v>
      </c>
      <c r="B55" s="24" t="s">
        <v>35</v>
      </c>
      <c r="C55" s="24" t="s">
        <v>37</v>
      </c>
      <c r="D55" s="23"/>
      <c r="E55" s="20"/>
      <c r="F55" s="21"/>
      <c r="G55" s="23"/>
      <c r="H55" s="23"/>
      <c r="I55" s="3" t="s">
        <v>97</v>
      </c>
      <c r="J55" s="9"/>
      <c r="K55" s="9"/>
      <c r="L55" s="10">
        <f t="shared" si="1"/>
        <v>0</v>
      </c>
      <c r="M55" s="38">
        <f t="shared" si="2"/>
        <v>0</v>
      </c>
      <c r="N55" s="11"/>
      <c r="O55" s="11"/>
      <c r="P55" s="12">
        <f t="shared" si="3"/>
        <v>0</v>
      </c>
      <c r="Q55" s="28">
        <f t="shared" si="4"/>
        <v>0</v>
      </c>
      <c r="R55" s="9"/>
      <c r="S55" s="9"/>
      <c r="T55" s="9"/>
      <c r="U55" s="9"/>
      <c r="V55" s="9"/>
      <c r="W55" s="10">
        <f t="shared" si="5"/>
        <v>0</v>
      </c>
      <c r="X55" s="30">
        <f t="shared" si="6"/>
        <v>0</v>
      </c>
      <c r="Y55" s="32">
        <f t="shared" si="0"/>
        <v>0</v>
      </c>
    </row>
    <row r="56" spans="1:25" ht="41.4" hidden="1" x14ac:dyDescent="0.3">
      <c r="A56" s="24" t="s">
        <v>64</v>
      </c>
      <c r="B56" s="24" t="s">
        <v>35</v>
      </c>
      <c r="C56" s="24" t="s">
        <v>42</v>
      </c>
      <c r="D56" s="23"/>
      <c r="E56" s="20"/>
      <c r="F56" s="21"/>
      <c r="G56" s="23"/>
      <c r="H56" s="23"/>
      <c r="I56" s="3" t="s">
        <v>98</v>
      </c>
      <c r="J56" s="9"/>
      <c r="K56" s="9"/>
      <c r="L56" s="10">
        <f t="shared" si="1"/>
        <v>0</v>
      </c>
      <c r="M56" s="38">
        <f t="shared" si="2"/>
        <v>0</v>
      </c>
      <c r="N56" s="11"/>
      <c r="O56" s="11"/>
      <c r="P56" s="12">
        <f t="shared" si="3"/>
        <v>0</v>
      </c>
      <c r="Q56" s="28">
        <f t="shared" si="4"/>
        <v>0</v>
      </c>
      <c r="R56" s="9"/>
      <c r="S56" s="9"/>
      <c r="T56" s="9"/>
      <c r="U56" s="9"/>
      <c r="V56" s="9"/>
      <c r="W56" s="10">
        <f t="shared" si="5"/>
        <v>0</v>
      </c>
      <c r="X56" s="30">
        <f t="shared" si="6"/>
        <v>0</v>
      </c>
      <c r="Y56" s="32">
        <f t="shared" si="0"/>
        <v>0</v>
      </c>
    </row>
    <row r="57" spans="1:25" ht="41.4" hidden="1" x14ac:dyDescent="0.3">
      <c r="A57" s="24" t="s">
        <v>64</v>
      </c>
      <c r="B57" s="24" t="s">
        <v>35</v>
      </c>
      <c r="C57" s="24" t="s">
        <v>44</v>
      </c>
      <c r="D57" s="23"/>
      <c r="E57" s="20"/>
      <c r="F57" s="21"/>
      <c r="G57" s="23"/>
      <c r="H57" s="23"/>
      <c r="I57" s="3" t="s">
        <v>99</v>
      </c>
      <c r="J57" s="9"/>
      <c r="K57" s="9"/>
      <c r="L57" s="10">
        <f t="shared" si="1"/>
        <v>0</v>
      </c>
      <c r="M57" s="38">
        <f t="shared" si="2"/>
        <v>0</v>
      </c>
      <c r="N57" s="11"/>
      <c r="O57" s="11"/>
      <c r="P57" s="12">
        <f t="shared" si="3"/>
        <v>0</v>
      </c>
      <c r="Q57" s="28">
        <f t="shared" si="4"/>
        <v>0</v>
      </c>
      <c r="R57" s="9"/>
      <c r="S57" s="9"/>
      <c r="T57" s="9"/>
      <c r="U57" s="9"/>
      <c r="V57" s="9"/>
      <c r="W57" s="10">
        <f t="shared" si="5"/>
        <v>0</v>
      </c>
      <c r="X57" s="30">
        <f t="shared" si="6"/>
        <v>0</v>
      </c>
      <c r="Y57" s="32">
        <f t="shared" si="0"/>
        <v>0</v>
      </c>
    </row>
    <row r="58" spans="1:25" ht="27.6" hidden="1" x14ac:dyDescent="0.3">
      <c r="A58" s="24" t="s">
        <v>64</v>
      </c>
      <c r="B58" s="24"/>
      <c r="C58" s="24" t="s">
        <v>65</v>
      </c>
      <c r="D58" s="23"/>
      <c r="E58" s="20"/>
      <c r="F58" s="21"/>
      <c r="G58" s="23"/>
      <c r="H58" s="23"/>
      <c r="I58" s="3" t="s">
        <v>100</v>
      </c>
      <c r="J58" s="9"/>
      <c r="K58" s="9"/>
      <c r="L58" s="10">
        <f t="shared" si="1"/>
        <v>0</v>
      </c>
      <c r="M58" s="38">
        <f t="shared" si="2"/>
        <v>0</v>
      </c>
      <c r="N58" s="11"/>
      <c r="O58" s="11"/>
      <c r="P58" s="12">
        <f t="shared" si="3"/>
        <v>0</v>
      </c>
      <c r="Q58" s="28">
        <f t="shared" si="4"/>
        <v>0</v>
      </c>
      <c r="R58" s="9"/>
      <c r="S58" s="9"/>
      <c r="T58" s="9"/>
      <c r="U58" s="9"/>
      <c r="V58" s="9"/>
      <c r="W58" s="10">
        <f t="shared" si="5"/>
        <v>0</v>
      </c>
      <c r="X58" s="30">
        <f t="shared" si="6"/>
        <v>0</v>
      </c>
      <c r="Y58" s="32">
        <f t="shared" si="0"/>
        <v>0</v>
      </c>
    </row>
    <row r="59" spans="1:25" ht="27.6" hidden="1" x14ac:dyDescent="0.3">
      <c r="A59" s="24" t="s">
        <v>64</v>
      </c>
      <c r="B59" s="24" t="s">
        <v>36</v>
      </c>
      <c r="C59" s="24" t="s">
        <v>101</v>
      </c>
      <c r="D59" s="23"/>
      <c r="E59" s="20"/>
      <c r="F59" s="21"/>
      <c r="G59" s="23"/>
      <c r="H59" s="23"/>
      <c r="I59" s="3" t="s">
        <v>102</v>
      </c>
      <c r="J59" s="9"/>
      <c r="K59" s="9"/>
      <c r="L59" s="10">
        <f t="shared" si="1"/>
        <v>0</v>
      </c>
      <c r="M59" s="38">
        <f t="shared" si="2"/>
        <v>0</v>
      </c>
      <c r="N59" s="11"/>
      <c r="O59" s="11"/>
      <c r="P59" s="12">
        <f t="shared" si="3"/>
        <v>0</v>
      </c>
      <c r="Q59" s="28">
        <f t="shared" si="4"/>
        <v>0</v>
      </c>
      <c r="R59" s="9"/>
      <c r="S59" s="9"/>
      <c r="T59" s="9"/>
      <c r="U59" s="9"/>
      <c r="V59" s="9"/>
      <c r="W59" s="10">
        <f t="shared" si="5"/>
        <v>0</v>
      </c>
      <c r="X59" s="30">
        <f t="shared" si="6"/>
        <v>0</v>
      </c>
      <c r="Y59" s="32">
        <f t="shared" si="0"/>
        <v>0</v>
      </c>
    </row>
    <row r="60" spans="1:25" ht="27.6" hidden="1" x14ac:dyDescent="0.3">
      <c r="A60" s="24" t="s">
        <v>64</v>
      </c>
      <c r="B60" s="24" t="s">
        <v>103</v>
      </c>
      <c r="C60" s="24" t="s">
        <v>104</v>
      </c>
      <c r="D60" s="23"/>
      <c r="E60" s="20"/>
      <c r="F60" s="21"/>
      <c r="G60" s="23"/>
      <c r="H60" s="23"/>
      <c r="I60" s="3" t="s">
        <v>102</v>
      </c>
      <c r="J60" s="9"/>
      <c r="K60" s="9"/>
      <c r="L60" s="10">
        <f t="shared" si="1"/>
        <v>0</v>
      </c>
      <c r="M60" s="38">
        <f t="shared" si="2"/>
        <v>0</v>
      </c>
      <c r="N60" s="11"/>
      <c r="O60" s="11"/>
      <c r="P60" s="12">
        <f t="shared" si="3"/>
        <v>0</v>
      </c>
      <c r="Q60" s="28">
        <f t="shared" si="4"/>
        <v>0</v>
      </c>
      <c r="R60" s="9"/>
      <c r="S60" s="9"/>
      <c r="T60" s="9"/>
      <c r="U60" s="9"/>
      <c r="V60" s="9"/>
      <c r="W60" s="10">
        <f t="shared" si="5"/>
        <v>0</v>
      </c>
      <c r="X60" s="30">
        <f t="shared" si="6"/>
        <v>0</v>
      </c>
      <c r="Y60" s="32">
        <f t="shared" si="0"/>
        <v>0</v>
      </c>
    </row>
    <row r="61" spans="1:25" ht="27.6" hidden="1" x14ac:dyDescent="0.3">
      <c r="A61" s="24" t="s">
        <v>64</v>
      </c>
      <c r="B61" s="24" t="s">
        <v>105</v>
      </c>
      <c r="C61" s="24" t="s">
        <v>106</v>
      </c>
      <c r="D61" s="23"/>
      <c r="E61" s="20"/>
      <c r="F61" s="21"/>
      <c r="G61" s="23"/>
      <c r="H61" s="23"/>
      <c r="I61" s="3" t="s">
        <v>102</v>
      </c>
      <c r="J61" s="9"/>
      <c r="K61" s="9"/>
      <c r="L61" s="10">
        <f t="shared" si="1"/>
        <v>0</v>
      </c>
      <c r="M61" s="38">
        <f t="shared" si="2"/>
        <v>0</v>
      </c>
      <c r="N61" s="11"/>
      <c r="O61" s="11"/>
      <c r="P61" s="12">
        <f t="shared" si="3"/>
        <v>0</v>
      </c>
      <c r="Q61" s="28">
        <f t="shared" si="4"/>
        <v>0</v>
      </c>
      <c r="R61" s="9"/>
      <c r="S61" s="9"/>
      <c r="T61" s="9"/>
      <c r="U61" s="9"/>
      <c r="V61" s="9"/>
      <c r="W61" s="10">
        <f t="shared" si="5"/>
        <v>0</v>
      </c>
      <c r="X61" s="30">
        <f t="shared" si="6"/>
        <v>0</v>
      </c>
      <c r="Y61" s="32">
        <f t="shared" si="0"/>
        <v>0</v>
      </c>
    </row>
    <row r="62" spans="1:25" ht="27.6" hidden="1" x14ac:dyDescent="0.3">
      <c r="A62" s="24" t="s">
        <v>35</v>
      </c>
      <c r="B62" s="24"/>
      <c r="C62" s="24" t="s">
        <v>46</v>
      </c>
      <c r="D62" s="23"/>
      <c r="E62" s="20"/>
      <c r="F62" s="21"/>
      <c r="G62" s="23"/>
      <c r="H62" s="23"/>
      <c r="I62" s="3" t="s">
        <v>107</v>
      </c>
      <c r="J62" s="9"/>
      <c r="K62" s="9"/>
      <c r="L62" s="10">
        <f t="shared" si="1"/>
        <v>0</v>
      </c>
      <c r="M62" s="38">
        <f t="shared" si="2"/>
        <v>0</v>
      </c>
      <c r="N62" s="11"/>
      <c r="O62" s="11"/>
      <c r="P62" s="12">
        <f t="shared" si="3"/>
        <v>0</v>
      </c>
      <c r="Q62" s="28">
        <f t="shared" si="4"/>
        <v>0</v>
      </c>
      <c r="R62" s="9"/>
      <c r="S62" s="9"/>
      <c r="T62" s="9"/>
      <c r="U62" s="9"/>
      <c r="V62" s="9"/>
      <c r="W62" s="10">
        <f t="shared" si="5"/>
        <v>0</v>
      </c>
      <c r="X62" s="30">
        <f t="shared" si="6"/>
        <v>0</v>
      </c>
      <c r="Y62" s="32">
        <f t="shared" si="0"/>
        <v>0</v>
      </c>
    </row>
    <row r="63" spans="1:25" ht="27.6" hidden="1" x14ac:dyDescent="0.3">
      <c r="A63" s="24" t="s">
        <v>35</v>
      </c>
      <c r="B63" s="24"/>
      <c r="C63" s="24" t="s">
        <v>48</v>
      </c>
      <c r="D63" s="23"/>
      <c r="E63" s="20"/>
      <c r="F63" s="21"/>
      <c r="G63" s="23"/>
      <c r="H63" s="23"/>
      <c r="I63" s="3" t="s">
        <v>108</v>
      </c>
      <c r="J63" s="9"/>
      <c r="K63" s="9"/>
      <c r="L63" s="10">
        <f t="shared" si="1"/>
        <v>0</v>
      </c>
      <c r="M63" s="38">
        <f t="shared" si="2"/>
        <v>0</v>
      </c>
      <c r="N63" s="11"/>
      <c r="O63" s="11"/>
      <c r="P63" s="12">
        <f t="shared" si="3"/>
        <v>0</v>
      </c>
      <c r="Q63" s="28">
        <f t="shared" si="4"/>
        <v>0</v>
      </c>
      <c r="R63" s="9"/>
      <c r="S63" s="9"/>
      <c r="T63" s="9"/>
      <c r="U63" s="9"/>
      <c r="V63" s="9"/>
      <c r="W63" s="10">
        <f t="shared" si="5"/>
        <v>0</v>
      </c>
      <c r="X63" s="30">
        <f t="shared" si="6"/>
        <v>0</v>
      </c>
      <c r="Y63" s="32">
        <f t="shared" si="0"/>
        <v>0</v>
      </c>
    </row>
    <row r="64" spans="1:25" ht="27.6" hidden="1" x14ac:dyDescent="0.3">
      <c r="A64" s="24" t="s">
        <v>35</v>
      </c>
      <c r="B64" s="24"/>
      <c r="C64" s="24" t="s">
        <v>50</v>
      </c>
      <c r="D64" s="23"/>
      <c r="E64" s="20"/>
      <c r="F64" s="21"/>
      <c r="G64" s="23"/>
      <c r="H64" s="23"/>
      <c r="I64" s="3" t="s">
        <v>109</v>
      </c>
      <c r="J64" s="9"/>
      <c r="K64" s="9"/>
      <c r="L64" s="10">
        <f t="shared" si="1"/>
        <v>0</v>
      </c>
      <c r="M64" s="38">
        <f t="shared" si="2"/>
        <v>0</v>
      </c>
      <c r="N64" s="11"/>
      <c r="O64" s="11"/>
      <c r="P64" s="12">
        <f t="shared" si="3"/>
        <v>0</v>
      </c>
      <c r="Q64" s="28">
        <f t="shared" si="4"/>
        <v>0</v>
      </c>
      <c r="R64" s="9"/>
      <c r="S64" s="9"/>
      <c r="T64" s="9"/>
      <c r="U64" s="9"/>
      <c r="V64" s="9"/>
      <c r="W64" s="10">
        <f t="shared" si="5"/>
        <v>0</v>
      </c>
      <c r="X64" s="30">
        <f t="shared" si="6"/>
        <v>0</v>
      </c>
      <c r="Y64" s="32">
        <f t="shared" si="0"/>
        <v>0</v>
      </c>
    </row>
    <row r="65" spans="1:25" ht="27.6" hidden="1" x14ac:dyDescent="0.3">
      <c r="A65" s="24" t="s">
        <v>35</v>
      </c>
      <c r="B65" s="24" t="s">
        <v>64</v>
      </c>
      <c r="C65" s="24" t="s">
        <v>37</v>
      </c>
      <c r="D65" s="23"/>
      <c r="E65" s="20"/>
      <c r="F65" s="21"/>
      <c r="G65" s="23"/>
      <c r="H65" s="23"/>
      <c r="I65" s="3" t="s">
        <v>110</v>
      </c>
      <c r="J65" s="9"/>
      <c r="K65" s="9"/>
      <c r="L65" s="10">
        <f t="shared" si="1"/>
        <v>0</v>
      </c>
      <c r="M65" s="38">
        <f t="shared" si="2"/>
        <v>0</v>
      </c>
      <c r="N65" s="11"/>
      <c r="O65" s="11"/>
      <c r="P65" s="12">
        <f t="shared" si="3"/>
        <v>0</v>
      </c>
      <c r="Q65" s="28">
        <f t="shared" si="4"/>
        <v>0</v>
      </c>
      <c r="R65" s="9"/>
      <c r="S65" s="9"/>
      <c r="T65" s="9"/>
      <c r="U65" s="9"/>
      <c r="V65" s="9"/>
      <c r="W65" s="10">
        <f t="shared" si="5"/>
        <v>0</v>
      </c>
      <c r="X65" s="30">
        <f t="shared" si="6"/>
        <v>0</v>
      </c>
      <c r="Y65" s="32">
        <f t="shared" si="0"/>
        <v>0</v>
      </c>
    </row>
    <row r="66" spans="1:25" ht="27.6" hidden="1" x14ac:dyDescent="0.3">
      <c r="A66" s="24" t="s">
        <v>35</v>
      </c>
      <c r="B66" s="24" t="s">
        <v>64</v>
      </c>
      <c r="C66" s="24" t="s">
        <v>42</v>
      </c>
      <c r="D66" s="23"/>
      <c r="E66" s="20"/>
      <c r="F66" s="21"/>
      <c r="G66" s="23"/>
      <c r="H66" s="23"/>
      <c r="I66" s="3" t="s">
        <v>111</v>
      </c>
      <c r="J66" s="9"/>
      <c r="K66" s="9"/>
      <c r="L66" s="10">
        <f t="shared" si="1"/>
        <v>0</v>
      </c>
      <c r="M66" s="38">
        <f t="shared" si="2"/>
        <v>0</v>
      </c>
      <c r="N66" s="11"/>
      <c r="O66" s="11"/>
      <c r="P66" s="12">
        <f t="shared" si="3"/>
        <v>0</v>
      </c>
      <c r="Q66" s="28">
        <f t="shared" si="4"/>
        <v>0</v>
      </c>
      <c r="R66" s="9"/>
      <c r="S66" s="9"/>
      <c r="T66" s="9"/>
      <c r="U66" s="9"/>
      <c r="V66" s="9"/>
      <c r="W66" s="10">
        <f t="shared" si="5"/>
        <v>0</v>
      </c>
      <c r="X66" s="30">
        <f t="shared" si="6"/>
        <v>0</v>
      </c>
      <c r="Y66" s="32">
        <f t="shared" si="0"/>
        <v>0</v>
      </c>
    </row>
    <row r="67" spans="1:25" ht="27.6" hidden="1" x14ac:dyDescent="0.3">
      <c r="A67" s="24" t="s">
        <v>35</v>
      </c>
      <c r="B67" s="24" t="s">
        <v>64</v>
      </c>
      <c r="C67" s="24" t="s">
        <v>44</v>
      </c>
      <c r="D67" s="23"/>
      <c r="E67" s="20"/>
      <c r="F67" s="21"/>
      <c r="G67" s="23"/>
      <c r="H67" s="23"/>
      <c r="I67" s="3" t="s">
        <v>112</v>
      </c>
      <c r="J67" s="9"/>
      <c r="K67" s="9"/>
      <c r="L67" s="10">
        <f t="shared" si="1"/>
        <v>0</v>
      </c>
      <c r="M67" s="38">
        <f t="shared" si="2"/>
        <v>0</v>
      </c>
      <c r="N67" s="11"/>
      <c r="O67" s="11"/>
      <c r="P67" s="12">
        <f t="shared" si="3"/>
        <v>0</v>
      </c>
      <c r="Q67" s="28">
        <f t="shared" si="4"/>
        <v>0</v>
      </c>
      <c r="R67" s="9"/>
      <c r="S67" s="9"/>
      <c r="T67" s="9"/>
      <c r="U67" s="9"/>
      <c r="V67" s="9"/>
      <c r="W67" s="10">
        <f t="shared" si="5"/>
        <v>0</v>
      </c>
      <c r="X67" s="30">
        <f t="shared" si="6"/>
        <v>0</v>
      </c>
      <c r="Y67" s="32">
        <f t="shared" si="0"/>
        <v>0</v>
      </c>
    </row>
    <row r="68" spans="1:25" ht="27.6" hidden="1" x14ac:dyDescent="0.3">
      <c r="A68" s="24" t="s">
        <v>35</v>
      </c>
      <c r="B68" s="24" t="s">
        <v>64</v>
      </c>
      <c r="C68" s="24" t="s">
        <v>46</v>
      </c>
      <c r="D68" s="23"/>
      <c r="E68" s="20"/>
      <c r="F68" s="21"/>
      <c r="G68" s="23"/>
      <c r="H68" s="23"/>
      <c r="I68" s="3" t="s">
        <v>113</v>
      </c>
      <c r="J68" s="9"/>
      <c r="K68" s="9"/>
      <c r="L68" s="10">
        <f t="shared" si="1"/>
        <v>0</v>
      </c>
      <c r="M68" s="38">
        <f t="shared" si="2"/>
        <v>0</v>
      </c>
      <c r="N68" s="11"/>
      <c r="O68" s="11"/>
      <c r="P68" s="12">
        <f t="shared" si="3"/>
        <v>0</v>
      </c>
      <c r="Q68" s="28">
        <f t="shared" si="4"/>
        <v>0</v>
      </c>
      <c r="R68" s="9"/>
      <c r="S68" s="9"/>
      <c r="T68" s="9"/>
      <c r="U68" s="9"/>
      <c r="V68" s="9"/>
      <c r="W68" s="10">
        <f t="shared" si="5"/>
        <v>0</v>
      </c>
      <c r="X68" s="30">
        <f t="shared" si="6"/>
        <v>0</v>
      </c>
      <c r="Y68" s="32">
        <f t="shared" si="0"/>
        <v>0</v>
      </c>
    </row>
    <row r="69" spans="1:25" ht="27.6" hidden="1" x14ac:dyDescent="0.3">
      <c r="A69" s="24" t="s">
        <v>35</v>
      </c>
      <c r="B69" s="24" t="s">
        <v>64</v>
      </c>
      <c r="C69" s="24" t="s">
        <v>48</v>
      </c>
      <c r="D69" s="23"/>
      <c r="E69" s="20"/>
      <c r="F69" s="21"/>
      <c r="G69" s="23"/>
      <c r="H69" s="23"/>
      <c r="I69" s="3" t="s">
        <v>114</v>
      </c>
      <c r="J69" s="9"/>
      <c r="K69" s="9"/>
      <c r="L69" s="10">
        <f t="shared" si="1"/>
        <v>0</v>
      </c>
      <c r="M69" s="38">
        <f t="shared" si="2"/>
        <v>0</v>
      </c>
      <c r="N69" s="11"/>
      <c r="O69" s="11"/>
      <c r="P69" s="12">
        <f t="shared" si="3"/>
        <v>0</v>
      </c>
      <c r="Q69" s="28">
        <f t="shared" si="4"/>
        <v>0</v>
      </c>
      <c r="R69" s="9"/>
      <c r="S69" s="9"/>
      <c r="T69" s="9"/>
      <c r="U69" s="9"/>
      <c r="V69" s="9"/>
      <c r="W69" s="10">
        <f t="shared" si="5"/>
        <v>0</v>
      </c>
      <c r="X69" s="30">
        <f t="shared" si="6"/>
        <v>0</v>
      </c>
      <c r="Y69" s="32">
        <f t="shared" si="0"/>
        <v>0</v>
      </c>
    </row>
    <row r="70" spans="1:25" ht="27.6" hidden="1" x14ac:dyDescent="0.3">
      <c r="A70" s="24" t="s">
        <v>35</v>
      </c>
      <c r="B70" s="24" t="s">
        <v>64</v>
      </c>
      <c r="C70" s="24" t="s">
        <v>50</v>
      </c>
      <c r="D70" s="23"/>
      <c r="E70" s="20"/>
      <c r="F70" s="21"/>
      <c r="G70" s="23"/>
      <c r="H70" s="23"/>
      <c r="I70" s="3" t="s">
        <v>115</v>
      </c>
      <c r="J70" s="9"/>
      <c r="K70" s="9"/>
      <c r="L70" s="10">
        <f t="shared" si="1"/>
        <v>0</v>
      </c>
      <c r="M70" s="38">
        <f t="shared" si="2"/>
        <v>0</v>
      </c>
      <c r="N70" s="11"/>
      <c r="O70" s="11"/>
      <c r="P70" s="12">
        <f t="shared" si="3"/>
        <v>0</v>
      </c>
      <c r="Q70" s="28">
        <f t="shared" si="4"/>
        <v>0</v>
      </c>
      <c r="R70" s="9"/>
      <c r="S70" s="9"/>
      <c r="T70" s="9"/>
      <c r="U70" s="9"/>
      <c r="V70" s="9"/>
      <c r="W70" s="10">
        <f t="shared" si="5"/>
        <v>0</v>
      </c>
      <c r="X70" s="30">
        <f t="shared" si="6"/>
        <v>0</v>
      </c>
      <c r="Y70" s="32">
        <f t="shared" si="0"/>
        <v>0</v>
      </c>
    </row>
    <row r="71" spans="1:25" ht="27.6" hidden="1" x14ac:dyDescent="0.3">
      <c r="A71" s="24" t="s">
        <v>36</v>
      </c>
      <c r="B71" s="24" t="s">
        <v>35</v>
      </c>
      <c r="C71" s="24" t="s">
        <v>37</v>
      </c>
      <c r="D71" s="23"/>
      <c r="E71" s="20"/>
      <c r="F71" s="21"/>
      <c r="G71" s="23"/>
      <c r="H71" s="23"/>
      <c r="I71" s="3" t="s">
        <v>116</v>
      </c>
      <c r="J71" s="9"/>
      <c r="K71" s="9"/>
      <c r="L71" s="10">
        <f t="shared" si="1"/>
        <v>0</v>
      </c>
      <c r="M71" s="38">
        <f t="shared" si="2"/>
        <v>0</v>
      </c>
      <c r="N71" s="11"/>
      <c r="O71" s="11"/>
      <c r="P71" s="12">
        <f t="shared" si="3"/>
        <v>0</v>
      </c>
      <c r="Q71" s="28">
        <f t="shared" si="4"/>
        <v>0</v>
      </c>
      <c r="R71" s="9"/>
      <c r="S71" s="9"/>
      <c r="T71" s="9"/>
      <c r="U71" s="9"/>
      <c r="V71" s="9"/>
      <c r="W71" s="10">
        <f t="shared" si="5"/>
        <v>0</v>
      </c>
      <c r="X71" s="30">
        <f t="shared" si="6"/>
        <v>0</v>
      </c>
      <c r="Y71" s="32">
        <f t="shared" si="0"/>
        <v>0</v>
      </c>
    </row>
    <row r="72" spans="1:25" ht="27.6" hidden="1" x14ac:dyDescent="0.3">
      <c r="A72" s="24" t="s">
        <v>36</v>
      </c>
      <c r="B72" s="24" t="s">
        <v>35</v>
      </c>
      <c r="C72" s="24" t="s">
        <v>42</v>
      </c>
      <c r="D72" s="23"/>
      <c r="E72" s="20"/>
      <c r="F72" s="21"/>
      <c r="G72" s="23"/>
      <c r="H72" s="23"/>
      <c r="I72" s="3" t="s">
        <v>117</v>
      </c>
      <c r="J72" s="9"/>
      <c r="K72" s="9"/>
      <c r="L72" s="10">
        <f t="shared" si="1"/>
        <v>0</v>
      </c>
      <c r="M72" s="38">
        <f t="shared" si="2"/>
        <v>0</v>
      </c>
      <c r="N72" s="11"/>
      <c r="O72" s="11"/>
      <c r="P72" s="12">
        <f t="shared" si="3"/>
        <v>0</v>
      </c>
      <c r="Q72" s="28">
        <f t="shared" si="4"/>
        <v>0</v>
      </c>
      <c r="R72" s="9"/>
      <c r="S72" s="9"/>
      <c r="T72" s="9"/>
      <c r="U72" s="9"/>
      <c r="V72" s="9"/>
      <c r="W72" s="10">
        <f t="shared" si="5"/>
        <v>0</v>
      </c>
      <c r="X72" s="30">
        <f t="shared" si="6"/>
        <v>0</v>
      </c>
      <c r="Y72" s="32">
        <f t="shared" si="0"/>
        <v>0</v>
      </c>
    </row>
    <row r="73" spans="1:25" ht="27.6" hidden="1" x14ac:dyDescent="0.3">
      <c r="A73" s="24" t="s">
        <v>36</v>
      </c>
      <c r="B73" s="24" t="s">
        <v>35</v>
      </c>
      <c r="C73" s="24" t="s">
        <v>44</v>
      </c>
      <c r="D73" s="23"/>
      <c r="E73" s="20"/>
      <c r="F73" s="21"/>
      <c r="G73" s="23"/>
      <c r="H73" s="23"/>
      <c r="I73" s="3" t="s">
        <v>118</v>
      </c>
      <c r="J73" s="9"/>
      <c r="K73" s="9"/>
      <c r="L73" s="10">
        <f t="shared" si="1"/>
        <v>0</v>
      </c>
      <c r="M73" s="38">
        <f t="shared" si="2"/>
        <v>0</v>
      </c>
      <c r="N73" s="11"/>
      <c r="O73" s="11"/>
      <c r="P73" s="12">
        <f t="shared" si="3"/>
        <v>0</v>
      </c>
      <c r="Q73" s="28">
        <f t="shared" si="4"/>
        <v>0</v>
      </c>
      <c r="R73" s="9"/>
      <c r="S73" s="9"/>
      <c r="T73" s="9"/>
      <c r="U73" s="9"/>
      <c r="V73" s="9"/>
      <c r="W73" s="10">
        <f t="shared" si="5"/>
        <v>0</v>
      </c>
      <c r="X73" s="30">
        <f t="shared" si="6"/>
        <v>0</v>
      </c>
      <c r="Y73" s="32">
        <f t="shared" si="0"/>
        <v>0</v>
      </c>
    </row>
    <row r="74" spans="1:25" ht="27.6" hidden="1" x14ac:dyDescent="0.3">
      <c r="A74" s="24" t="s">
        <v>36</v>
      </c>
      <c r="B74" s="24" t="s">
        <v>64</v>
      </c>
      <c r="C74" s="24" t="s">
        <v>65</v>
      </c>
      <c r="D74" s="23"/>
      <c r="E74" s="20"/>
      <c r="F74" s="21"/>
      <c r="G74" s="23"/>
      <c r="H74" s="23"/>
      <c r="I74" s="3" t="s">
        <v>119</v>
      </c>
      <c r="J74" s="9"/>
      <c r="K74" s="9"/>
      <c r="L74" s="10">
        <f t="shared" si="1"/>
        <v>0</v>
      </c>
      <c r="M74" s="38">
        <f t="shared" si="2"/>
        <v>0</v>
      </c>
      <c r="N74" s="11"/>
      <c r="O74" s="11"/>
      <c r="P74" s="12">
        <f t="shared" si="3"/>
        <v>0</v>
      </c>
      <c r="Q74" s="28">
        <f t="shared" si="4"/>
        <v>0</v>
      </c>
      <c r="R74" s="9"/>
      <c r="S74" s="9"/>
      <c r="T74" s="9"/>
      <c r="U74" s="9"/>
      <c r="V74" s="9"/>
      <c r="W74" s="10">
        <f t="shared" si="5"/>
        <v>0</v>
      </c>
      <c r="X74" s="30">
        <f t="shared" si="6"/>
        <v>0</v>
      </c>
      <c r="Y74" s="32">
        <f t="shared" ref="Y74:Y137" si="7">+(Q74+M74+X74)/3</f>
        <v>0</v>
      </c>
    </row>
    <row r="75" spans="1:25" ht="27.6" hidden="1" x14ac:dyDescent="0.3">
      <c r="A75" s="24" t="s">
        <v>35</v>
      </c>
      <c r="B75" s="24" t="s">
        <v>35</v>
      </c>
      <c r="C75" s="24" t="s">
        <v>46</v>
      </c>
      <c r="D75" s="23"/>
      <c r="E75" s="20"/>
      <c r="F75" s="21"/>
      <c r="G75" s="23"/>
      <c r="H75" s="23"/>
      <c r="I75" s="3" t="s">
        <v>120</v>
      </c>
      <c r="J75" s="9"/>
      <c r="K75" s="9"/>
      <c r="L75" s="10">
        <f t="shared" ref="L75:L138" si="8">+J75-K75</f>
        <v>0</v>
      </c>
      <c r="M75" s="38">
        <f t="shared" ref="M75:M138" si="9">IFERROR(IF(7&lt;&gt;0, K75*100/J75, IF(J75=K75, K75*100/J75, 0)), 0)</f>
        <v>0</v>
      </c>
      <c r="N75" s="11"/>
      <c r="O75" s="11"/>
      <c r="P75" s="12">
        <f t="shared" ref="P75:P138" si="10">+N75-O75</f>
        <v>0</v>
      </c>
      <c r="Q75" s="28">
        <f t="shared" ref="Q75:Q138" si="11">IFERROR(IF(P75&lt;&gt;0, N75*100/O75, IF(N75=O75, N75*100/O75, 0)), 0)</f>
        <v>0</v>
      </c>
      <c r="R75" s="9"/>
      <c r="S75" s="9"/>
      <c r="T75" s="9"/>
      <c r="U75" s="9"/>
      <c r="V75" s="9"/>
      <c r="W75" s="10">
        <f t="shared" ref="W75:W138" si="12">SUM(R75:V75)</f>
        <v>0</v>
      </c>
      <c r="X75" s="30">
        <f t="shared" ref="X75:X138" si="13">+W75*100/50</f>
        <v>0</v>
      </c>
      <c r="Y75" s="32">
        <f t="shared" si="7"/>
        <v>0</v>
      </c>
    </row>
    <row r="76" spans="1:25" ht="27.6" hidden="1" x14ac:dyDescent="0.3">
      <c r="A76" s="24" t="s">
        <v>36</v>
      </c>
      <c r="B76" s="24"/>
      <c r="C76" s="24" t="s">
        <v>101</v>
      </c>
      <c r="D76" s="23"/>
      <c r="E76" s="20"/>
      <c r="F76" s="21"/>
      <c r="G76" s="23"/>
      <c r="H76" s="23"/>
      <c r="I76" s="3" t="s">
        <v>121</v>
      </c>
      <c r="J76" s="9"/>
      <c r="K76" s="9"/>
      <c r="L76" s="10">
        <f t="shared" si="8"/>
        <v>0</v>
      </c>
      <c r="M76" s="38">
        <f t="shared" si="9"/>
        <v>0</v>
      </c>
      <c r="N76" s="11"/>
      <c r="O76" s="11"/>
      <c r="P76" s="12">
        <f t="shared" si="10"/>
        <v>0</v>
      </c>
      <c r="Q76" s="28">
        <f t="shared" si="11"/>
        <v>0</v>
      </c>
      <c r="R76" s="9"/>
      <c r="S76" s="9"/>
      <c r="T76" s="9"/>
      <c r="U76" s="9"/>
      <c r="V76" s="9"/>
      <c r="W76" s="10">
        <f t="shared" si="12"/>
        <v>0</v>
      </c>
      <c r="X76" s="30">
        <f t="shared" si="13"/>
        <v>0</v>
      </c>
      <c r="Y76" s="32">
        <f t="shared" si="7"/>
        <v>0</v>
      </c>
    </row>
    <row r="77" spans="1:25" ht="27.6" hidden="1" x14ac:dyDescent="0.3">
      <c r="A77" s="24" t="s">
        <v>36</v>
      </c>
      <c r="B77" s="24"/>
      <c r="C77" s="24" t="s">
        <v>101</v>
      </c>
      <c r="D77" s="23"/>
      <c r="E77" s="20"/>
      <c r="F77" s="21"/>
      <c r="G77" s="23"/>
      <c r="H77" s="23"/>
      <c r="I77" s="3" t="s">
        <v>122</v>
      </c>
      <c r="J77" s="9"/>
      <c r="K77" s="9"/>
      <c r="L77" s="10">
        <f t="shared" si="8"/>
        <v>0</v>
      </c>
      <c r="M77" s="38">
        <f t="shared" si="9"/>
        <v>0</v>
      </c>
      <c r="N77" s="11"/>
      <c r="O77" s="11"/>
      <c r="P77" s="12">
        <f t="shared" si="10"/>
        <v>0</v>
      </c>
      <c r="Q77" s="28">
        <f t="shared" si="11"/>
        <v>0</v>
      </c>
      <c r="R77" s="9"/>
      <c r="S77" s="9"/>
      <c r="T77" s="9"/>
      <c r="U77" s="9"/>
      <c r="V77" s="9"/>
      <c r="W77" s="10">
        <f t="shared" si="12"/>
        <v>0</v>
      </c>
      <c r="X77" s="30">
        <f t="shared" si="13"/>
        <v>0</v>
      </c>
      <c r="Y77" s="32">
        <f t="shared" si="7"/>
        <v>0</v>
      </c>
    </row>
    <row r="78" spans="1:25" ht="27.6" hidden="1" x14ac:dyDescent="0.3">
      <c r="A78" s="24" t="s">
        <v>36</v>
      </c>
      <c r="B78" s="24" t="s">
        <v>35</v>
      </c>
      <c r="C78" s="24" t="s">
        <v>37</v>
      </c>
      <c r="D78" s="23"/>
      <c r="E78" s="20"/>
      <c r="F78" s="21"/>
      <c r="G78" s="23"/>
      <c r="H78" s="23"/>
      <c r="I78" s="3" t="s">
        <v>123</v>
      </c>
      <c r="J78" s="9"/>
      <c r="K78" s="9"/>
      <c r="L78" s="10">
        <f t="shared" si="8"/>
        <v>0</v>
      </c>
      <c r="M78" s="38">
        <f t="shared" si="9"/>
        <v>0</v>
      </c>
      <c r="N78" s="11"/>
      <c r="O78" s="11"/>
      <c r="P78" s="12">
        <f t="shared" si="10"/>
        <v>0</v>
      </c>
      <c r="Q78" s="28">
        <f t="shared" si="11"/>
        <v>0</v>
      </c>
      <c r="R78" s="9"/>
      <c r="S78" s="9"/>
      <c r="T78" s="9"/>
      <c r="U78" s="9"/>
      <c r="V78" s="9"/>
      <c r="W78" s="10">
        <f t="shared" si="12"/>
        <v>0</v>
      </c>
      <c r="X78" s="30">
        <f t="shared" si="13"/>
        <v>0</v>
      </c>
      <c r="Y78" s="32">
        <f t="shared" si="7"/>
        <v>0</v>
      </c>
    </row>
    <row r="79" spans="1:25" ht="27.6" hidden="1" x14ac:dyDescent="0.3">
      <c r="A79" s="24" t="s">
        <v>36</v>
      </c>
      <c r="B79" s="24" t="s">
        <v>35</v>
      </c>
      <c r="C79" s="24" t="s">
        <v>42</v>
      </c>
      <c r="D79" s="23"/>
      <c r="E79" s="20"/>
      <c r="F79" s="21"/>
      <c r="G79" s="23"/>
      <c r="H79" s="23"/>
      <c r="I79" s="3" t="s">
        <v>124</v>
      </c>
      <c r="J79" s="9"/>
      <c r="K79" s="9"/>
      <c r="L79" s="10">
        <f t="shared" si="8"/>
        <v>0</v>
      </c>
      <c r="M79" s="38">
        <f t="shared" si="9"/>
        <v>0</v>
      </c>
      <c r="N79" s="11"/>
      <c r="O79" s="11"/>
      <c r="P79" s="12">
        <f t="shared" si="10"/>
        <v>0</v>
      </c>
      <c r="Q79" s="28">
        <f t="shared" si="11"/>
        <v>0</v>
      </c>
      <c r="R79" s="9"/>
      <c r="S79" s="9"/>
      <c r="T79" s="9"/>
      <c r="U79" s="9"/>
      <c r="V79" s="9"/>
      <c r="W79" s="10">
        <f t="shared" si="12"/>
        <v>0</v>
      </c>
      <c r="X79" s="30">
        <f t="shared" si="13"/>
        <v>0</v>
      </c>
      <c r="Y79" s="32">
        <f t="shared" si="7"/>
        <v>0</v>
      </c>
    </row>
    <row r="80" spans="1:25" ht="27.6" hidden="1" x14ac:dyDescent="0.3">
      <c r="A80" s="24" t="s">
        <v>36</v>
      </c>
      <c r="B80" s="24" t="s">
        <v>35</v>
      </c>
      <c r="C80" s="24" t="s">
        <v>44</v>
      </c>
      <c r="D80" s="23"/>
      <c r="E80" s="20"/>
      <c r="F80" s="21"/>
      <c r="G80" s="23"/>
      <c r="H80" s="23"/>
      <c r="I80" s="3" t="s">
        <v>125</v>
      </c>
      <c r="J80" s="9"/>
      <c r="K80" s="9"/>
      <c r="L80" s="10">
        <f t="shared" si="8"/>
        <v>0</v>
      </c>
      <c r="M80" s="38">
        <f t="shared" si="9"/>
        <v>0</v>
      </c>
      <c r="N80" s="11"/>
      <c r="O80" s="11"/>
      <c r="P80" s="12">
        <f t="shared" si="10"/>
        <v>0</v>
      </c>
      <c r="Q80" s="28">
        <f t="shared" si="11"/>
        <v>0</v>
      </c>
      <c r="R80" s="9"/>
      <c r="S80" s="9"/>
      <c r="T80" s="9"/>
      <c r="U80" s="9"/>
      <c r="V80" s="9"/>
      <c r="W80" s="10">
        <f t="shared" si="12"/>
        <v>0</v>
      </c>
      <c r="X80" s="30">
        <f t="shared" si="13"/>
        <v>0</v>
      </c>
      <c r="Y80" s="32">
        <f t="shared" si="7"/>
        <v>0</v>
      </c>
    </row>
    <row r="81" spans="1:25" ht="27.6" hidden="1" x14ac:dyDescent="0.3">
      <c r="A81" s="24" t="s">
        <v>36</v>
      </c>
      <c r="B81" s="24" t="s">
        <v>35</v>
      </c>
      <c r="C81" s="24" t="s">
        <v>46</v>
      </c>
      <c r="D81" s="23"/>
      <c r="E81" s="20"/>
      <c r="F81" s="21"/>
      <c r="G81" s="23"/>
      <c r="H81" s="23"/>
      <c r="I81" s="3" t="s">
        <v>126</v>
      </c>
      <c r="J81" s="9"/>
      <c r="K81" s="9"/>
      <c r="L81" s="10">
        <f t="shared" si="8"/>
        <v>0</v>
      </c>
      <c r="M81" s="38">
        <f t="shared" si="9"/>
        <v>0</v>
      </c>
      <c r="N81" s="11"/>
      <c r="O81" s="11"/>
      <c r="P81" s="12">
        <f t="shared" si="10"/>
        <v>0</v>
      </c>
      <c r="Q81" s="28">
        <f t="shared" si="11"/>
        <v>0</v>
      </c>
      <c r="R81" s="9"/>
      <c r="S81" s="9"/>
      <c r="T81" s="9"/>
      <c r="U81" s="9"/>
      <c r="V81" s="9"/>
      <c r="W81" s="10">
        <f t="shared" si="12"/>
        <v>0</v>
      </c>
      <c r="X81" s="30">
        <f t="shared" si="13"/>
        <v>0</v>
      </c>
      <c r="Y81" s="32">
        <f t="shared" si="7"/>
        <v>0</v>
      </c>
    </row>
    <row r="82" spans="1:25" ht="27.6" hidden="1" x14ac:dyDescent="0.3">
      <c r="A82" s="24" t="s">
        <v>36</v>
      </c>
      <c r="B82" s="24" t="s">
        <v>35</v>
      </c>
      <c r="C82" s="24" t="s">
        <v>48</v>
      </c>
      <c r="D82" s="23"/>
      <c r="E82" s="20"/>
      <c r="F82" s="21"/>
      <c r="G82" s="23"/>
      <c r="H82" s="23"/>
      <c r="I82" s="3" t="s">
        <v>127</v>
      </c>
      <c r="J82" s="9"/>
      <c r="K82" s="9"/>
      <c r="L82" s="10">
        <f t="shared" si="8"/>
        <v>0</v>
      </c>
      <c r="M82" s="38">
        <f t="shared" si="9"/>
        <v>0</v>
      </c>
      <c r="N82" s="11"/>
      <c r="O82" s="11"/>
      <c r="P82" s="12">
        <f t="shared" si="10"/>
        <v>0</v>
      </c>
      <c r="Q82" s="28">
        <f t="shared" si="11"/>
        <v>0</v>
      </c>
      <c r="R82" s="9"/>
      <c r="S82" s="9"/>
      <c r="T82" s="9"/>
      <c r="U82" s="9"/>
      <c r="V82" s="9"/>
      <c r="W82" s="10">
        <f t="shared" si="12"/>
        <v>0</v>
      </c>
      <c r="X82" s="30">
        <f t="shared" si="13"/>
        <v>0</v>
      </c>
      <c r="Y82" s="32">
        <f t="shared" si="7"/>
        <v>0</v>
      </c>
    </row>
    <row r="83" spans="1:25" ht="27.6" hidden="1" x14ac:dyDescent="0.3">
      <c r="A83" s="24" t="s">
        <v>36</v>
      </c>
      <c r="B83" s="24" t="s">
        <v>35</v>
      </c>
      <c r="C83" s="24" t="s">
        <v>50</v>
      </c>
      <c r="D83" s="23"/>
      <c r="E83" s="20"/>
      <c r="F83" s="21"/>
      <c r="G83" s="23"/>
      <c r="H83" s="23"/>
      <c r="I83" s="3" t="s">
        <v>128</v>
      </c>
      <c r="J83" s="9"/>
      <c r="K83" s="9"/>
      <c r="L83" s="10">
        <f t="shared" si="8"/>
        <v>0</v>
      </c>
      <c r="M83" s="38">
        <f t="shared" si="9"/>
        <v>0</v>
      </c>
      <c r="N83" s="11"/>
      <c r="O83" s="11"/>
      <c r="P83" s="12">
        <f t="shared" si="10"/>
        <v>0</v>
      </c>
      <c r="Q83" s="28">
        <f t="shared" si="11"/>
        <v>0</v>
      </c>
      <c r="R83" s="9"/>
      <c r="S83" s="9"/>
      <c r="T83" s="9"/>
      <c r="U83" s="9"/>
      <c r="V83" s="9"/>
      <c r="W83" s="10">
        <f t="shared" si="12"/>
        <v>0</v>
      </c>
      <c r="X83" s="30">
        <f t="shared" si="13"/>
        <v>0</v>
      </c>
      <c r="Y83" s="32">
        <f t="shared" si="7"/>
        <v>0</v>
      </c>
    </row>
    <row r="84" spans="1:25" ht="41.4" hidden="1" x14ac:dyDescent="0.3">
      <c r="A84" s="24" t="s">
        <v>36</v>
      </c>
      <c r="B84" s="24" t="s">
        <v>35</v>
      </c>
      <c r="C84" s="24" t="s">
        <v>46</v>
      </c>
      <c r="D84" s="23"/>
      <c r="E84" s="20"/>
      <c r="F84" s="21"/>
      <c r="G84" s="23"/>
      <c r="H84" s="23"/>
      <c r="I84" s="3" t="s">
        <v>129</v>
      </c>
      <c r="J84" s="9"/>
      <c r="K84" s="9"/>
      <c r="L84" s="10">
        <f t="shared" si="8"/>
        <v>0</v>
      </c>
      <c r="M84" s="38">
        <f t="shared" si="9"/>
        <v>0</v>
      </c>
      <c r="N84" s="11"/>
      <c r="O84" s="11"/>
      <c r="P84" s="12">
        <f t="shared" si="10"/>
        <v>0</v>
      </c>
      <c r="Q84" s="28">
        <f t="shared" si="11"/>
        <v>0</v>
      </c>
      <c r="R84" s="9"/>
      <c r="S84" s="9"/>
      <c r="T84" s="9"/>
      <c r="U84" s="9"/>
      <c r="V84" s="9"/>
      <c r="W84" s="10">
        <f t="shared" si="12"/>
        <v>0</v>
      </c>
      <c r="X84" s="30">
        <f t="shared" si="13"/>
        <v>0</v>
      </c>
      <c r="Y84" s="32">
        <f t="shared" si="7"/>
        <v>0</v>
      </c>
    </row>
    <row r="85" spans="1:25" ht="41.4" hidden="1" x14ac:dyDescent="0.3">
      <c r="A85" s="24" t="s">
        <v>36</v>
      </c>
      <c r="B85" s="24" t="s">
        <v>35</v>
      </c>
      <c r="C85" s="24" t="s">
        <v>48</v>
      </c>
      <c r="D85" s="23"/>
      <c r="E85" s="20"/>
      <c r="F85" s="21"/>
      <c r="G85" s="23"/>
      <c r="H85" s="23"/>
      <c r="I85" s="3" t="s">
        <v>130</v>
      </c>
      <c r="J85" s="9"/>
      <c r="K85" s="9"/>
      <c r="L85" s="10">
        <f t="shared" si="8"/>
        <v>0</v>
      </c>
      <c r="M85" s="38">
        <f t="shared" si="9"/>
        <v>0</v>
      </c>
      <c r="N85" s="11"/>
      <c r="O85" s="11"/>
      <c r="P85" s="12">
        <f t="shared" si="10"/>
        <v>0</v>
      </c>
      <c r="Q85" s="28">
        <f t="shared" si="11"/>
        <v>0</v>
      </c>
      <c r="R85" s="9"/>
      <c r="S85" s="9"/>
      <c r="T85" s="9"/>
      <c r="U85" s="9"/>
      <c r="V85" s="9"/>
      <c r="W85" s="10">
        <f t="shared" si="12"/>
        <v>0</v>
      </c>
      <c r="X85" s="30">
        <f t="shared" si="13"/>
        <v>0</v>
      </c>
      <c r="Y85" s="32">
        <f t="shared" si="7"/>
        <v>0</v>
      </c>
    </row>
    <row r="86" spans="1:25" ht="41.4" hidden="1" x14ac:dyDescent="0.3">
      <c r="A86" s="24" t="s">
        <v>36</v>
      </c>
      <c r="B86" s="24" t="s">
        <v>35</v>
      </c>
      <c r="C86" s="24" t="s">
        <v>50</v>
      </c>
      <c r="D86" s="23"/>
      <c r="E86" s="20"/>
      <c r="F86" s="21"/>
      <c r="G86" s="23"/>
      <c r="H86" s="23"/>
      <c r="I86" s="3" t="s">
        <v>131</v>
      </c>
      <c r="J86" s="9"/>
      <c r="K86" s="9"/>
      <c r="L86" s="10">
        <f t="shared" si="8"/>
        <v>0</v>
      </c>
      <c r="M86" s="38">
        <f t="shared" si="9"/>
        <v>0</v>
      </c>
      <c r="N86" s="11"/>
      <c r="O86" s="11"/>
      <c r="P86" s="12">
        <f t="shared" si="10"/>
        <v>0</v>
      </c>
      <c r="Q86" s="28">
        <f t="shared" si="11"/>
        <v>0</v>
      </c>
      <c r="R86" s="9"/>
      <c r="S86" s="9"/>
      <c r="T86" s="9"/>
      <c r="U86" s="9"/>
      <c r="V86" s="9"/>
      <c r="W86" s="10">
        <f t="shared" si="12"/>
        <v>0</v>
      </c>
      <c r="X86" s="30">
        <f t="shared" si="13"/>
        <v>0</v>
      </c>
      <c r="Y86" s="32">
        <f t="shared" si="7"/>
        <v>0</v>
      </c>
    </row>
    <row r="87" spans="1:25" ht="27.6" hidden="1" x14ac:dyDescent="0.3">
      <c r="A87" s="24" t="s">
        <v>36</v>
      </c>
      <c r="B87" s="24"/>
      <c r="C87" s="24" t="s">
        <v>101</v>
      </c>
      <c r="D87" s="23"/>
      <c r="E87" s="20"/>
      <c r="F87" s="21"/>
      <c r="G87" s="23"/>
      <c r="H87" s="23"/>
      <c r="I87" s="3" t="s">
        <v>132</v>
      </c>
      <c r="J87" s="9"/>
      <c r="K87" s="9"/>
      <c r="L87" s="10">
        <f t="shared" si="8"/>
        <v>0</v>
      </c>
      <c r="M87" s="38">
        <f t="shared" si="9"/>
        <v>0</v>
      </c>
      <c r="N87" s="11"/>
      <c r="O87" s="11"/>
      <c r="P87" s="12">
        <f t="shared" si="10"/>
        <v>0</v>
      </c>
      <c r="Q87" s="28">
        <f t="shared" si="11"/>
        <v>0</v>
      </c>
      <c r="R87" s="9"/>
      <c r="S87" s="9"/>
      <c r="T87" s="9"/>
      <c r="U87" s="9"/>
      <c r="V87" s="9"/>
      <c r="W87" s="10">
        <f t="shared" si="12"/>
        <v>0</v>
      </c>
      <c r="X87" s="30">
        <f t="shared" si="13"/>
        <v>0</v>
      </c>
      <c r="Y87" s="32">
        <f t="shared" si="7"/>
        <v>0</v>
      </c>
    </row>
    <row r="88" spans="1:25" ht="41.4" hidden="1" x14ac:dyDescent="0.3">
      <c r="A88" s="24" t="s">
        <v>36</v>
      </c>
      <c r="B88" s="24"/>
      <c r="C88" s="24" t="s">
        <v>101</v>
      </c>
      <c r="D88" s="23"/>
      <c r="E88" s="20"/>
      <c r="F88" s="21"/>
      <c r="G88" s="23"/>
      <c r="H88" s="23"/>
      <c r="I88" s="3" t="s">
        <v>133</v>
      </c>
      <c r="J88" s="9"/>
      <c r="K88" s="9"/>
      <c r="L88" s="10">
        <f t="shared" si="8"/>
        <v>0</v>
      </c>
      <c r="M88" s="38">
        <f t="shared" si="9"/>
        <v>0</v>
      </c>
      <c r="N88" s="11"/>
      <c r="O88" s="11"/>
      <c r="P88" s="12">
        <f t="shared" si="10"/>
        <v>0</v>
      </c>
      <c r="Q88" s="28">
        <f t="shared" si="11"/>
        <v>0</v>
      </c>
      <c r="R88" s="9"/>
      <c r="S88" s="9"/>
      <c r="T88" s="9"/>
      <c r="U88" s="9"/>
      <c r="V88" s="9"/>
      <c r="W88" s="10">
        <f t="shared" si="12"/>
        <v>0</v>
      </c>
      <c r="X88" s="30">
        <f t="shared" si="13"/>
        <v>0</v>
      </c>
      <c r="Y88" s="32">
        <f t="shared" si="7"/>
        <v>0</v>
      </c>
    </row>
    <row r="89" spans="1:25" ht="27.6" hidden="1" x14ac:dyDescent="0.3">
      <c r="A89" s="24" t="s">
        <v>36</v>
      </c>
      <c r="B89" s="24" t="s">
        <v>35</v>
      </c>
      <c r="C89" s="24" t="s">
        <v>37</v>
      </c>
      <c r="D89" s="23"/>
      <c r="E89" s="20"/>
      <c r="F89" s="21"/>
      <c r="G89" s="23"/>
      <c r="H89" s="23"/>
      <c r="I89" s="3" t="s">
        <v>134</v>
      </c>
      <c r="J89" s="9"/>
      <c r="K89" s="9"/>
      <c r="L89" s="10">
        <f t="shared" si="8"/>
        <v>0</v>
      </c>
      <c r="M89" s="38">
        <f t="shared" si="9"/>
        <v>0</v>
      </c>
      <c r="N89" s="11"/>
      <c r="O89" s="11"/>
      <c r="P89" s="12">
        <f t="shared" si="10"/>
        <v>0</v>
      </c>
      <c r="Q89" s="28">
        <f t="shared" si="11"/>
        <v>0</v>
      </c>
      <c r="R89" s="9"/>
      <c r="S89" s="9"/>
      <c r="T89" s="9"/>
      <c r="U89" s="9"/>
      <c r="V89" s="9"/>
      <c r="W89" s="10">
        <f t="shared" si="12"/>
        <v>0</v>
      </c>
      <c r="X89" s="30">
        <f t="shared" si="13"/>
        <v>0</v>
      </c>
      <c r="Y89" s="32">
        <f t="shared" si="7"/>
        <v>0</v>
      </c>
    </row>
    <row r="90" spans="1:25" ht="27.6" hidden="1" x14ac:dyDescent="0.3">
      <c r="A90" s="24" t="s">
        <v>36</v>
      </c>
      <c r="B90" s="24" t="s">
        <v>35</v>
      </c>
      <c r="C90" s="24" t="s">
        <v>42</v>
      </c>
      <c r="D90" s="23"/>
      <c r="E90" s="20"/>
      <c r="F90" s="21"/>
      <c r="G90" s="23"/>
      <c r="H90" s="23"/>
      <c r="I90" s="3" t="s">
        <v>135</v>
      </c>
      <c r="J90" s="9"/>
      <c r="K90" s="9"/>
      <c r="L90" s="10">
        <f t="shared" si="8"/>
        <v>0</v>
      </c>
      <c r="M90" s="38">
        <f t="shared" si="9"/>
        <v>0</v>
      </c>
      <c r="N90" s="11"/>
      <c r="O90" s="11"/>
      <c r="P90" s="12">
        <f t="shared" si="10"/>
        <v>0</v>
      </c>
      <c r="Q90" s="28">
        <f t="shared" si="11"/>
        <v>0</v>
      </c>
      <c r="R90" s="9"/>
      <c r="S90" s="9"/>
      <c r="T90" s="9"/>
      <c r="U90" s="9"/>
      <c r="V90" s="9"/>
      <c r="W90" s="10">
        <f t="shared" si="12"/>
        <v>0</v>
      </c>
      <c r="X90" s="30">
        <f t="shared" si="13"/>
        <v>0</v>
      </c>
      <c r="Y90" s="32">
        <f t="shared" si="7"/>
        <v>0</v>
      </c>
    </row>
    <row r="91" spans="1:25" ht="27.6" hidden="1" x14ac:dyDescent="0.3">
      <c r="A91" s="24" t="s">
        <v>36</v>
      </c>
      <c r="B91" s="24" t="s">
        <v>35</v>
      </c>
      <c r="C91" s="24" t="s">
        <v>44</v>
      </c>
      <c r="D91" s="23"/>
      <c r="E91" s="20"/>
      <c r="F91" s="21"/>
      <c r="G91" s="23"/>
      <c r="H91" s="23"/>
      <c r="I91" s="3" t="s">
        <v>136</v>
      </c>
      <c r="J91" s="9"/>
      <c r="K91" s="9"/>
      <c r="L91" s="10">
        <f t="shared" si="8"/>
        <v>0</v>
      </c>
      <c r="M91" s="38">
        <f t="shared" si="9"/>
        <v>0</v>
      </c>
      <c r="N91" s="11"/>
      <c r="O91" s="11"/>
      <c r="P91" s="12">
        <f t="shared" si="10"/>
        <v>0</v>
      </c>
      <c r="Q91" s="28">
        <f t="shared" si="11"/>
        <v>0</v>
      </c>
      <c r="R91" s="9"/>
      <c r="S91" s="9"/>
      <c r="T91" s="9"/>
      <c r="U91" s="9"/>
      <c r="V91" s="9"/>
      <c r="W91" s="10">
        <f t="shared" si="12"/>
        <v>0</v>
      </c>
      <c r="X91" s="30">
        <f t="shared" si="13"/>
        <v>0</v>
      </c>
      <c r="Y91" s="32">
        <f t="shared" si="7"/>
        <v>0</v>
      </c>
    </row>
    <row r="92" spans="1:25" ht="27.6" hidden="1" x14ac:dyDescent="0.3">
      <c r="A92" s="24" t="s">
        <v>36</v>
      </c>
      <c r="B92" s="24" t="s">
        <v>64</v>
      </c>
      <c r="C92" s="24" t="s">
        <v>65</v>
      </c>
      <c r="D92" s="23"/>
      <c r="E92" s="20"/>
      <c r="F92" s="21"/>
      <c r="G92" s="23"/>
      <c r="H92" s="23"/>
      <c r="I92" s="3" t="s">
        <v>137</v>
      </c>
      <c r="J92" s="9"/>
      <c r="K92" s="9"/>
      <c r="L92" s="10">
        <f t="shared" si="8"/>
        <v>0</v>
      </c>
      <c r="M92" s="38">
        <f t="shared" si="9"/>
        <v>0</v>
      </c>
      <c r="N92" s="11"/>
      <c r="O92" s="11"/>
      <c r="P92" s="12">
        <f t="shared" si="10"/>
        <v>0</v>
      </c>
      <c r="Q92" s="28">
        <f t="shared" si="11"/>
        <v>0</v>
      </c>
      <c r="R92" s="9"/>
      <c r="S92" s="9"/>
      <c r="T92" s="9"/>
      <c r="U92" s="9"/>
      <c r="V92" s="9"/>
      <c r="W92" s="10">
        <f t="shared" si="12"/>
        <v>0</v>
      </c>
      <c r="X92" s="30">
        <f t="shared" si="13"/>
        <v>0</v>
      </c>
      <c r="Y92" s="32">
        <f t="shared" si="7"/>
        <v>0</v>
      </c>
    </row>
    <row r="93" spans="1:25" ht="27.6" hidden="1" x14ac:dyDescent="0.3">
      <c r="A93" s="24" t="s">
        <v>36</v>
      </c>
      <c r="B93" s="24" t="s">
        <v>103</v>
      </c>
      <c r="C93" s="24" t="s">
        <v>104</v>
      </c>
      <c r="D93" s="23"/>
      <c r="E93" s="20"/>
      <c r="F93" s="21"/>
      <c r="G93" s="23"/>
      <c r="H93" s="23"/>
      <c r="I93" s="3" t="s">
        <v>138</v>
      </c>
      <c r="J93" s="9"/>
      <c r="K93" s="9"/>
      <c r="L93" s="10">
        <f t="shared" si="8"/>
        <v>0</v>
      </c>
      <c r="M93" s="38">
        <f t="shared" si="9"/>
        <v>0</v>
      </c>
      <c r="N93" s="11"/>
      <c r="O93" s="11"/>
      <c r="P93" s="12">
        <f t="shared" si="10"/>
        <v>0</v>
      </c>
      <c r="Q93" s="28">
        <f t="shared" si="11"/>
        <v>0</v>
      </c>
      <c r="R93" s="9"/>
      <c r="S93" s="9"/>
      <c r="T93" s="9"/>
      <c r="U93" s="9"/>
      <c r="V93" s="9"/>
      <c r="W93" s="10">
        <f t="shared" si="12"/>
        <v>0</v>
      </c>
      <c r="X93" s="30">
        <f t="shared" si="13"/>
        <v>0</v>
      </c>
      <c r="Y93" s="32">
        <f t="shared" si="7"/>
        <v>0</v>
      </c>
    </row>
    <row r="94" spans="1:25" ht="27.6" hidden="1" x14ac:dyDescent="0.3">
      <c r="A94" s="24" t="s">
        <v>36</v>
      </c>
      <c r="B94" s="24"/>
      <c r="C94" s="24" t="s">
        <v>101</v>
      </c>
      <c r="D94" s="23"/>
      <c r="E94" s="20"/>
      <c r="F94" s="21"/>
      <c r="G94" s="23"/>
      <c r="H94" s="23"/>
      <c r="I94" s="3" t="s">
        <v>139</v>
      </c>
      <c r="J94" s="9"/>
      <c r="K94" s="9"/>
      <c r="L94" s="10">
        <f t="shared" si="8"/>
        <v>0</v>
      </c>
      <c r="M94" s="38">
        <f t="shared" si="9"/>
        <v>0</v>
      </c>
      <c r="N94" s="11"/>
      <c r="O94" s="11"/>
      <c r="P94" s="12">
        <f t="shared" si="10"/>
        <v>0</v>
      </c>
      <c r="Q94" s="28">
        <f t="shared" si="11"/>
        <v>0</v>
      </c>
      <c r="R94" s="9"/>
      <c r="S94" s="9"/>
      <c r="T94" s="9"/>
      <c r="U94" s="9"/>
      <c r="V94" s="9"/>
      <c r="W94" s="10">
        <f t="shared" si="12"/>
        <v>0</v>
      </c>
      <c r="X94" s="30">
        <f t="shared" si="13"/>
        <v>0</v>
      </c>
      <c r="Y94" s="32">
        <f t="shared" si="7"/>
        <v>0</v>
      </c>
    </row>
    <row r="95" spans="1:25" ht="27.6" hidden="1" x14ac:dyDescent="0.3">
      <c r="A95" s="24" t="s">
        <v>36</v>
      </c>
      <c r="B95" s="24" t="s">
        <v>35</v>
      </c>
      <c r="C95" s="24" t="s">
        <v>101</v>
      </c>
      <c r="D95" s="23"/>
      <c r="E95" s="20"/>
      <c r="F95" s="21"/>
      <c r="G95" s="23"/>
      <c r="H95" s="23"/>
      <c r="I95" s="3" t="s">
        <v>140</v>
      </c>
      <c r="J95" s="9"/>
      <c r="K95" s="9"/>
      <c r="L95" s="10">
        <f t="shared" si="8"/>
        <v>0</v>
      </c>
      <c r="M95" s="38">
        <f t="shared" si="9"/>
        <v>0</v>
      </c>
      <c r="N95" s="11"/>
      <c r="O95" s="11"/>
      <c r="P95" s="12">
        <f t="shared" si="10"/>
        <v>0</v>
      </c>
      <c r="Q95" s="28">
        <f t="shared" si="11"/>
        <v>0</v>
      </c>
      <c r="R95" s="9"/>
      <c r="S95" s="9"/>
      <c r="T95" s="9"/>
      <c r="U95" s="9"/>
      <c r="V95" s="9"/>
      <c r="W95" s="10">
        <f t="shared" si="12"/>
        <v>0</v>
      </c>
      <c r="X95" s="30">
        <f t="shared" si="13"/>
        <v>0</v>
      </c>
      <c r="Y95" s="32">
        <f t="shared" si="7"/>
        <v>0</v>
      </c>
    </row>
    <row r="96" spans="1:25" ht="27.6" hidden="1" x14ac:dyDescent="0.3">
      <c r="A96" s="24" t="s">
        <v>36</v>
      </c>
      <c r="B96" s="24"/>
      <c r="C96" s="24" t="s">
        <v>95</v>
      </c>
      <c r="D96" s="23"/>
      <c r="E96" s="20"/>
      <c r="F96" s="21"/>
      <c r="G96" s="23"/>
      <c r="H96" s="23"/>
      <c r="I96" s="3" t="s">
        <v>141</v>
      </c>
      <c r="J96" s="9"/>
      <c r="K96" s="9"/>
      <c r="L96" s="10">
        <f t="shared" si="8"/>
        <v>0</v>
      </c>
      <c r="M96" s="38">
        <f t="shared" si="9"/>
        <v>0</v>
      </c>
      <c r="N96" s="11"/>
      <c r="O96" s="11"/>
      <c r="P96" s="12">
        <f t="shared" si="10"/>
        <v>0</v>
      </c>
      <c r="Q96" s="28">
        <f t="shared" si="11"/>
        <v>0</v>
      </c>
      <c r="R96" s="9"/>
      <c r="S96" s="9"/>
      <c r="T96" s="9"/>
      <c r="U96" s="9"/>
      <c r="V96" s="9"/>
      <c r="W96" s="10">
        <f t="shared" si="12"/>
        <v>0</v>
      </c>
      <c r="X96" s="30">
        <f t="shared" si="13"/>
        <v>0</v>
      </c>
      <c r="Y96" s="32">
        <f t="shared" si="7"/>
        <v>0</v>
      </c>
    </row>
    <row r="97" spans="1:25" ht="27.6" hidden="1" x14ac:dyDescent="0.3">
      <c r="A97" s="24" t="s">
        <v>36</v>
      </c>
      <c r="B97" s="24"/>
      <c r="C97" s="24" t="s">
        <v>101</v>
      </c>
      <c r="D97" s="23"/>
      <c r="E97" s="20"/>
      <c r="F97" s="21"/>
      <c r="G97" s="23"/>
      <c r="H97" s="23"/>
      <c r="I97" s="3" t="s">
        <v>142</v>
      </c>
      <c r="J97" s="9"/>
      <c r="K97" s="9"/>
      <c r="L97" s="10">
        <f t="shared" si="8"/>
        <v>0</v>
      </c>
      <c r="M97" s="38">
        <f t="shared" si="9"/>
        <v>0</v>
      </c>
      <c r="N97" s="11"/>
      <c r="O97" s="11"/>
      <c r="P97" s="12">
        <f t="shared" si="10"/>
        <v>0</v>
      </c>
      <c r="Q97" s="28">
        <f t="shared" si="11"/>
        <v>0</v>
      </c>
      <c r="R97" s="9"/>
      <c r="S97" s="9"/>
      <c r="T97" s="9"/>
      <c r="U97" s="9"/>
      <c r="V97" s="9"/>
      <c r="W97" s="10">
        <f t="shared" si="12"/>
        <v>0</v>
      </c>
      <c r="X97" s="30">
        <f t="shared" si="13"/>
        <v>0</v>
      </c>
      <c r="Y97" s="32">
        <f t="shared" si="7"/>
        <v>0</v>
      </c>
    </row>
    <row r="98" spans="1:25" ht="27.6" hidden="1" x14ac:dyDescent="0.3">
      <c r="A98" s="24" t="s">
        <v>36</v>
      </c>
      <c r="B98" s="24"/>
      <c r="C98" s="24" t="s">
        <v>101</v>
      </c>
      <c r="D98" s="23"/>
      <c r="E98" s="20"/>
      <c r="F98" s="21"/>
      <c r="G98" s="23"/>
      <c r="H98" s="23"/>
      <c r="I98" s="3" t="s">
        <v>143</v>
      </c>
      <c r="J98" s="9"/>
      <c r="K98" s="9"/>
      <c r="L98" s="10">
        <f t="shared" si="8"/>
        <v>0</v>
      </c>
      <c r="M98" s="38">
        <f t="shared" si="9"/>
        <v>0</v>
      </c>
      <c r="N98" s="11"/>
      <c r="O98" s="11"/>
      <c r="P98" s="12">
        <f t="shared" si="10"/>
        <v>0</v>
      </c>
      <c r="Q98" s="28">
        <f t="shared" si="11"/>
        <v>0</v>
      </c>
      <c r="R98" s="9"/>
      <c r="S98" s="9"/>
      <c r="T98" s="9"/>
      <c r="U98" s="9"/>
      <c r="V98" s="9"/>
      <c r="W98" s="10">
        <f t="shared" si="12"/>
        <v>0</v>
      </c>
      <c r="X98" s="30">
        <f t="shared" si="13"/>
        <v>0</v>
      </c>
      <c r="Y98" s="32">
        <f t="shared" si="7"/>
        <v>0</v>
      </c>
    </row>
    <row r="99" spans="1:25" ht="41.4" hidden="1" x14ac:dyDescent="0.3">
      <c r="A99" s="24" t="s">
        <v>36</v>
      </c>
      <c r="B99" s="24"/>
      <c r="C99" s="24" t="s">
        <v>101</v>
      </c>
      <c r="D99" s="23"/>
      <c r="E99" s="20"/>
      <c r="F99" s="21"/>
      <c r="G99" s="23"/>
      <c r="H99" s="23"/>
      <c r="I99" s="3" t="s">
        <v>144</v>
      </c>
      <c r="J99" s="9"/>
      <c r="K99" s="9"/>
      <c r="L99" s="10">
        <f t="shared" si="8"/>
        <v>0</v>
      </c>
      <c r="M99" s="38">
        <f t="shared" si="9"/>
        <v>0</v>
      </c>
      <c r="N99" s="11"/>
      <c r="O99" s="11"/>
      <c r="P99" s="12">
        <f t="shared" si="10"/>
        <v>0</v>
      </c>
      <c r="Q99" s="28">
        <f t="shared" si="11"/>
        <v>0</v>
      </c>
      <c r="R99" s="9"/>
      <c r="S99" s="9"/>
      <c r="T99" s="9"/>
      <c r="U99" s="9"/>
      <c r="V99" s="9"/>
      <c r="W99" s="10">
        <f t="shared" si="12"/>
        <v>0</v>
      </c>
      <c r="X99" s="30">
        <f t="shared" si="13"/>
        <v>0</v>
      </c>
      <c r="Y99" s="32">
        <f t="shared" si="7"/>
        <v>0</v>
      </c>
    </row>
    <row r="100" spans="1:25" ht="27.6" hidden="1" x14ac:dyDescent="0.3">
      <c r="A100" s="24" t="s">
        <v>36</v>
      </c>
      <c r="B100" s="24" t="s">
        <v>35</v>
      </c>
      <c r="C100" s="24" t="s">
        <v>37</v>
      </c>
      <c r="D100" s="23"/>
      <c r="E100" s="20"/>
      <c r="F100" s="21"/>
      <c r="G100" s="23"/>
      <c r="H100" s="23"/>
      <c r="I100" s="3" t="s">
        <v>145</v>
      </c>
      <c r="J100" s="9"/>
      <c r="K100" s="9"/>
      <c r="L100" s="10">
        <f t="shared" si="8"/>
        <v>0</v>
      </c>
      <c r="M100" s="38">
        <f t="shared" si="9"/>
        <v>0</v>
      </c>
      <c r="N100" s="11"/>
      <c r="O100" s="11"/>
      <c r="P100" s="12">
        <f t="shared" si="10"/>
        <v>0</v>
      </c>
      <c r="Q100" s="28">
        <f t="shared" si="11"/>
        <v>0</v>
      </c>
      <c r="R100" s="9"/>
      <c r="S100" s="9"/>
      <c r="T100" s="9"/>
      <c r="U100" s="9"/>
      <c r="V100" s="9"/>
      <c r="W100" s="10">
        <f t="shared" si="12"/>
        <v>0</v>
      </c>
      <c r="X100" s="30">
        <f t="shared" si="13"/>
        <v>0</v>
      </c>
      <c r="Y100" s="32">
        <f t="shared" si="7"/>
        <v>0</v>
      </c>
    </row>
    <row r="101" spans="1:25" ht="27.6" hidden="1" x14ac:dyDescent="0.3">
      <c r="A101" s="24" t="s">
        <v>36</v>
      </c>
      <c r="B101" s="24" t="s">
        <v>35</v>
      </c>
      <c r="C101" s="24" t="s">
        <v>42</v>
      </c>
      <c r="D101" s="23"/>
      <c r="E101" s="20"/>
      <c r="F101" s="21"/>
      <c r="G101" s="23"/>
      <c r="H101" s="23"/>
      <c r="I101" s="3" t="s">
        <v>146</v>
      </c>
      <c r="J101" s="9"/>
      <c r="K101" s="9"/>
      <c r="L101" s="10">
        <f t="shared" si="8"/>
        <v>0</v>
      </c>
      <c r="M101" s="38">
        <f t="shared" si="9"/>
        <v>0</v>
      </c>
      <c r="N101" s="11"/>
      <c r="O101" s="11"/>
      <c r="P101" s="12">
        <f t="shared" si="10"/>
        <v>0</v>
      </c>
      <c r="Q101" s="28">
        <f t="shared" si="11"/>
        <v>0</v>
      </c>
      <c r="R101" s="9"/>
      <c r="S101" s="9"/>
      <c r="T101" s="9"/>
      <c r="U101" s="9"/>
      <c r="V101" s="9"/>
      <c r="W101" s="10">
        <f t="shared" si="12"/>
        <v>0</v>
      </c>
      <c r="X101" s="30">
        <f t="shared" si="13"/>
        <v>0</v>
      </c>
      <c r="Y101" s="32">
        <f t="shared" si="7"/>
        <v>0</v>
      </c>
    </row>
    <row r="102" spans="1:25" ht="27.6" hidden="1" x14ac:dyDescent="0.3">
      <c r="A102" s="24" t="s">
        <v>36</v>
      </c>
      <c r="B102" s="24" t="s">
        <v>35</v>
      </c>
      <c r="C102" s="24" t="s">
        <v>44</v>
      </c>
      <c r="D102" s="23"/>
      <c r="E102" s="20"/>
      <c r="F102" s="21"/>
      <c r="G102" s="23"/>
      <c r="H102" s="23"/>
      <c r="I102" s="3" t="s">
        <v>147</v>
      </c>
      <c r="J102" s="9"/>
      <c r="K102" s="9"/>
      <c r="L102" s="10">
        <f t="shared" si="8"/>
        <v>0</v>
      </c>
      <c r="M102" s="38">
        <f t="shared" si="9"/>
        <v>0</v>
      </c>
      <c r="N102" s="11"/>
      <c r="O102" s="11"/>
      <c r="P102" s="12">
        <f t="shared" si="10"/>
        <v>0</v>
      </c>
      <c r="Q102" s="28">
        <f t="shared" si="11"/>
        <v>0</v>
      </c>
      <c r="R102" s="9"/>
      <c r="S102" s="9"/>
      <c r="T102" s="9"/>
      <c r="U102" s="9"/>
      <c r="V102" s="9"/>
      <c r="W102" s="10">
        <f t="shared" si="12"/>
        <v>0</v>
      </c>
      <c r="X102" s="30">
        <f t="shared" si="13"/>
        <v>0</v>
      </c>
      <c r="Y102" s="32">
        <f t="shared" si="7"/>
        <v>0</v>
      </c>
    </row>
    <row r="103" spans="1:25" ht="27.6" hidden="1" x14ac:dyDescent="0.3">
      <c r="A103" s="24" t="s">
        <v>36</v>
      </c>
      <c r="B103" s="24" t="s">
        <v>64</v>
      </c>
      <c r="C103" s="24" t="s">
        <v>65</v>
      </c>
      <c r="D103" s="23"/>
      <c r="E103" s="20"/>
      <c r="F103" s="21"/>
      <c r="G103" s="23"/>
      <c r="H103" s="23"/>
      <c r="I103" s="3" t="s">
        <v>148</v>
      </c>
      <c r="J103" s="9"/>
      <c r="K103" s="9"/>
      <c r="L103" s="10">
        <f t="shared" si="8"/>
        <v>0</v>
      </c>
      <c r="M103" s="38">
        <f t="shared" si="9"/>
        <v>0</v>
      </c>
      <c r="N103" s="11"/>
      <c r="O103" s="11"/>
      <c r="P103" s="12">
        <f t="shared" si="10"/>
        <v>0</v>
      </c>
      <c r="Q103" s="28">
        <f t="shared" si="11"/>
        <v>0</v>
      </c>
      <c r="R103" s="9"/>
      <c r="S103" s="9"/>
      <c r="T103" s="9"/>
      <c r="U103" s="9"/>
      <c r="V103" s="9"/>
      <c r="W103" s="10">
        <f t="shared" si="12"/>
        <v>0</v>
      </c>
      <c r="X103" s="30">
        <f t="shared" si="13"/>
        <v>0</v>
      </c>
      <c r="Y103" s="32">
        <f t="shared" si="7"/>
        <v>0</v>
      </c>
    </row>
    <row r="104" spans="1:25" ht="27.6" hidden="1" x14ac:dyDescent="0.3">
      <c r="A104" s="24" t="s">
        <v>36</v>
      </c>
      <c r="B104" s="24" t="s">
        <v>103</v>
      </c>
      <c r="C104" s="24" t="s">
        <v>104</v>
      </c>
      <c r="D104" s="23"/>
      <c r="E104" s="20"/>
      <c r="F104" s="21"/>
      <c r="G104" s="23"/>
      <c r="H104" s="23"/>
      <c r="I104" s="3" t="s">
        <v>149</v>
      </c>
      <c r="J104" s="9"/>
      <c r="K104" s="9"/>
      <c r="L104" s="10">
        <f t="shared" si="8"/>
        <v>0</v>
      </c>
      <c r="M104" s="38">
        <f t="shared" si="9"/>
        <v>0</v>
      </c>
      <c r="N104" s="11"/>
      <c r="O104" s="11"/>
      <c r="P104" s="12">
        <f t="shared" si="10"/>
        <v>0</v>
      </c>
      <c r="Q104" s="28">
        <f t="shared" si="11"/>
        <v>0</v>
      </c>
      <c r="R104" s="9"/>
      <c r="S104" s="9"/>
      <c r="T104" s="9"/>
      <c r="U104" s="9"/>
      <c r="V104" s="9"/>
      <c r="W104" s="10">
        <f t="shared" si="12"/>
        <v>0</v>
      </c>
      <c r="X104" s="30">
        <f t="shared" si="13"/>
        <v>0</v>
      </c>
      <c r="Y104" s="32">
        <f t="shared" si="7"/>
        <v>0</v>
      </c>
    </row>
    <row r="105" spans="1:25" ht="27.6" hidden="1" x14ac:dyDescent="0.3">
      <c r="A105" s="24" t="s">
        <v>36</v>
      </c>
      <c r="B105" s="24"/>
      <c r="C105" s="24" t="s">
        <v>101</v>
      </c>
      <c r="D105" s="23"/>
      <c r="E105" s="20"/>
      <c r="F105" s="21"/>
      <c r="G105" s="23"/>
      <c r="H105" s="23"/>
      <c r="I105" s="3" t="s">
        <v>150</v>
      </c>
      <c r="J105" s="9"/>
      <c r="K105" s="9"/>
      <c r="L105" s="10">
        <f t="shared" si="8"/>
        <v>0</v>
      </c>
      <c r="M105" s="38">
        <f t="shared" si="9"/>
        <v>0</v>
      </c>
      <c r="N105" s="11"/>
      <c r="O105" s="11"/>
      <c r="P105" s="12">
        <f t="shared" si="10"/>
        <v>0</v>
      </c>
      <c r="Q105" s="28">
        <f t="shared" si="11"/>
        <v>0</v>
      </c>
      <c r="R105" s="9"/>
      <c r="S105" s="9"/>
      <c r="T105" s="9"/>
      <c r="U105" s="9"/>
      <c r="V105" s="9"/>
      <c r="W105" s="10">
        <f t="shared" si="12"/>
        <v>0</v>
      </c>
      <c r="X105" s="30">
        <f t="shared" si="13"/>
        <v>0</v>
      </c>
      <c r="Y105" s="32">
        <f t="shared" si="7"/>
        <v>0</v>
      </c>
    </row>
    <row r="106" spans="1:25" ht="27.6" hidden="1" x14ac:dyDescent="0.3">
      <c r="A106" s="24" t="s">
        <v>36</v>
      </c>
      <c r="B106" s="24"/>
      <c r="C106" s="24" t="s">
        <v>101</v>
      </c>
      <c r="D106" s="23"/>
      <c r="E106" s="20"/>
      <c r="F106" s="21"/>
      <c r="G106" s="23"/>
      <c r="H106" s="23"/>
      <c r="I106" s="3" t="s">
        <v>151</v>
      </c>
      <c r="J106" s="9"/>
      <c r="K106" s="9"/>
      <c r="L106" s="10">
        <f t="shared" si="8"/>
        <v>0</v>
      </c>
      <c r="M106" s="38">
        <f t="shared" si="9"/>
        <v>0</v>
      </c>
      <c r="N106" s="11"/>
      <c r="O106" s="11"/>
      <c r="P106" s="12">
        <f t="shared" si="10"/>
        <v>0</v>
      </c>
      <c r="Q106" s="28">
        <f t="shared" si="11"/>
        <v>0</v>
      </c>
      <c r="R106" s="9"/>
      <c r="S106" s="9"/>
      <c r="T106" s="9"/>
      <c r="U106" s="9"/>
      <c r="V106" s="9"/>
      <c r="W106" s="10">
        <f t="shared" si="12"/>
        <v>0</v>
      </c>
      <c r="X106" s="30">
        <f t="shared" si="13"/>
        <v>0</v>
      </c>
      <c r="Y106" s="32">
        <f t="shared" si="7"/>
        <v>0</v>
      </c>
    </row>
    <row r="107" spans="1:25" ht="27.6" hidden="1" x14ac:dyDescent="0.3">
      <c r="A107" s="24" t="s">
        <v>36</v>
      </c>
      <c r="B107" s="24"/>
      <c r="C107" s="24" t="s">
        <v>101</v>
      </c>
      <c r="D107" s="23"/>
      <c r="E107" s="20"/>
      <c r="F107" s="21"/>
      <c r="G107" s="23"/>
      <c r="H107" s="23"/>
      <c r="I107" s="3" t="s">
        <v>152</v>
      </c>
      <c r="J107" s="9"/>
      <c r="K107" s="9"/>
      <c r="L107" s="10">
        <f t="shared" si="8"/>
        <v>0</v>
      </c>
      <c r="M107" s="38">
        <f t="shared" si="9"/>
        <v>0</v>
      </c>
      <c r="N107" s="11"/>
      <c r="O107" s="11"/>
      <c r="P107" s="12">
        <f t="shared" si="10"/>
        <v>0</v>
      </c>
      <c r="Q107" s="28">
        <f t="shared" si="11"/>
        <v>0</v>
      </c>
      <c r="R107" s="9"/>
      <c r="S107" s="9"/>
      <c r="T107" s="9"/>
      <c r="U107" s="9"/>
      <c r="V107" s="9"/>
      <c r="W107" s="10">
        <f t="shared" si="12"/>
        <v>0</v>
      </c>
      <c r="X107" s="30">
        <f t="shared" si="13"/>
        <v>0</v>
      </c>
      <c r="Y107" s="32">
        <f t="shared" si="7"/>
        <v>0</v>
      </c>
    </row>
    <row r="108" spans="1:25" ht="27.6" hidden="1" x14ac:dyDescent="0.3">
      <c r="A108" s="24" t="s">
        <v>35</v>
      </c>
      <c r="B108" s="24"/>
      <c r="C108" s="24" t="s">
        <v>37</v>
      </c>
      <c r="D108" s="23"/>
      <c r="E108" s="20"/>
      <c r="F108" s="21"/>
      <c r="G108" s="23"/>
      <c r="H108" s="23"/>
      <c r="I108" s="3" t="s">
        <v>153</v>
      </c>
      <c r="J108" s="9"/>
      <c r="K108" s="9"/>
      <c r="L108" s="10">
        <f t="shared" si="8"/>
        <v>0</v>
      </c>
      <c r="M108" s="38">
        <f t="shared" si="9"/>
        <v>0</v>
      </c>
      <c r="N108" s="11"/>
      <c r="O108" s="11"/>
      <c r="P108" s="12">
        <f t="shared" si="10"/>
        <v>0</v>
      </c>
      <c r="Q108" s="28">
        <f t="shared" si="11"/>
        <v>0</v>
      </c>
      <c r="R108" s="9"/>
      <c r="S108" s="9"/>
      <c r="T108" s="9"/>
      <c r="U108" s="9"/>
      <c r="V108" s="9"/>
      <c r="W108" s="10">
        <f t="shared" si="12"/>
        <v>0</v>
      </c>
      <c r="X108" s="30">
        <f t="shared" si="13"/>
        <v>0</v>
      </c>
      <c r="Y108" s="32">
        <f t="shared" si="7"/>
        <v>0</v>
      </c>
    </row>
    <row r="109" spans="1:25" ht="27.6" hidden="1" x14ac:dyDescent="0.3">
      <c r="A109" s="24" t="s">
        <v>84</v>
      </c>
      <c r="B109" s="24"/>
      <c r="C109" s="24" t="s">
        <v>85</v>
      </c>
      <c r="D109" s="23"/>
      <c r="E109" s="20"/>
      <c r="F109" s="21"/>
      <c r="G109" s="23"/>
      <c r="H109" s="23"/>
      <c r="I109" s="3" t="s">
        <v>154</v>
      </c>
      <c r="J109" s="9"/>
      <c r="K109" s="9"/>
      <c r="L109" s="10">
        <f t="shared" si="8"/>
        <v>0</v>
      </c>
      <c r="M109" s="38">
        <f t="shared" si="9"/>
        <v>0</v>
      </c>
      <c r="N109" s="11"/>
      <c r="O109" s="11"/>
      <c r="P109" s="12">
        <f t="shared" si="10"/>
        <v>0</v>
      </c>
      <c r="Q109" s="28">
        <f t="shared" si="11"/>
        <v>0</v>
      </c>
      <c r="R109" s="9"/>
      <c r="S109" s="9"/>
      <c r="T109" s="9"/>
      <c r="U109" s="9"/>
      <c r="V109" s="9"/>
      <c r="W109" s="10">
        <f t="shared" si="12"/>
        <v>0</v>
      </c>
      <c r="X109" s="30">
        <f t="shared" si="13"/>
        <v>0</v>
      </c>
      <c r="Y109" s="32">
        <f t="shared" si="7"/>
        <v>0</v>
      </c>
    </row>
    <row r="110" spans="1:25" ht="27.6" hidden="1" x14ac:dyDescent="0.3">
      <c r="A110" s="24" t="s">
        <v>84</v>
      </c>
      <c r="B110" s="24" t="s">
        <v>35</v>
      </c>
      <c r="C110" s="24" t="s">
        <v>46</v>
      </c>
      <c r="D110" s="23"/>
      <c r="E110" s="20"/>
      <c r="F110" s="21"/>
      <c r="G110" s="23"/>
      <c r="H110" s="23"/>
      <c r="I110" s="3" t="s">
        <v>155</v>
      </c>
      <c r="J110" s="9"/>
      <c r="K110" s="9"/>
      <c r="L110" s="10">
        <f t="shared" si="8"/>
        <v>0</v>
      </c>
      <c r="M110" s="38">
        <f t="shared" si="9"/>
        <v>0</v>
      </c>
      <c r="N110" s="11"/>
      <c r="O110" s="11"/>
      <c r="P110" s="12">
        <f t="shared" si="10"/>
        <v>0</v>
      </c>
      <c r="Q110" s="28">
        <f t="shared" si="11"/>
        <v>0</v>
      </c>
      <c r="R110" s="9"/>
      <c r="S110" s="9"/>
      <c r="T110" s="9"/>
      <c r="U110" s="9"/>
      <c r="V110" s="9"/>
      <c r="W110" s="10">
        <f t="shared" si="12"/>
        <v>0</v>
      </c>
      <c r="X110" s="30">
        <f t="shared" si="13"/>
        <v>0</v>
      </c>
      <c r="Y110" s="32">
        <f t="shared" si="7"/>
        <v>0</v>
      </c>
    </row>
    <row r="111" spans="1:25" ht="27.6" hidden="1" x14ac:dyDescent="0.3">
      <c r="A111" s="24" t="s">
        <v>84</v>
      </c>
      <c r="B111" s="24" t="s">
        <v>35</v>
      </c>
      <c r="C111" s="24" t="s">
        <v>48</v>
      </c>
      <c r="D111" s="23"/>
      <c r="E111" s="20"/>
      <c r="F111" s="21"/>
      <c r="G111" s="23"/>
      <c r="H111" s="23"/>
      <c r="I111" s="3" t="s">
        <v>156</v>
      </c>
      <c r="J111" s="9"/>
      <c r="K111" s="9"/>
      <c r="L111" s="10">
        <f t="shared" si="8"/>
        <v>0</v>
      </c>
      <c r="M111" s="38">
        <f t="shared" si="9"/>
        <v>0</v>
      </c>
      <c r="N111" s="11"/>
      <c r="O111" s="11"/>
      <c r="P111" s="12">
        <f t="shared" si="10"/>
        <v>0</v>
      </c>
      <c r="Q111" s="28">
        <f t="shared" si="11"/>
        <v>0</v>
      </c>
      <c r="R111" s="9"/>
      <c r="S111" s="9"/>
      <c r="T111" s="9"/>
      <c r="U111" s="9"/>
      <c r="V111" s="9"/>
      <c r="W111" s="10">
        <f t="shared" si="12"/>
        <v>0</v>
      </c>
      <c r="X111" s="30">
        <f t="shared" si="13"/>
        <v>0</v>
      </c>
      <c r="Y111" s="32">
        <f t="shared" si="7"/>
        <v>0</v>
      </c>
    </row>
    <row r="112" spans="1:25" ht="27.6" hidden="1" x14ac:dyDescent="0.3">
      <c r="A112" s="24" t="s">
        <v>84</v>
      </c>
      <c r="B112" s="24" t="s">
        <v>35</v>
      </c>
      <c r="C112" s="24" t="s">
        <v>50</v>
      </c>
      <c r="D112" s="23"/>
      <c r="E112" s="20"/>
      <c r="F112" s="21"/>
      <c r="G112" s="23"/>
      <c r="H112" s="23"/>
      <c r="I112" s="3" t="s">
        <v>157</v>
      </c>
      <c r="J112" s="9"/>
      <c r="K112" s="9"/>
      <c r="L112" s="10">
        <f t="shared" si="8"/>
        <v>0</v>
      </c>
      <c r="M112" s="38">
        <f t="shared" si="9"/>
        <v>0</v>
      </c>
      <c r="N112" s="11"/>
      <c r="O112" s="11"/>
      <c r="P112" s="12">
        <f t="shared" si="10"/>
        <v>0</v>
      </c>
      <c r="Q112" s="28">
        <f t="shared" si="11"/>
        <v>0</v>
      </c>
      <c r="R112" s="9"/>
      <c r="S112" s="9"/>
      <c r="T112" s="9"/>
      <c r="U112" s="9"/>
      <c r="V112" s="9"/>
      <c r="W112" s="10">
        <f t="shared" si="12"/>
        <v>0</v>
      </c>
      <c r="X112" s="30">
        <f t="shared" si="13"/>
        <v>0</v>
      </c>
      <c r="Y112" s="32">
        <f t="shared" si="7"/>
        <v>0</v>
      </c>
    </row>
    <row r="113" spans="1:25" ht="27.6" hidden="1" x14ac:dyDescent="0.3">
      <c r="A113" s="24" t="s">
        <v>84</v>
      </c>
      <c r="B113" s="24"/>
      <c r="C113" s="24" t="s">
        <v>85</v>
      </c>
      <c r="D113" s="23"/>
      <c r="E113" s="20"/>
      <c r="F113" s="21"/>
      <c r="G113" s="23"/>
      <c r="H113" s="23"/>
      <c r="I113" s="3" t="s">
        <v>158</v>
      </c>
      <c r="J113" s="9"/>
      <c r="K113" s="9"/>
      <c r="L113" s="10">
        <f t="shared" si="8"/>
        <v>0</v>
      </c>
      <c r="M113" s="38">
        <f t="shared" si="9"/>
        <v>0</v>
      </c>
      <c r="N113" s="11"/>
      <c r="O113" s="11"/>
      <c r="P113" s="12">
        <f t="shared" si="10"/>
        <v>0</v>
      </c>
      <c r="Q113" s="28">
        <f t="shared" si="11"/>
        <v>0</v>
      </c>
      <c r="R113" s="9"/>
      <c r="S113" s="9"/>
      <c r="T113" s="9"/>
      <c r="U113" s="9"/>
      <c r="V113" s="9"/>
      <c r="W113" s="10">
        <f t="shared" si="12"/>
        <v>0</v>
      </c>
      <c r="X113" s="30">
        <f t="shared" si="13"/>
        <v>0</v>
      </c>
      <c r="Y113" s="32">
        <f t="shared" si="7"/>
        <v>0</v>
      </c>
    </row>
    <row r="114" spans="1:25" ht="27.6" hidden="1" x14ac:dyDescent="0.3">
      <c r="A114" s="24" t="s">
        <v>84</v>
      </c>
      <c r="B114" s="24" t="s">
        <v>35</v>
      </c>
      <c r="C114" s="24" t="s">
        <v>37</v>
      </c>
      <c r="D114" s="23"/>
      <c r="E114" s="20"/>
      <c r="F114" s="21"/>
      <c r="G114" s="23"/>
      <c r="H114" s="23"/>
      <c r="I114" s="3" t="s">
        <v>159</v>
      </c>
      <c r="J114" s="9"/>
      <c r="K114" s="9"/>
      <c r="L114" s="10">
        <f t="shared" si="8"/>
        <v>0</v>
      </c>
      <c r="M114" s="38">
        <f t="shared" si="9"/>
        <v>0</v>
      </c>
      <c r="N114" s="11"/>
      <c r="O114" s="11"/>
      <c r="P114" s="12">
        <f t="shared" si="10"/>
        <v>0</v>
      </c>
      <c r="Q114" s="28">
        <f t="shared" si="11"/>
        <v>0</v>
      </c>
      <c r="R114" s="9"/>
      <c r="S114" s="9"/>
      <c r="T114" s="9"/>
      <c r="U114" s="9"/>
      <c r="V114" s="9"/>
      <c r="W114" s="10">
        <f t="shared" si="12"/>
        <v>0</v>
      </c>
      <c r="X114" s="30">
        <f t="shared" si="13"/>
        <v>0</v>
      </c>
      <c r="Y114" s="32">
        <f t="shared" si="7"/>
        <v>0</v>
      </c>
    </row>
    <row r="115" spans="1:25" ht="27.6" hidden="1" x14ac:dyDescent="0.3">
      <c r="A115" s="24" t="s">
        <v>84</v>
      </c>
      <c r="B115" s="24" t="s">
        <v>35</v>
      </c>
      <c r="C115" s="24" t="s">
        <v>42</v>
      </c>
      <c r="D115" s="23"/>
      <c r="E115" s="20"/>
      <c r="F115" s="21"/>
      <c r="G115" s="23"/>
      <c r="H115" s="23"/>
      <c r="I115" s="3" t="s">
        <v>160</v>
      </c>
      <c r="J115" s="9"/>
      <c r="K115" s="9"/>
      <c r="L115" s="10">
        <f t="shared" si="8"/>
        <v>0</v>
      </c>
      <c r="M115" s="38">
        <f t="shared" si="9"/>
        <v>0</v>
      </c>
      <c r="N115" s="11"/>
      <c r="O115" s="11"/>
      <c r="P115" s="12">
        <f t="shared" si="10"/>
        <v>0</v>
      </c>
      <c r="Q115" s="28">
        <f t="shared" si="11"/>
        <v>0</v>
      </c>
      <c r="R115" s="9"/>
      <c r="S115" s="9"/>
      <c r="T115" s="9"/>
      <c r="U115" s="9"/>
      <c r="V115" s="9"/>
      <c r="W115" s="10">
        <f t="shared" si="12"/>
        <v>0</v>
      </c>
      <c r="X115" s="30">
        <f t="shared" si="13"/>
        <v>0</v>
      </c>
      <c r="Y115" s="32">
        <f t="shared" si="7"/>
        <v>0</v>
      </c>
    </row>
    <row r="116" spans="1:25" ht="27.6" hidden="1" x14ac:dyDescent="0.3">
      <c r="A116" s="24" t="s">
        <v>84</v>
      </c>
      <c r="B116" s="24" t="s">
        <v>35</v>
      </c>
      <c r="C116" s="24" t="s">
        <v>44</v>
      </c>
      <c r="D116" s="23"/>
      <c r="E116" s="20"/>
      <c r="F116" s="21"/>
      <c r="G116" s="23"/>
      <c r="H116" s="23"/>
      <c r="I116" s="3" t="s">
        <v>161</v>
      </c>
      <c r="J116" s="9"/>
      <c r="K116" s="9"/>
      <c r="L116" s="10">
        <f t="shared" si="8"/>
        <v>0</v>
      </c>
      <c r="M116" s="38">
        <f t="shared" si="9"/>
        <v>0</v>
      </c>
      <c r="N116" s="11"/>
      <c r="O116" s="11"/>
      <c r="P116" s="12">
        <f t="shared" si="10"/>
        <v>0</v>
      </c>
      <c r="Q116" s="28">
        <f t="shared" si="11"/>
        <v>0</v>
      </c>
      <c r="R116" s="9"/>
      <c r="S116" s="9"/>
      <c r="T116" s="9"/>
      <c r="U116" s="9"/>
      <c r="V116" s="9"/>
      <c r="W116" s="10">
        <f t="shared" si="12"/>
        <v>0</v>
      </c>
      <c r="X116" s="30">
        <f t="shared" si="13"/>
        <v>0</v>
      </c>
      <c r="Y116" s="32">
        <f t="shared" si="7"/>
        <v>0</v>
      </c>
    </row>
    <row r="117" spans="1:25" ht="27.6" hidden="1" x14ac:dyDescent="0.3">
      <c r="A117" s="24" t="s">
        <v>103</v>
      </c>
      <c r="B117" s="24"/>
      <c r="C117" s="24" t="s">
        <v>104</v>
      </c>
      <c r="D117" s="23"/>
      <c r="E117" s="20"/>
      <c r="F117" s="21"/>
      <c r="G117" s="23"/>
      <c r="H117" s="23"/>
      <c r="I117" s="3" t="s">
        <v>162</v>
      </c>
      <c r="J117" s="9"/>
      <c r="K117" s="9"/>
      <c r="L117" s="10">
        <f t="shared" si="8"/>
        <v>0</v>
      </c>
      <c r="M117" s="38">
        <f t="shared" si="9"/>
        <v>0</v>
      </c>
      <c r="N117" s="11"/>
      <c r="O117" s="11"/>
      <c r="P117" s="12">
        <f t="shared" si="10"/>
        <v>0</v>
      </c>
      <c r="Q117" s="28">
        <f t="shared" si="11"/>
        <v>0</v>
      </c>
      <c r="R117" s="9"/>
      <c r="S117" s="9"/>
      <c r="T117" s="9"/>
      <c r="U117" s="9"/>
      <c r="V117" s="9"/>
      <c r="W117" s="10">
        <f t="shared" si="12"/>
        <v>0</v>
      </c>
      <c r="X117" s="30">
        <f t="shared" si="13"/>
        <v>0</v>
      </c>
      <c r="Y117" s="32">
        <f t="shared" si="7"/>
        <v>0</v>
      </c>
    </row>
    <row r="118" spans="1:25" ht="27.6" x14ac:dyDescent="0.3">
      <c r="A118" s="24" t="s">
        <v>103</v>
      </c>
      <c r="B118" s="24"/>
      <c r="C118" s="24" t="s">
        <v>163</v>
      </c>
      <c r="D118" s="23"/>
      <c r="E118" s="20"/>
      <c r="F118" s="21"/>
      <c r="G118" s="23"/>
      <c r="H118" s="23"/>
      <c r="I118" s="3" t="s">
        <v>164</v>
      </c>
      <c r="J118" s="9">
        <v>1</v>
      </c>
      <c r="K118" s="9">
        <v>1</v>
      </c>
      <c r="L118" s="10">
        <f t="shared" si="8"/>
        <v>0</v>
      </c>
      <c r="M118" s="38">
        <f t="shared" si="9"/>
        <v>100</v>
      </c>
      <c r="N118" s="11">
        <v>1</v>
      </c>
      <c r="O118" s="11">
        <v>1</v>
      </c>
      <c r="P118" s="12">
        <f t="shared" si="10"/>
        <v>0</v>
      </c>
      <c r="Q118" s="28">
        <f t="shared" si="11"/>
        <v>100</v>
      </c>
      <c r="R118" s="9"/>
      <c r="S118" s="9"/>
      <c r="T118" s="9"/>
      <c r="U118" s="9"/>
      <c r="V118" s="9"/>
      <c r="W118" s="10">
        <f t="shared" si="12"/>
        <v>0</v>
      </c>
      <c r="X118" s="30">
        <f t="shared" si="13"/>
        <v>0</v>
      </c>
      <c r="Y118" s="32">
        <f t="shared" si="7"/>
        <v>66.666666666666671</v>
      </c>
    </row>
    <row r="119" spans="1:25" ht="41.4" hidden="1" x14ac:dyDescent="0.3">
      <c r="A119" s="24" t="s">
        <v>103</v>
      </c>
      <c r="B119" s="24"/>
      <c r="C119" s="24" t="s">
        <v>104</v>
      </c>
      <c r="D119" s="23"/>
      <c r="E119" s="20"/>
      <c r="F119" s="21"/>
      <c r="G119" s="23"/>
      <c r="H119" s="23"/>
      <c r="I119" s="3" t="s">
        <v>165</v>
      </c>
      <c r="J119" s="9"/>
      <c r="K119" s="9"/>
      <c r="L119" s="10">
        <f t="shared" si="8"/>
        <v>0</v>
      </c>
      <c r="M119" s="38">
        <f t="shared" si="9"/>
        <v>0</v>
      </c>
      <c r="N119" s="11"/>
      <c r="O119" s="11"/>
      <c r="P119" s="12">
        <f t="shared" si="10"/>
        <v>0</v>
      </c>
      <c r="Q119" s="28">
        <f t="shared" si="11"/>
        <v>0</v>
      </c>
      <c r="R119" s="9"/>
      <c r="S119" s="9"/>
      <c r="T119" s="9"/>
      <c r="U119" s="9"/>
      <c r="V119" s="9"/>
      <c r="W119" s="10">
        <f t="shared" si="12"/>
        <v>0</v>
      </c>
      <c r="X119" s="30">
        <f t="shared" si="13"/>
        <v>0</v>
      </c>
      <c r="Y119" s="32">
        <f t="shared" si="7"/>
        <v>0</v>
      </c>
    </row>
    <row r="120" spans="1:25" ht="21.6" hidden="1" x14ac:dyDescent="0.3">
      <c r="A120" s="24" t="s">
        <v>103</v>
      </c>
      <c r="B120" s="24"/>
      <c r="C120" s="24" t="s">
        <v>104</v>
      </c>
      <c r="D120" s="23"/>
      <c r="E120" s="20"/>
      <c r="F120" s="21"/>
      <c r="G120" s="23"/>
      <c r="H120" s="23"/>
      <c r="I120" s="3" t="s">
        <v>166</v>
      </c>
      <c r="J120" s="9"/>
      <c r="K120" s="9"/>
      <c r="L120" s="10">
        <f t="shared" si="8"/>
        <v>0</v>
      </c>
      <c r="M120" s="38">
        <f t="shared" si="9"/>
        <v>0</v>
      </c>
      <c r="N120" s="11"/>
      <c r="O120" s="11"/>
      <c r="P120" s="12">
        <f t="shared" si="10"/>
        <v>0</v>
      </c>
      <c r="Q120" s="28">
        <f t="shared" si="11"/>
        <v>0</v>
      </c>
      <c r="R120" s="9"/>
      <c r="S120" s="9"/>
      <c r="T120" s="9"/>
      <c r="U120" s="9"/>
      <c r="V120" s="9"/>
      <c r="W120" s="10">
        <f t="shared" si="12"/>
        <v>0</v>
      </c>
      <c r="X120" s="30">
        <f t="shared" si="13"/>
        <v>0</v>
      </c>
      <c r="Y120" s="32">
        <f t="shared" si="7"/>
        <v>0</v>
      </c>
    </row>
    <row r="121" spans="1:25" x14ac:dyDescent="0.3">
      <c r="A121" s="24" t="s">
        <v>103</v>
      </c>
      <c r="B121" s="24"/>
      <c r="C121" s="24" t="s">
        <v>163</v>
      </c>
      <c r="D121" s="23"/>
      <c r="E121" s="20"/>
      <c r="F121" s="21"/>
      <c r="G121" s="23"/>
      <c r="H121" s="23"/>
      <c r="I121" s="3" t="s">
        <v>167</v>
      </c>
      <c r="J121" s="9"/>
      <c r="K121" s="9"/>
      <c r="L121" s="10">
        <f t="shared" si="8"/>
        <v>0</v>
      </c>
      <c r="M121" s="38">
        <f t="shared" si="9"/>
        <v>0</v>
      </c>
      <c r="N121" s="11"/>
      <c r="O121" s="11"/>
      <c r="P121" s="12">
        <f t="shared" si="10"/>
        <v>0</v>
      </c>
      <c r="Q121" s="28">
        <f t="shared" si="11"/>
        <v>0</v>
      </c>
      <c r="R121" s="9"/>
      <c r="S121" s="9"/>
      <c r="T121" s="9"/>
      <c r="U121" s="9"/>
      <c r="V121" s="9"/>
      <c r="W121" s="10">
        <f t="shared" si="12"/>
        <v>0</v>
      </c>
      <c r="X121" s="30">
        <f t="shared" si="13"/>
        <v>0</v>
      </c>
      <c r="Y121" s="32">
        <f t="shared" si="7"/>
        <v>0</v>
      </c>
    </row>
    <row r="122" spans="1:25" ht="41.4" hidden="1" x14ac:dyDescent="0.3">
      <c r="A122" s="24" t="s">
        <v>103</v>
      </c>
      <c r="B122" s="24"/>
      <c r="C122" s="24" t="s">
        <v>104</v>
      </c>
      <c r="D122" s="23"/>
      <c r="E122" s="20"/>
      <c r="F122" s="21"/>
      <c r="G122" s="23"/>
      <c r="H122" s="23"/>
      <c r="I122" s="3" t="s">
        <v>168</v>
      </c>
      <c r="J122" s="9"/>
      <c r="K122" s="9"/>
      <c r="L122" s="10">
        <f t="shared" si="8"/>
        <v>0</v>
      </c>
      <c r="M122" s="38">
        <f t="shared" si="9"/>
        <v>0</v>
      </c>
      <c r="N122" s="11"/>
      <c r="O122" s="11"/>
      <c r="P122" s="12">
        <f t="shared" si="10"/>
        <v>0</v>
      </c>
      <c r="Q122" s="28">
        <f t="shared" si="11"/>
        <v>0</v>
      </c>
      <c r="R122" s="9"/>
      <c r="S122" s="9"/>
      <c r="T122" s="9"/>
      <c r="U122" s="9"/>
      <c r="V122" s="9"/>
      <c r="W122" s="10">
        <f t="shared" si="12"/>
        <v>0</v>
      </c>
      <c r="X122" s="30">
        <f t="shared" si="13"/>
        <v>0</v>
      </c>
      <c r="Y122" s="32">
        <f t="shared" si="7"/>
        <v>0</v>
      </c>
    </row>
    <row r="123" spans="1:25" ht="27.6" x14ac:dyDescent="0.3">
      <c r="A123" s="24" t="s">
        <v>103</v>
      </c>
      <c r="B123" s="24"/>
      <c r="C123" s="24" t="s">
        <v>163</v>
      </c>
      <c r="D123" s="23"/>
      <c r="E123" s="20"/>
      <c r="F123" s="21"/>
      <c r="G123" s="23"/>
      <c r="H123" s="23"/>
      <c r="I123" s="3" t="s">
        <v>169</v>
      </c>
      <c r="J123" s="9"/>
      <c r="K123" s="9"/>
      <c r="L123" s="10">
        <f t="shared" si="8"/>
        <v>0</v>
      </c>
      <c r="M123" s="38">
        <f t="shared" si="9"/>
        <v>0</v>
      </c>
      <c r="N123" s="11"/>
      <c r="O123" s="11"/>
      <c r="P123" s="12">
        <f t="shared" si="10"/>
        <v>0</v>
      </c>
      <c r="Q123" s="28">
        <f t="shared" si="11"/>
        <v>0</v>
      </c>
      <c r="R123" s="9"/>
      <c r="S123" s="9"/>
      <c r="T123" s="9"/>
      <c r="U123" s="9"/>
      <c r="V123" s="9"/>
      <c r="W123" s="10">
        <f t="shared" si="12"/>
        <v>0</v>
      </c>
      <c r="X123" s="30">
        <f t="shared" si="13"/>
        <v>0</v>
      </c>
      <c r="Y123" s="32">
        <f t="shared" si="7"/>
        <v>0</v>
      </c>
    </row>
    <row r="124" spans="1:25" ht="41.4" hidden="1" x14ac:dyDescent="0.3">
      <c r="A124" s="24" t="s">
        <v>103</v>
      </c>
      <c r="B124" s="24"/>
      <c r="C124" s="24" t="s">
        <v>104</v>
      </c>
      <c r="D124" s="23"/>
      <c r="E124" s="20"/>
      <c r="F124" s="21"/>
      <c r="G124" s="23"/>
      <c r="H124" s="23"/>
      <c r="I124" s="3" t="s">
        <v>170</v>
      </c>
      <c r="J124" s="9"/>
      <c r="K124" s="9"/>
      <c r="L124" s="10">
        <f t="shared" si="8"/>
        <v>0</v>
      </c>
      <c r="M124" s="38">
        <f t="shared" si="9"/>
        <v>0</v>
      </c>
      <c r="N124" s="11"/>
      <c r="O124" s="11"/>
      <c r="P124" s="12">
        <f t="shared" si="10"/>
        <v>0</v>
      </c>
      <c r="Q124" s="28">
        <f t="shared" si="11"/>
        <v>0</v>
      </c>
      <c r="R124" s="9"/>
      <c r="S124" s="9"/>
      <c r="T124" s="9"/>
      <c r="U124" s="9"/>
      <c r="V124" s="9"/>
      <c r="W124" s="10">
        <f t="shared" si="12"/>
        <v>0</v>
      </c>
      <c r="X124" s="30">
        <f t="shared" si="13"/>
        <v>0</v>
      </c>
      <c r="Y124" s="32">
        <f t="shared" si="7"/>
        <v>0</v>
      </c>
    </row>
    <row r="125" spans="1:25" ht="41.4" x14ac:dyDescent="0.3">
      <c r="A125" s="24" t="s">
        <v>103</v>
      </c>
      <c r="B125" s="24"/>
      <c r="C125" s="24" t="s">
        <v>163</v>
      </c>
      <c r="D125" s="23"/>
      <c r="E125" s="20"/>
      <c r="F125" s="21"/>
      <c r="G125" s="23"/>
      <c r="H125" s="23"/>
      <c r="I125" s="3" t="s">
        <v>171</v>
      </c>
      <c r="J125" s="9">
        <v>194</v>
      </c>
      <c r="K125" s="9">
        <v>172</v>
      </c>
      <c r="L125" s="10">
        <f t="shared" si="8"/>
        <v>22</v>
      </c>
      <c r="M125" s="38">
        <f t="shared" si="9"/>
        <v>88.659793814432987</v>
      </c>
      <c r="N125" s="11">
        <f>+J125/2</f>
        <v>97</v>
      </c>
      <c r="O125" s="11">
        <f>8.5*172</f>
        <v>1462</v>
      </c>
      <c r="P125" s="12">
        <f t="shared" si="10"/>
        <v>-1365</v>
      </c>
      <c r="Q125" s="28">
        <f t="shared" si="11"/>
        <v>6.6347469220246236</v>
      </c>
      <c r="R125" s="9"/>
      <c r="S125" s="9"/>
      <c r="T125" s="9"/>
      <c r="U125" s="9"/>
      <c r="V125" s="9"/>
      <c r="W125" s="10">
        <f t="shared" si="12"/>
        <v>0</v>
      </c>
      <c r="X125" s="30">
        <f t="shared" si="13"/>
        <v>0</v>
      </c>
      <c r="Y125" s="32">
        <f t="shared" si="7"/>
        <v>31.764846912152535</v>
      </c>
    </row>
    <row r="126" spans="1:25" ht="27.6" x14ac:dyDescent="0.3">
      <c r="A126" s="24" t="s">
        <v>103</v>
      </c>
      <c r="B126" s="24"/>
      <c r="C126" s="24" t="s">
        <v>163</v>
      </c>
      <c r="D126" s="23"/>
      <c r="E126" s="20"/>
      <c r="F126" s="21"/>
      <c r="G126" s="23"/>
      <c r="H126" s="23"/>
      <c r="I126" s="3" t="s">
        <v>172</v>
      </c>
      <c r="J126" s="9"/>
      <c r="K126" s="9"/>
      <c r="L126" s="10">
        <f t="shared" si="8"/>
        <v>0</v>
      </c>
      <c r="M126" s="38">
        <f t="shared" si="9"/>
        <v>0</v>
      </c>
      <c r="N126" s="11"/>
      <c r="O126" s="11"/>
      <c r="P126" s="12">
        <f t="shared" si="10"/>
        <v>0</v>
      </c>
      <c r="Q126" s="28">
        <f t="shared" si="11"/>
        <v>0</v>
      </c>
      <c r="R126" s="9"/>
      <c r="S126" s="9"/>
      <c r="T126" s="9"/>
      <c r="U126" s="9"/>
      <c r="V126" s="9"/>
      <c r="W126" s="10">
        <f t="shared" si="12"/>
        <v>0</v>
      </c>
      <c r="X126" s="30">
        <f t="shared" si="13"/>
        <v>0</v>
      </c>
      <c r="Y126" s="32">
        <f t="shared" si="7"/>
        <v>0</v>
      </c>
    </row>
    <row r="127" spans="1:25" ht="41.4" hidden="1" x14ac:dyDescent="0.3">
      <c r="A127" s="24" t="s">
        <v>103</v>
      </c>
      <c r="B127" s="24"/>
      <c r="C127" s="24" t="s">
        <v>104</v>
      </c>
      <c r="D127" s="23"/>
      <c r="E127" s="20"/>
      <c r="F127" s="21"/>
      <c r="G127" s="23"/>
      <c r="H127" s="23"/>
      <c r="I127" s="3" t="s">
        <v>173</v>
      </c>
      <c r="J127" s="9"/>
      <c r="K127" s="9"/>
      <c r="L127" s="10">
        <f t="shared" si="8"/>
        <v>0</v>
      </c>
      <c r="M127" s="38">
        <f t="shared" si="9"/>
        <v>0</v>
      </c>
      <c r="N127" s="11"/>
      <c r="O127" s="11"/>
      <c r="P127" s="12">
        <f t="shared" si="10"/>
        <v>0</v>
      </c>
      <c r="Q127" s="28">
        <f t="shared" si="11"/>
        <v>0</v>
      </c>
      <c r="R127" s="9"/>
      <c r="S127" s="9"/>
      <c r="T127" s="9"/>
      <c r="U127" s="9"/>
      <c r="V127" s="9"/>
      <c r="W127" s="10">
        <f t="shared" si="12"/>
        <v>0</v>
      </c>
      <c r="X127" s="30">
        <f t="shared" si="13"/>
        <v>0</v>
      </c>
      <c r="Y127" s="32">
        <f t="shared" si="7"/>
        <v>0</v>
      </c>
    </row>
    <row r="128" spans="1:25" ht="27.6" x14ac:dyDescent="0.3">
      <c r="A128" s="24" t="s">
        <v>103</v>
      </c>
      <c r="B128" s="24" t="s">
        <v>84</v>
      </c>
      <c r="C128" s="24" t="s">
        <v>163</v>
      </c>
      <c r="D128" s="23"/>
      <c r="E128" s="20"/>
      <c r="F128" s="21"/>
      <c r="G128" s="23"/>
      <c r="H128" s="23"/>
      <c r="I128" s="3" t="s">
        <v>174</v>
      </c>
      <c r="J128" s="9"/>
      <c r="K128" s="9"/>
      <c r="L128" s="10">
        <f t="shared" si="8"/>
        <v>0</v>
      </c>
      <c r="M128" s="38">
        <f t="shared" si="9"/>
        <v>0</v>
      </c>
      <c r="N128" s="11"/>
      <c r="O128" s="11"/>
      <c r="P128" s="12">
        <f t="shared" si="10"/>
        <v>0</v>
      </c>
      <c r="Q128" s="28">
        <f t="shared" si="11"/>
        <v>0</v>
      </c>
      <c r="R128" s="9"/>
      <c r="S128" s="9"/>
      <c r="T128" s="9"/>
      <c r="U128" s="9"/>
      <c r="V128" s="9"/>
      <c r="W128" s="10">
        <f t="shared" si="12"/>
        <v>0</v>
      </c>
      <c r="X128" s="30">
        <f t="shared" si="13"/>
        <v>0</v>
      </c>
      <c r="Y128" s="32">
        <f t="shared" si="7"/>
        <v>0</v>
      </c>
    </row>
    <row r="129" spans="1:25" ht="27.6" hidden="1" x14ac:dyDescent="0.3">
      <c r="A129" s="24" t="s">
        <v>103</v>
      </c>
      <c r="B129" s="24"/>
      <c r="C129" s="24" t="s">
        <v>104</v>
      </c>
      <c r="D129" s="23"/>
      <c r="E129" s="20"/>
      <c r="F129" s="21"/>
      <c r="G129" s="23"/>
      <c r="H129" s="23"/>
      <c r="I129" s="3" t="s">
        <v>175</v>
      </c>
      <c r="J129" s="9"/>
      <c r="K129" s="9"/>
      <c r="L129" s="10">
        <f t="shared" si="8"/>
        <v>0</v>
      </c>
      <c r="M129" s="38">
        <f t="shared" si="9"/>
        <v>0</v>
      </c>
      <c r="N129" s="11"/>
      <c r="O129" s="11"/>
      <c r="P129" s="12">
        <f t="shared" si="10"/>
        <v>0</v>
      </c>
      <c r="Q129" s="28">
        <f t="shared" si="11"/>
        <v>0</v>
      </c>
      <c r="R129" s="9"/>
      <c r="S129" s="9"/>
      <c r="T129" s="9"/>
      <c r="U129" s="9"/>
      <c r="V129" s="9"/>
      <c r="W129" s="10">
        <f t="shared" si="12"/>
        <v>0</v>
      </c>
      <c r="X129" s="30">
        <f t="shared" si="13"/>
        <v>0</v>
      </c>
      <c r="Y129" s="32">
        <f t="shared" si="7"/>
        <v>0</v>
      </c>
    </row>
    <row r="130" spans="1:25" ht="41.4" hidden="1" x14ac:dyDescent="0.3">
      <c r="A130" s="24" t="s">
        <v>103</v>
      </c>
      <c r="B130" s="24"/>
      <c r="C130" s="24" t="s">
        <v>104</v>
      </c>
      <c r="D130" s="23"/>
      <c r="E130" s="20"/>
      <c r="F130" s="21"/>
      <c r="G130" s="23"/>
      <c r="H130" s="23"/>
      <c r="I130" s="3" t="s">
        <v>176</v>
      </c>
      <c r="J130" s="9"/>
      <c r="K130" s="9"/>
      <c r="L130" s="10">
        <f t="shared" si="8"/>
        <v>0</v>
      </c>
      <c r="M130" s="38">
        <f t="shared" si="9"/>
        <v>0</v>
      </c>
      <c r="N130" s="11"/>
      <c r="O130" s="11"/>
      <c r="P130" s="12">
        <f t="shared" si="10"/>
        <v>0</v>
      </c>
      <c r="Q130" s="28">
        <f t="shared" si="11"/>
        <v>0</v>
      </c>
      <c r="R130" s="9"/>
      <c r="S130" s="9"/>
      <c r="T130" s="9"/>
      <c r="U130" s="9"/>
      <c r="V130" s="9"/>
      <c r="W130" s="10">
        <f t="shared" si="12"/>
        <v>0</v>
      </c>
      <c r="X130" s="30">
        <f t="shared" si="13"/>
        <v>0</v>
      </c>
      <c r="Y130" s="32">
        <f t="shared" si="7"/>
        <v>0</v>
      </c>
    </row>
    <row r="131" spans="1:25" ht="27.6" x14ac:dyDescent="0.3">
      <c r="A131" s="24" t="s">
        <v>103</v>
      </c>
      <c r="B131" s="24"/>
      <c r="C131" s="24" t="s">
        <v>163</v>
      </c>
      <c r="D131" s="23"/>
      <c r="E131" s="20"/>
      <c r="F131" s="21"/>
      <c r="G131" s="23"/>
      <c r="H131" s="23"/>
      <c r="I131" s="3" t="s">
        <v>177</v>
      </c>
      <c r="J131" s="9"/>
      <c r="K131" s="9"/>
      <c r="L131" s="10">
        <f t="shared" si="8"/>
        <v>0</v>
      </c>
      <c r="M131" s="38">
        <f t="shared" si="9"/>
        <v>0</v>
      </c>
      <c r="N131" s="11"/>
      <c r="O131" s="11"/>
      <c r="P131" s="12">
        <f t="shared" si="10"/>
        <v>0</v>
      </c>
      <c r="Q131" s="28">
        <f t="shared" si="11"/>
        <v>0</v>
      </c>
      <c r="R131" s="9"/>
      <c r="S131" s="9"/>
      <c r="T131" s="9"/>
      <c r="U131" s="9"/>
      <c r="V131" s="9"/>
      <c r="W131" s="10">
        <f t="shared" si="12"/>
        <v>0</v>
      </c>
      <c r="X131" s="30">
        <f t="shared" si="13"/>
        <v>0</v>
      </c>
      <c r="Y131" s="32">
        <f t="shared" si="7"/>
        <v>0</v>
      </c>
    </row>
    <row r="132" spans="1:25" ht="27.6" hidden="1" x14ac:dyDescent="0.3">
      <c r="A132" s="24" t="s">
        <v>103</v>
      </c>
      <c r="B132" s="24"/>
      <c r="C132" s="24" t="s">
        <v>104</v>
      </c>
      <c r="D132" s="23"/>
      <c r="E132" s="20"/>
      <c r="F132" s="21"/>
      <c r="G132" s="23"/>
      <c r="H132" s="23"/>
      <c r="I132" s="3" t="s">
        <v>178</v>
      </c>
      <c r="J132" s="9"/>
      <c r="K132" s="9"/>
      <c r="L132" s="10">
        <f t="shared" si="8"/>
        <v>0</v>
      </c>
      <c r="M132" s="38">
        <f t="shared" si="9"/>
        <v>0</v>
      </c>
      <c r="N132" s="11"/>
      <c r="O132" s="11"/>
      <c r="P132" s="12">
        <f t="shared" si="10"/>
        <v>0</v>
      </c>
      <c r="Q132" s="28">
        <f t="shared" si="11"/>
        <v>0</v>
      </c>
      <c r="R132" s="9"/>
      <c r="S132" s="9"/>
      <c r="T132" s="9"/>
      <c r="U132" s="9"/>
      <c r="V132" s="9"/>
      <c r="W132" s="10">
        <f t="shared" si="12"/>
        <v>0</v>
      </c>
      <c r="X132" s="30">
        <f t="shared" si="13"/>
        <v>0</v>
      </c>
      <c r="Y132" s="32">
        <f t="shared" si="7"/>
        <v>0</v>
      </c>
    </row>
    <row r="133" spans="1:25" ht="27.6" x14ac:dyDescent="0.3">
      <c r="A133" s="24" t="s">
        <v>103</v>
      </c>
      <c r="B133" s="24" t="s">
        <v>36</v>
      </c>
      <c r="C133" s="24" t="s">
        <v>163</v>
      </c>
      <c r="D133" s="23"/>
      <c r="E133" s="20"/>
      <c r="F133" s="21"/>
      <c r="G133" s="23"/>
      <c r="H133" s="23"/>
      <c r="I133" s="3" t="s">
        <v>179</v>
      </c>
      <c r="J133" s="9"/>
      <c r="K133" s="9"/>
      <c r="L133" s="10">
        <f t="shared" si="8"/>
        <v>0</v>
      </c>
      <c r="M133" s="38">
        <f t="shared" si="9"/>
        <v>0</v>
      </c>
      <c r="N133" s="11"/>
      <c r="O133" s="11"/>
      <c r="P133" s="12">
        <f t="shared" si="10"/>
        <v>0</v>
      </c>
      <c r="Q133" s="28">
        <f t="shared" si="11"/>
        <v>0</v>
      </c>
      <c r="R133" s="9"/>
      <c r="S133" s="9"/>
      <c r="T133" s="9"/>
      <c r="U133" s="9"/>
      <c r="V133" s="9"/>
      <c r="W133" s="10">
        <f t="shared" si="12"/>
        <v>0</v>
      </c>
      <c r="X133" s="30">
        <f t="shared" si="13"/>
        <v>0</v>
      </c>
      <c r="Y133" s="32">
        <f t="shared" si="7"/>
        <v>0</v>
      </c>
    </row>
    <row r="134" spans="1:25" ht="27.6" hidden="1" x14ac:dyDescent="0.3">
      <c r="A134" s="24" t="s">
        <v>103</v>
      </c>
      <c r="B134" s="24"/>
      <c r="C134" s="24" t="s">
        <v>104</v>
      </c>
      <c r="D134" s="23"/>
      <c r="E134" s="20"/>
      <c r="F134" s="21"/>
      <c r="G134" s="23"/>
      <c r="H134" s="23"/>
      <c r="I134" s="3" t="s">
        <v>180</v>
      </c>
      <c r="J134" s="9"/>
      <c r="K134" s="9"/>
      <c r="L134" s="10">
        <f t="shared" si="8"/>
        <v>0</v>
      </c>
      <c r="M134" s="38">
        <f t="shared" si="9"/>
        <v>0</v>
      </c>
      <c r="N134" s="11"/>
      <c r="O134" s="11"/>
      <c r="P134" s="12">
        <f t="shared" si="10"/>
        <v>0</v>
      </c>
      <c r="Q134" s="28">
        <f t="shared" si="11"/>
        <v>0</v>
      </c>
      <c r="R134" s="9"/>
      <c r="S134" s="9"/>
      <c r="T134" s="9"/>
      <c r="U134" s="9"/>
      <c r="V134" s="9"/>
      <c r="W134" s="10">
        <f t="shared" si="12"/>
        <v>0</v>
      </c>
      <c r="X134" s="30">
        <f t="shared" si="13"/>
        <v>0</v>
      </c>
      <c r="Y134" s="32">
        <f t="shared" si="7"/>
        <v>0</v>
      </c>
    </row>
    <row r="135" spans="1:25" ht="27.6" x14ac:dyDescent="0.3">
      <c r="A135" s="24" t="s">
        <v>103</v>
      </c>
      <c r="B135" s="24" t="s">
        <v>35</v>
      </c>
      <c r="C135" s="24" t="s">
        <v>163</v>
      </c>
      <c r="D135" s="23"/>
      <c r="E135" s="20"/>
      <c r="F135" s="21"/>
      <c r="G135" s="23"/>
      <c r="H135" s="23"/>
      <c r="I135" s="3" t="s">
        <v>181</v>
      </c>
      <c r="J135" s="9"/>
      <c r="K135" s="9"/>
      <c r="L135" s="10">
        <f t="shared" si="8"/>
        <v>0</v>
      </c>
      <c r="M135" s="38">
        <f t="shared" si="9"/>
        <v>0</v>
      </c>
      <c r="N135" s="11"/>
      <c r="O135" s="11"/>
      <c r="P135" s="12">
        <f t="shared" si="10"/>
        <v>0</v>
      </c>
      <c r="Q135" s="28">
        <f t="shared" si="11"/>
        <v>0</v>
      </c>
      <c r="R135" s="9"/>
      <c r="S135" s="9"/>
      <c r="T135" s="9"/>
      <c r="U135" s="9"/>
      <c r="V135" s="9"/>
      <c r="W135" s="10">
        <f t="shared" si="12"/>
        <v>0</v>
      </c>
      <c r="X135" s="30">
        <f t="shared" si="13"/>
        <v>0</v>
      </c>
      <c r="Y135" s="32">
        <f t="shared" si="7"/>
        <v>0</v>
      </c>
    </row>
    <row r="136" spans="1:25" ht="27.6" hidden="1" x14ac:dyDescent="0.3">
      <c r="A136" s="24" t="s">
        <v>182</v>
      </c>
      <c r="B136" s="24" t="s">
        <v>35</v>
      </c>
      <c r="C136" s="24" t="s">
        <v>183</v>
      </c>
      <c r="D136" s="23"/>
      <c r="E136" s="20"/>
      <c r="F136" s="21"/>
      <c r="G136" s="23"/>
      <c r="H136" s="23"/>
      <c r="I136" s="3" t="s">
        <v>184</v>
      </c>
      <c r="J136" s="9"/>
      <c r="K136" s="9"/>
      <c r="L136" s="10">
        <f t="shared" si="8"/>
        <v>0</v>
      </c>
      <c r="M136" s="38">
        <f t="shared" si="9"/>
        <v>0</v>
      </c>
      <c r="N136" s="11"/>
      <c r="O136" s="11"/>
      <c r="P136" s="12">
        <f t="shared" si="10"/>
        <v>0</v>
      </c>
      <c r="Q136" s="28">
        <f t="shared" si="11"/>
        <v>0</v>
      </c>
      <c r="R136" s="9"/>
      <c r="S136" s="9"/>
      <c r="T136" s="9"/>
      <c r="U136" s="9"/>
      <c r="V136" s="9"/>
      <c r="W136" s="10">
        <f t="shared" si="12"/>
        <v>0</v>
      </c>
      <c r="X136" s="30">
        <f t="shared" si="13"/>
        <v>0</v>
      </c>
      <c r="Y136" s="32">
        <f t="shared" si="7"/>
        <v>0</v>
      </c>
    </row>
    <row r="137" spans="1:25" ht="27.6" hidden="1" x14ac:dyDescent="0.3">
      <c r="A137" s="24" t="s">
        <v>105</v>
      </c>
      <c r="B137" s="24" t="s">
        <v>35</v>
      </c>
      <c r="C137" s="24" t="s">
        <v>37</v>
      </c>
      <c r="D137" s="23"/>
      <c r="E137" s="20"/>
      <c r="F137" s="21"/>
      <c r="G137" s="23"/>
      <c r="H137" s="23"/>
      <c r="I137" s="3" t="s">
        <v>185</v>
      </c>
      <c r="J137" s="9"/>
      <c r="K137" s="9"/>
      <c r="L137" s="10">
        <f t="shared" si="8"/>
        <v>0</v>
      </c>
      <c r="M137" s="38">
        <f t="shared" si="9"/>
        <v>0</v>
      </c>
      <c r="N137" s="11"/>
      <c r="O137" s="11"/>
      <c r="P137" s="12">
        <f t="shared" si="10"/>
        <v>0</v>
      </c>
      <c r="Q137" s="28">
        <f t="shared" si="11"/>
        <v>0</v>
      </c>
      <c r="R137" s="9"/>
      <c r="S137" s="9"/>
      <c r="T137" s="9"/>
      <c r="U137" s="9"/>
      <c r="V137" s="9"/>
      <c r="W137" s="10">
        <f t="shared" si="12"/>
        <v>0</v>
      </c>
      <c r="X137" s="30">
        <f t="shared" si="13"/>
        <v>0</v>
      </c>
      <c r="Y137" s="32">
        <f t="shared" si="7"/>
        <v>0</v>
      </c>
    </row>
    <row r="138" spans="1:25" ht="27.6" hidden="1" x14ac:dyDescent="0.3">
      <c r="A138" s="24" t="s">
        <v>64</v>
      </c>
      <c r="B138" s="24"/>
      <c r="C138" s="24" t="s">
        <v>65</v>
      </c>
      <c r="D138" s="23"/>
      <c r="E138" s="20"/>
      <c r="F138" s="21"/>
      <c r="G138" s="23"/>
      <c r="H138" s="23"/>
      <c r="I138" s="3" t="s">
        <v>186</v>
      </c>
      <c r="J138" s="9"/>
      <c r="K138" s="9"/>
      <c r="L138" s="10">
        <f t="shared" si="8"/>
        <v>0</v>
      </c>
      <c r="M138" s="38">
        <f t="shared" si="9"/>
        <v>0</v>
      </c>
      <c r="N138" s="11"/>
      <c r="O138" s="11"/>
      <c r="P138" s="12">
        <f t="shared" si="10"/>
        <v>0</v>
      </c>
      <c r="Q138" s="28">
        <f t="shared" si="11"/>
        <v>0</v>
      </c>
      <c r="R138" s="9"/>
      <c r="S138" s="9"/>
      <c r="T138" s="9"/>
      <c r="U138" s="9"/>
      <c r="V138" s="9"/>
      <c r="W138" s="10">
        <f t="shared" si="12"/>
        <v>0</v>
      </c>
      <c r="X138" s="30">
        <f t="shared" si="13"/>
        <v>0</v>
      </c>
      <c r="Y138" s="32">
        <f t="shared" ref="Y138:Y181" si="14">+(Q138+M138+X138)/3</f>
        <v>0</v>
      </c>
    </row>
    <row r="139" spans="1:25" ht="27.6" hidden="1" x14ac:dyDescent="0.3">
      <c r="A139" s="24" t="s">
        <v>105</v>
      </c>
      <c r="B139" s="24" t="s">
        <v>35</v>
      </c>
      <c r="C139" s="24" t="s">
        <v>42</v>
      </c>
      <c r="D139" s="23"/>
      <c r="E139" s="20"/>
      <c r="F139" s="21"/>
      <c r="G139" s="23"/>
      <c r="H139" s="23"/>
      <c r="I139" s="3" t="s">
        <v>187</v>
      </c>
      <c r="J139" s="9"/>
      <c r="K139" s="9"/>
      <c r="L139" s="10">
        <f t="shared" ref="L139:L181" si="15">+J139-K139</f>
        <v>0</v>
      </c>
      <c r="M139" s="38">
        <f t="shared" ref="M139:M181" si="16">IFERROR(IF(7&lt;&gt;0, K139*100/J139, IF(J139=K139, K139*100/J139, 0)), 0)</f>
        <v>0</v>
      </c>
      <c r="N139" s="11"/>
      <c r="O139" s="11"/>
      <c r="P139" s="12">
        <f t="shared" ref="P139:P181" si="17">+N139-O139</f>
        <v>0</v>
      </c>
      <c r="Q139" s="28">
        <f t="shared" ref="Q139:Q181" si="18">IFERROR(IF(P139&lt;&gt;0, N139*100/O139, IF(N139=O139, N139*100/O139, 0)), 0)</f>
        <v>0</v>
      </c>
      <c r="R139" s="9"/>
      <c r="S139" s="9"/>
      <c r="T139" s="9"/>
      <c r="U139" s="9"/>
      <c r="V139" s="9"/>
      <c r="W139" s="10">
        <f t="shared" ref="W139:W181" si="19">SUM(R139:V139)</f>
        <v>0</v>
      </c>
      <c r="X139" s="30">
        <f t="shared" ref="X139:X181" si="20">+W139*100/50</f>
        <v>0</v>
      </c>
      <c r="Y139" s="32">
        <f t="shared" si="14"/>
        <v>0</v>
      </c>
    </row>
    <row r="140" spans="1:25" ht="27.6" hidden="1" x14ac:dyDescent="0.3">
      <c r="A140" s="24" t="s">
        <v>105</v>
      </c>
      <c r="B140" s="24" t="s">
        <v>35</v>
      </c>
      <c r="C140" s="24" t="s">
        <v>44</v>
      </c>
      <c r="D140" s="23"/>
      <c r="E140" s="20"/>
      <c r="F140" s="21"/>
      <c r="G140" s="23"/>
      <c r="H140" s="23"/>
      <c r="I140" s="3" t="s">
        <v>188</v>
      </c>
      <c r="J140" s="9"/>
      <c r="K140" s="9"/>
      <c r="L140" s="10">
        <f t="shared" si="15"/>
        <v>0</v>
      </c>
      <c r="M140" s="38">
        <f t="shared" si="16"/>
        <v>0</v>
      </c>
      <c r="N140" s="11"/>
      <c r="O140" s="11"/>
      <c r="P140" s="12">
        <f t="shared" si="17"/>
        <v>0</v>
      </c>
      <c r="Q140" s="28">
        <f t="shared" si="18"/>
        <v>0</v>
      </c>
      <c r="R140" s="9"/>
      <c r="S140" s="9"/>
      <c r="T140" s="9"/>
      <c r="U140" s="9"/>
      <c r="V140" s="9"/>
      <c r="W140" s="10">
        <f t="shared" si="19"/>
        <v>0</v>
      </c>
      <c r="X140" s="30">
        <f t="shared" si="20"/>
        <v>0</v>
      </c>
      <c r="Y140" s="32">
        <f t="shared" si="14"/>
        <v>0</v>
      </c>
    </row>
    <row r="141" spans="1:25" ht="41.4" hidden="1" x14ac:dyDescent="0.3">
      <c r="A141" s="24" t="s">
        <v>105</v>
      </c>
      <c r="B141" s="24" t="s">
        <v>35</v>
      </c>
      <c r="C141" s="24" t="s">
        <v>46</v>
      </c>
      <c r="D141" s="23"/>
      <c r="E141" s="20"/>
      <c r="F141" s="21"/>
      <c r="G141" s="23"/>
      <c r="H141" s="23"/>
      <c r="I141" s="3" t="s">
        <v>189</v>
      </c>
      <c r="J141" s="9"/>
      <c r="K141" s="9"/>
      <c r="L141" s="10">
        <f t="shared" si="15"/>
        <v>0</v>
      </c>
      <c r="M141" s="38">
        <f t="shared" si="16"/>
        <v>0</v>
      </c>
      <c r="N141" s="11"/>
      <c r="O141" s="11"/>
      <c r="P141" s="12">
        <f t="shared" si="17"/>
        <v>0</v>
      </c>
      <c r="Q141" s="28">
        <f t="shared" si="18"/>
        <v>0</v>
      </c>
      <c r="R141" s="9"/>
      <c r="S141" s="9"/>
      <c r="T141" s="9"/>
      <c r="U141" s="9"/>
      <c r="V141" s="9"/>
      <c r="W141" s="10">
        <f t="shared" si="19"/>
        <v>0</v>
      </c>
      <c r="X141" s="30">
        <f t="shared" si="20"/>
        <v>0</v>
      </c>
      <c r="Y141" s="32">
        <f t="shared" si="14"/>
        <v>0</v>
      </c>
    </row>
    <row r="142" spans="1:25" ht="41.4" hidden="1" x14ac:dyDescent="0.3">
      <c r="A142" s="24" t="s">
        <v>105</v>
      </c>
      <c r="B142" s="24" t="s">
        <v>35</v>
      </c>
      <c r="C142" s="24" t="s">
        <v>48</v>
      </c>
      <c r="D142" s="23"/>
      <c r="E142" s="20"/>
      <c r="F142" s="21"/>
      <c r="G142" s="23"/>
      <c r="H142" s="23"/>
      <c r="I142" s="3" t="s">
        <v>190</v>
      </c>
      <c r="J142" s="9"/>
      <c r="K142" s="9"/>
      <c r="L142" s="10">
        <f t="shared" si="15"/>
        <v>0</v>
      </c>
      <c r="M142" s="38">
        <f t="shared" si="16"/>
        <v>0</v>
      </c>
      <c r="N142" s="11"/>
      <c r="O142" s="11"/>
      <c r="P142" s="12">
        <f t="shared" si="17"/>
        <v>0</v>
      </c>
      <c r="Q142" s="28">
        <f t="shared" si="18"/>
        <v>0</v>
      </c>
      <c r="R142" s="9"/>
      <c r="S142" s="9"/>
      <c r="T142" s="9"/>
      <c r="U142" s="9"/>
      <c r="V142" s="9"/>
      <c r="W142" s="10">
        <f t="shared" si="19"/>
        <v>0</v>
      </c>
      <c r="X142" s="30">
        <f t="shared" si="20"/>
        <v>0</v>
      </c>
      <c r="Y142" s="32">
        <f t="shared" si="14"/>
        <v>0</v>
      </c>
    </row>
    <row r="143" spans="1:25" ht="41.4" hidden="1" x14ac:dyDescent="0.3">
      <c r="A143" s="24" t="s">
        <v>105</v>
      </c>
      <c r="B143" s="24" t="s">
        <v>35</v>
      </c>
      <c r="C143" s="24" t="s">
        <v>50</v>
      </c>
      <c r="D143" s="23"/>
      <c r="E143" s="20"/>
      <c r="F143" s="21"/>
      <c r="G143" s="23"/>
      <c r="H143" s="23"/>
      <c r="I143" s="3" t="s">
        <v>191</v>
      </c>
      <c r="J143" s="9"/>
      <c r="K143" s="9"/>
      <c r="L143" s="10">
        <f t="shared" si="15"/>
        <v>0</v>
      </c>
      <c r="M143" s="38">
        <f t="shared" si="16"/>
        <v>0</v>
      </c>
      <c r="N143" s="11"/>
      <c r="O143" s="11"/>
      <c r="P143" s="12">
        <f t="shared" si="17"/>
        <v>0</v>
      </c>
      <c r="Q143" s="28">
        <f t="shared" si="18"/>
        <v>0</v>
      </c>
      <c r="R143" s="9"/>
      <c r="S143" s="9"/>
      <c r="T143" s="9"/>
      <c r="U143" s="9"/>
      <c r="V143" s="9"/>
      <c r="W143" s="10">
        <f t="shared" si="19"/>
        <v>0</v>
      </c>
      <c r="X143" s="30">
        <f t="shared" si="20"/>
        <v>0</v>
      </c>
      <c r="Y143" s="32">
        <f t="shared" si="14"/>
        <v>0</v>
      </c>
    </row>
    <row r="144" spans="1:25" ht="27.6" hidden="1" x14ac:dyDescent="0.3">
      <c r="A144" s="24" t="s">
        <v>105</v>
      </c>
      <c r="B144" s="24"/>
      <c r="C144" s="24" t="s">
        <v>106</v>
      </c>
      <c r="D144" s="23"/>
      <c r="E144" s="20"/>
      <c r="F144" s="21"/>
      <c r="G144" s="23"/>
      <c r="H144" s="23"/>
      <c r="I144" s="3" t="s">
        <v>192</v>
      </c>
      <c r="J144" s="9"/>
      <c r="K144" s="9"/>
      <c r="L144" s="10">
        <f t="shared" si="15"/>
        <v>0</v>
      </c>
      <c r="M144" s="38">
        <f t="shared" si="16"/>
        <v>0</v>
      </c>
      <c r="N144" s="11"/>
      <c r="O144" s="11"/>
      <c r="P144" s="12">
        <f t="shared" si="17"/>
        <v>0</v>
      </c>
      <c r="Q144" s="28">
        <f t="shared" si="18"/>
        <v>0</v>
      </c>
      <c r="R144" s="9"/>
      <c r="S144" s="9"/>
      <c r="T144" s="9"/>
      <c r="U144" s="9"/>
      <c r="V144" s="9"/>
      <c r="W144" s="10">
        <f t="shared" si="19"/>
        <v>0</v>
      </c>
      <c r="X144" s="30">
        <f t="shared" si="20"/>
        <v>0</v>
      </c>
      <c r="Y144" s="32">
        <f t="shared" si="14"/>
        <v>0</v>
      </c>
    </row>
    <row r="145" spans="1:25" ht="27.6" hidden="1" x14ac:dyDescent="0.3">
      <c r="A145" s="24" t="s">
        <v>105</v>
      </c>
      <c r="B145" s="24"/>
      <c r="C145" s="24" t="s">
        <v>95</v>
      </c>
      <c r="D145" s="23"/>
      <c r="E145" s="20"/>
      <c r="F145" s="21"/>
      <c r="G145" s="23"/>
      <c r="H145" s="23"/>
      <c r="I145" s="3" t="s">
        <v>193</v>
      </c>
      <c r="J145" s="9"/>
      <c r="K145" s="9"/>
      <c r="L145" s="10">
        <f t="shared" si="15"/>
        <v>0</v>
      </c>
      <c r="M145" s="38">
        <f t="shared" si="16"/>
        <v>0</v>
      </c>
      <c r="N145" s="11"/>
      <c r="O145" s="11"/>
      <c r="P145" s="12">
        <f t="shared" si="17"/>
        <v>0</v>
      </c>
      <c r="Q145" s="28">
        <f t="shared" si="18"/>
        <v>0</v>
      </c>
      <c r="R145" s="9"/>
      <c r="S145" s="9"/>
      <c r="T145" s="9"/>
      <c r="U145" s="9"/>
      <c r="V145" s="9"/>
      <c r="W145" s="10">
        <f t="shared" si="19"/>
        <v>0</v>
      </c>
      <c r="X145" s="30">
        <f t="shared" si="20"/>
        <v>0</v>
      </c>
      <c r="Y145" s="32">
        <f t="shared" si="14"/>
        <v>0</v>
      </c>
    </row>
    <row r="146" spans="1:25" ht="41.4" hidden="1" x14ac:dyDescent="0.3">
      <c r="A146" s="24" t="s">
        <v>182</v>
      </c>
      <c r="B146" s="24"/>
      <c r="C146" s="24" t="s">
        <v>183</v>
      </c>
      <c r="D146" s="23"/>
      <c r="E146" s="20"/>
      <c r="F146" s="21"/>
      <c r="G146" s="23"/>
      <c r="H146" s="23"/>
      <c r="I146" s="3" t="s">
        <v>194</v>
      </c>
      <c r="J146" s="9"/>
      <c r="K146" s="9"/>
      <c r="L146" s="10">
        <f t="shared" si="15"/>
        <v>0</v>
      </c>
      <c r="M146" s="38">
        <f t="shared" si="16"/>
        <v>0</v>
      </c>
      <c r="N146" s="11"/>
      <c r="O146" s="11"/>
      <c r="P146" s="12">
        <f t="shared" si="17"/>
        <v>0</v>
      </c>
      <c r="Q146" s="28">
        <f t="shared" si="18"/>
        <v>0</v>
      </c>
      <c r="R146" s="9"/>
      <c r="S146" s="9"/>
      <c r="T146" s="9"/>
      <c r="U146" s="9"/>
      <c r="V146" s="9"/>
      <c r="W146" s="10">
        <f t="shared" si="19"/>
        <v>0</v>
      </c>
      <c r="X146" s="30">
        <f t="shared" si="20"/>
        <v>0</v>
      </c>
      <c r="Y146" s="32">
        <f t="shared" si="14"/>
        <v>0</v>
      </c>
    </row>
    <row r="147" spans="1:25" ht="27.6" hidden="1" x14ac:dyDescent="0.3">
      <c r="A147" s="24" t="s">
        <v>182</v>
      </c>
      <c r="B147" s="24"/>
      <c r="C147" s="24" t="s">
        <v>195</v>
      </c>
      <c r="D147" s="23"/>
      <c r="E147" s="20"/>
      <c r="F147" s="21"/>
      <c r="G147" s="23"/>
      <c r="H147" s="23"/>
      <c r="I147" s="3" t="s">
        <v>196</v>
      </c>
      <c r="J147" s="9"/>
      <c r="K147" s="9"/>
      <c r="L147" s="10">
        <f t="shared" si="15"/>
        <v>0</v>
      </c>
      <c r="M147" s="38">
        <f t="shared" si="16"/>
        <v>0</v>
      </c>
      <c r="N147" s="11"/>
      <c r="O147" s="11"/>
      <c r="P147" s="12">
        <f t="shared" si="17"/>
        <v>0</v>
      </c>
      <c r="Q147" s="28">
        <f t="shared" si="18"/>
        <v>0</v>
      </c>
      <c r="R147" s="9"/>
      <c r="S147" s="9"/>
      <c r="T147" s="9"/>
      <c r="U147" s="9"/>
      <c r="V147" s="9"/>
      <c r="W147" s="10">
        <f t="shared" si="19"/>
        <v>0</v>
      </c>
      <c r="X147" s="30">
        <f t="shared" si="20"/>
        <v>0</v>
      </c>
      <c r="Y147" s="32">
        <f t="shared" si="14"/>
        <v>0</v>
      </c>
    </row>
    <row r="148" spans="1:25" ht="41.4" hidden="1" x14ac:dyDescent="0.3">
      <c r="A148" s="24" t="s">
        <v>182</v>
      </c>
      <c r="B148" s="24"/>
      <c r="C148" s="24" t="s">
        <v>183</v>
      </c>
      <c r="D148" s="23"/>
      <c r="E148" s="20"/>
      <c r="F148" s="21"/>
      <c r="G148" s="23"/>
      <c r="H148" s="23"/>
      <c r="I148" s="3" t="s">
        <v>197</v>
      </c>
      <c r="J148" s="9"/>
      <c r="K148" s="9"/>
      <c r="L148" s="10">
        <f t="shared" si="15"/>
        <v>0</v>
      </c>
      <c r="M148" s="38">
        <f t="shared" si="16"/>
        <v>0</v>
      </c>
      <c r="N148" s="11"/>
      <c r="O148" s="11"/>
      <c r="P148" s="12">
        <f t="shared" si="17"/>
        <v>0</v>
      </c>
      <c r="Q148" s="28">
        <f t="shared" si="18"/>
        <v>0</v>
      </c>
      <c r="R148" s="9"/>
      <c r="S148" s="9"/>
      <c r="T148" s="9"/>
      <c r="U148" s="9"/>
      <c r="V148" s="9"/>
      <c r="W148" s="10">
        <f t="shared" si="19"/>
        <v>0</v>
      </c>
      <c r="X148" s="30">
        <f t="shared" si="20"/>
        <v>0</v>
      </c>
      <c r="Y148" s="32">
        <f t="shared" si="14"/>
        <v>0</v>
      </c>
    </row>
    <row r="149" spans="1:25" ht="41.4" hidden="1" x14ac:dyDescent="0.3">
      <c r="A149" s="24" t="s">
        <v>35</v>
      </c>
      <c r="B149" s="24"/>
      <c r="C149" s="24" t="s">
        <v>37</v>
      </c>
      <c r="D149" s="23"/>
      <c r="E149" s="20"/>
      <c r="F149" s="21"/>
      <c r="G149" s="23"/>
      <c r="H149" s="23"/>
      <c r="I149" s="3" t="s">
        <v>198</v>
      </c>
      <c r="J149" s="9"/>
      <c r="K149" s="9"/>
      <c r="L149" s="10">
        <f t="shared" si="15"/>
        <v>0</v>
      </c>
      <c r="M149" s="38">
        <f t="shared" si="16"/>
        <v>0</v>
      </c>
      <c r="N149" s="11"/>
      <c r="O149" s="11"/>
      <c r="P149" s="12">
        <f t="shared" si="17"/>
        <v>0</v>
      </c>
      <c r="Q149" s="28">
        <f t="shared" si="18"/>
        <v>0</v>
      </c>
      <c r="R149" s="9"/>
      <c r="S149" s="9"/>
      <c r="T149" s="9"/>
      <c r="U149" s="9"/>
      <c r="V149" s="9"/>
      <c r="W149" s="10">
        <f t="shared" si="19"/>
        <v>0</v>
      </c>
      <c r="X149" s="30">
        <f t="shared" si="20"/>
        <v>0</v>
      </c>
      <c r="Y149" s="32">
        <f t="shared" si="14"/>
        <v>0</v>
      </c>
    </row>
    <row r="150" spans="1:25" ht="41.4" hidden="1" x14ac:dyDescent="0.3">
      <c r="A150" s="24" t="s">
        <v>35</v>
      </c>
      <c r="B150" s="24"/>
      <c r="C150" s="24" t="s">
        <v>42</v>
      </c>
      <c r="D150" s="23"/>
      <c r="E150" s="20"/>
      <c r="F150" s="21"/>
      <c r="G150" s="23"/>
      <c r="H150" s="23"/>
      <c r="I150" s="3" t="s">
        <v>199</v>
      </c>
      <c r="J150" s="9"/>
      <c r="K150" s="9"/>
      <c r="L150" s="10">
        <f t="shared" si="15"/>
        <v>0</v>
      </c>
      <c r="M150" s="38">
        <f t="shared" si="16"/>
        <v>0</v>
      </c>
      <c r="N150" s="11"/>
      <c r="O150" s="11"/>
      <c r="P150" s="12">
        <f t="shared" si="17"/>
        <v>0</v>
      </c>
      <c r="Q150" s="28">
        <f t="shared" si="18"/>
        <v>0</v>
      </c>
      <c r="R150" s="9"/>
      <c r="S150" s="9"/>
      <c r="T150" s="9"/>
      <c r="U150" s="9"/>
      <c r="V150" s="9"/>
      <c r="W150" s="10">
        <f t="shared" si="19"/>
        <v>0</v>
      </c>
      <c r="X150" s="30">
        <f t="shared" si="20"/>
        <v>0</v>
      </c>
      <c r="Y150" s="32">
        <f t="shared" si="14"/>
        <v>0</v>
      </c>
    </row>
    <row r="151" spans="1:25" ht="41.4" hidden="1" x14ac:dyDescent="0.3">
      <c r="A151" s="24" t="s">
        <v>35</v>
      </c>
      <c r="B151" s="24"/>
      <c r="C151" s="24" t="s">
        <v>44</v>
      </c>
      <c r="D151" s="23"/>
      <c r="E151" s="20"/>
      <c r="F151" s="21"/>
      <c r="G151" s="23"/>
      <c r="H151" s="23"/>
      <c r="I151" s="3" t="s">
        <v>200</v>
      </c>
      <c r="J151" s="9"/>
      <c r="K151" s="9"/>
      <c r="L151" s="10">
        <f t="shared" si="15"/>
        <v>0</v>
      </c>
      <c r="M151" s="38">
        <f t="shared" si="16"/>
        <v>0</v>
      </c>
      <c r="N151" s="11"/>
      <c r="O151" s="11"/>
      <c r="P151" s="12">
        <f t="shared" si="17"/>
        <v>0</v>
      </c>
      <c r="Q151" s="28">
        <f t="shared" si="18"/>
        <v>0</v>
      </c>
      <c r="R151" s="9"/>
      <c r="S151" s="9"/>
      <c r="T151" s="9"/>
      <c r="U151" s="9"/>
      <c r="V151" s="9"/>
      <c r="W151" s="10">
        <f t="shared" si="19"/>
        <v>0</v>
      </c>
      <c r="X151" s="30">
        <f t="shared" si="20"/>
        <v>0</v>
      </c>
      <c r="Y151" s="32">
        <f t="shared" si="14"/>
        <v>0</v>
      </c>
    </row>
    <row r="152" spans="1:25" ht="41.4" hidden="1" x14ac:dyDescent="0.3">
      <c r="A152" s="24" t="s">
        <v>35</v>
      </c>
      <c r="B152" s="24"/>
      <c r="C152" s="24" t="s">
        <v>65</v>
      </c>
      <c r="D152" s="23"/>
      <c r="E152" s="20"/>
      <c r="F152" s="21"/>
      <c r="G152" s="23"/>
      <c r="H152" s="23"/>
      <c r="I152" s="3" t="s">
        <v>201</v>
      </c>
      <c r="J152" s="9"/>
      <c r="K152" s="9"/>
      <c r="L152" s="10">
        <f t="shared" si="15"/>
        <v>0</v>
      </c>
      <c r="M152" s="38">
        <f t="shared" si="16"/>
        <v>0</v>
      </c>
      <c r="N152" s="11"/>
      <c r="O152" s="11"/>
      <c r="P152" s="12">
        <f t="shared" si="17"/>
        <v>0</v>
      </c>
      <c r="Q152" s="28">
        <f t="shared" si="18"/>
        <v>0</v>
      </c>
      <c r="R152" s="9"/>
      <c r="S152" s="9"/>
      <c r="T152" s="9"/>
      <c r="U152" s="9"/>
      <c r="V152" s="9"/>
      <c r="W152" s="10">
        <f t="shared" si="19"/>
        <v>0</v>
      </c>
      <c r="X152" s="30">
        <f t="shared" si="20"/>
        <v>0</v>
      </c>
      <c r="Y152" s="32">
        <f t="shared" si="14"/>
        <v>0</v>
      </c>
    </row>
    <row r="153" spans="1:25" ht="27.6" hidden="1" x14ac:dyDescent="0.3">
      <c r="A153" s="24" t="s">
        <v>182</v>
      </c>
      <c r="B153" s="24"/>
      <c r="C153" s="24" t="s">
        <v>183</v>
      </c>
      <c r="D153" s="23"/>
      <c r="E153" s="20"/>
      <c r="F153" s="21"/>
      <c r="G153" s="23"/>
      <c r="H153" s="23"/>
      <c r="I153" s="3" t="s">
        <v>202</v>
      </c>
      <c r="J153" s="9"/>
      <c r="K153" s="9"/>
      <c r="L153" s="10">
        <f t="shared" si="15"/>
        <v>0</v>
      </c>
      <c r="M153" s="38">
        <f t="shared" si="16"/>
        <v>0</v>
      </c>
      <c r="N153" s="11"/>
      <c r="O153" s="11"/>
      <c r="P153" s="12">
        <f t="shared" si="17"/>
        <v>0</v>
      </c>
      <c r="Q153" s="28">
        <f t="shared" si="18"/>
        <v>0</v>
      </c>
      <c r="R153" s="9"/>
      <c r="S153" s="9"/>
      <c r="T153" s="9"/>
      <c r="U153" s="9"/>
      <c r="V153" s="9"/>
      <c r="W153" s="10">
        <f t="shared" si="19"/>
        <v>0</v>
      </c>
      <c r="X153" s="30">
        <f t="shared" si="20"/>
        <v>0</v>
      </c>
      <c r="Y153" s="32">
        <f t="shared" si="14"/>
        <v>0</v>
      </c>
    </row>
    <row r="154" spans="1:25" ht="27.6" hidden="1" x14ac:dyDescent="0.3">
      <c r="A154" s="24" t="s">
        <v>182</v>
      </c>
      <c r="B154" s="24"/>
      <c r="C154" s="24" t="s">
        <v>95</v>
      </c>
      <c r="D154" s="23"/>
      <c r="E154" s="20"/>
      <c r="F154" s="21"/>
      <c r="G154" s="23"/>
      <c r="H154" s="23"/>
      <c r="I154" s="3" t="s">
        <v>203</v>
      </c>
      <c r="J154" s="9"/>
      <c r="K154" s="9"/>
      <c r="L154" s="10">
        <f t="shared" si="15"/>
        <v>0</v>
      </c>
      <c r="M154" s="38">
        <f t="shared" si="16"/>
        <v>0</v>
      </c>
      <c r="N154" s="11"/>
      <c r="O154" s="11"/>
      <c r="P154" s="12">
        <f t="shared" si="17"/>
        <v>0</v>
      </c>
      <c r="Q154" s="28">
        <f t="shared" si="18"/>
        <v>0</v>
      </c>
      <c r="R154" s="9"/>
      <c r="S154" s="9"/>
      <c r="T154" s="9"/>
      <c r="U154" s="9"/>
      <c r="V154" s="9"/>
      <c r="W154" s="10">
        <f t="shared" si="19"/>
        <v>0</v>
      </c>
      <c r="X154" s="30">
        <f t="shared" si="20"/>
        <v>0</v>
      </c>
      <c r="Y154" s="32">
        <f t="shared" si="14"/>
        <v>0</v>
      </c>
    </row>
    <row r="155" spans="1:25" ht="27.6" hidden="1" x14ac:dyDescent="0.3">
      <c r="A155" s="24" t="s">
        <v>204</v>
      </c>
      <c r="B155" s="24"/>
      <c r="C155" s="24" t="s">
        <v>183</v>
      </c>
      <c r="D155" s="23"/>
      <c r="E155" s="20"/>
      <c r="F155" s="21"/>
      <c r="G155" s="23"/>
      <c r="H155" s="23"/>
      <c r="I155" s="3" t="s">
        <v>205</v>
      </c>
      <c r="J155" s="9"/>
      <c r="K155" s="9"/>
      <c r="L155" s="10">
        <f t="shared" si="15"/>
        <v>0</v>
      </c>
      <c r="M155" s="38">
        <f t="shared" si="16"/>
        <v>0</v>
      </c>
      <c r="N155" s="11"/>
      <c r="O155" s="11"/>
      <c r="P155" s="12">
        <f t="shared" si="17"/>
        <v>0</v>
      </c>
      <c r="Q155" s="28">
        <f t="shared" si="18"/>
        <v>0</v>
      </c>
      <c r="R155" s="9"/>
      <c r="S155" s="9"/>
      <c r="T155" s="9"/>
      <c r="U155" s="9"/>
      <c r="V155" s="9"/>
      <c r="W155" s="10">
        <f t="shared" si="19"/>
        <v>0</v>
      </c>
      <c r="X155" s="30">
        <f t="shared" si="20"/>
        <v>0</v>
      </c>
      <c r="Y155" s="32">
        <f t="shared" si="14"/>
        <v>0</v>
      </c>
    </row>
    <row r="156" spans="1:25" ht="41.4" hidden="1" x14ac:dyDescent="0.3">
      <c r="A156" s="24" t="s">
        <v>204</v>
      </c>
      <c r="B156" s="24" t="s">
        <v>35</v>
      </c>
      <c r="C156" s="24" t="s">
        <v>37</v>
      </c>
      <c r="D156" s="23"/>
      <c r="E156" s="20"/>
      <c r="F156" s="21"/>
      <c r="G156" s="23"/>
      <c r="H156" s="23"/>
      <c r="I156" s="3" t="s">
        <v>206</v>
      </c>
      <c r="J156" s="9"/>
      <c r="K156" s="9"/>
      <c r="L156" s="10">
        <f t="shared" si="15"/>
        <v>0</v>
      </c>
      <c r="M156" s="38">
        <f t="shared" si="16"/>
        <v>0</v>
      </c>
      <c r="N156" s="11"/>
      <c r="O156" s="11"/>
      <c r="P156" s="12">
        <f t="shared" si="17"/>
        <v>0</v>
      </c>
      <c r="Q156" s="28">
        <f t="shared" si="18"/>
        <v>0</v>
      </c>
      <c r="R156" s="9"/>
      <c r="S156" s="9"/>
      <c r="T156" s="9"/>
      <c r="U156" s="9"/>
      <c r="V156" s="9"/>
      <c r="W156" s="10">
        <f t="shared" si="19"/>
        <v>0</v>
      </c>
      <c r="X156" s="30">
        <f t="shared" si="20"/>
        <v>0</v>
      </c>
      <c r="Y156" s="32">
        <f t="shared" si="14"/>
        <v>0</v>
      </c>
    </row>
    <row r="157" spans="1:25" ht="41.4" hidden="1" x14ac:dyDescent="0.3">
      <c r="A157" s="24" t="s">
        <v>204</v>
      </c>
      <c r="B157" s="24" t="s">
        <v>35</v>
      </c>
      <c r="C157" s="24" t="s">
        <v>42</v>
      </c>
      <c r="D157" s="23"/>
      <c r="E157" s="20"/>
      <c r="F157" s="21"/>
      <c r="G157" s="23"/>
      <c r="H157" s="23"/>
      <c r="I157" s="3" t="s">
        <v>206</v>
      </c>
      <c r="J157" s="9"/>
      <c r="K157" s="9"/>
      <c r="L157" s="10">
        <f t="shared" si="15"/>
        <v>0</v>
      </c>
      <c r="M157" s="38">
        <f t="shared" si="16"/>
        <v>0</v>
      </c>
      <c r="N157" s="11"/>
      <c r="O157" s="11"/>
      <c r="P157" s="12">
        <f t="shared" si="17"/>
        <v>0</v>
      </c>
      <c r="Q157" s="28">
        <f t="shared" si="18"/>
        <v>0</v>
      </c>
      <c r="R157" s="9"/>
      <c r="S157" s="9"/>
      <c r="T157" s="9"/>
      <c r="U157" s="9"/>
      <c r="V157" s="9"/>
      <c r="W157" s="10">
        <f t="shared" si="19"/>
        <v>0</v>
      </c>
      <c r="X157" s="30">
        <f t="shared" si="20"/>
        <v>0</v>
      </c>
      <c r="Y157" s="32">
        <f t="shared" si="14"/>
        <v>0</v>
      </c>
    </row>
    <row r="158" spans="1:25" ht="41.4" hidden="1" x14ac:dyDescent="0.3">
      <c r="A158" s="24" t="s">
        <v>204</v>
      </c>
      <c r="B158" s="24" t="s">
        <v>35</v>
      </c>
      <c r="C158" s="24" t="s">
        <v>44</v>
      </c>
      <c r="D158" s="23"/>
      <c r="E158" s="20"/>
      <c r="F158" s="21"/>
      <c r="G158" s="23"/>
      <c r="H158" s="23"/>
      <c r="I158" s="3" t="s">
        <v>206</v>
      </c>
      <c r="J158" s="9"/>
      <c r="K158" s="9"/>
      <c r="L158" s="10">
        <f t="shared" si="15"/>
        <v>0</v>
      </c>
      <c r="M158" s="38">
        <f t="shared" si="16"/>
        <v>0</v>
      </c>
      <c r="N158" s="11"/>
      <c r="O158" s="11"/>
      <c r="P158" s="12">
        <f t="shared" si="17"/>
        <v>0</v>
      </c>
      <c r="Q158" s="28">
        <f t="shared" si="18"/>
        <v>0</v>
      </c>
      <c r="R158" s="9"/>
      <c r="S158" s="9"/>
      <c r="T158" s="9"/>
      <c r="U158" s="9"/>
      <c r="V158" s="9"/>
      <c r="W158" s="10">
        <f t="shared" si="19"/>
        <v>0</v>
      </c>
      <c r="X158" s="30">
        <f t="shared" si="20"/>
        <v>0</v>
      </c>
      <c r="Y158" s="32">
        <f t="shared" si="14"/>
        <v>0</v>
      </c>
    </row>
    <row r="159" spans="1:25" ht="41.4" hidden="1" x14ac:dyDescent="0.3">
      <c r="A159" s="24" t="s">
        <v>204</v>
      </c>
      <c r="B159" s="24" t="s">
        <v>64</v>
      </c>
      <c r="C159" s="24" t="s">
        <v>65</v>
      </c>
      <c r="D159" s="23"/>
      <c r="E159" s="20"/>
      <c r="F159" s="21"/>
      <c r="G159" s="23"/>
      <c r="H159" s="23"/>
      <c r="I159" s="3" t="s">
        <v>206</v>
      </c>
      <c r="J159" s="9"/>
      <c r="K159" s="9"/>
      <c r="L159" s="10">
        <f t="shared" si="15"/>
        <v>0</v>
      </c>
      <c r="M159" s="38">
        <f t="shared" si="16"/>
        <v>0</v>
      </c>
      <c r="N159" s="11"/>
      <c r="O159" s="11"/>
      <c r="P159" s="12">
        <f t="shared" si="17"/>
        <v>0</v>
      </c>
      <c r="Q159" s="28">
        <f t="shared" si="18"/>
        <v>0</v>
      </c>
      <c r="R159" s="9"/>
      <c r="S159" s="9"/>
      <c r="T159" s="9"/>
      <c r="U159" s="9"/>
      <c r="V159" s="9"/>
      <c r="W159" s="10">
        <f t="shared" si="19"/>
        <v>0</v>
      </c>
      <c r="X159" s="30">
        <f t="shared" si="20"/>
        <v>0</v>
      </c>
      <c r="Y159" s="32">
        <f t="shared" si="14"/>
        <v>0</v>
      </c>
    </row>
    <row r="160" spans="1:25" ht="41.4" hidden="1" x14ac:dyDescent="0.3">
      <c r="A160" s="24" t="s">
        <v>204</v>
      </c>
      <c r="B160" s="24" t="s">
        <v>105</v>
      </c>
      <c r="C160" s="24" t="s">
        <v>106</v>
      </c>
      <c r="D160" s="23"/>
      <c r="E160" s="20"/>
      <c r="F160" s="21"/>
      <c r="G160" s="23"/>
      <c r="H160" s="23"/>
      <c r="I160" s="3" t="s">
        <v>206</v>
      </c>
      <c r="J160" s="9"/>
      <c r="K160" s="9"/>
      <c r="L160" s="10">
        <f t="shared" si="15"/>
        <v>0</v>
      </c>
      <c r="M160" s="38">
        <f t="shared" si="16"/>
        <v>0</v>
      </c>
      <c r="N160" s="11"/>
      <c r="O160" s="11"/>
      <c r="P160" s="12">
        <f t="shared" si="17"/>
        <v>0</v>
      </c>
      <c r="Q160" s="28">
        <f t="shared" si="18"/>
        <v>0</v>
      </c>
      <c r="R160" s="9"/>
      <c r="S160" s="9"/>
      <c r="T160" s="9"/>
      <c r="U160" s="9"/>
      <c r="V160" s="9"/>
      <c r="W160" s="10">
        <f t="shared" si="19"/>
        <v>0</v>
      </c>
      <c r="X160" s="30">
        <f t="shared" si="20"/>
        <v>0</v>
      </c>
      <c r="Y160" s="32">
        <f t="shared" si="14"/>
        <v>0</v>
      </c>
    </row>
    <row r="161" spans="1:25" ht="41.4" hidden="1" x14ac:dyDescent="0.3">
      <c r="A161" s="24" t="s">
        <v>204</v>
      </c>
      <c r="B161" s="24" t="s">
        <v>36</v>
      </c>
      <c r="C161" s="24" t="s">
        <v>101</v>
      </c>
      <c r="D161" s="23"/>
      <c r="E161" s="20"/>
      <c r="F161" s="21"/>
      <c r="G161" s="23"/>
      <c r="H161" s="23"/>
      <c r="I161" s="3" t="s">
        <v>206</v>
      </c>
      <c r="J161" s="9"/>
      <c r="K161" s="9"/>
      <c r="L161" s="10">
        <f t="shared" si="15"/>
        <v>0</v>
      </c>
      <c r="M161" s="38">
        <f t="shared" si="16"/>
        <v>0</v>
      </c>
      <c r="N161" s="11"/>
      <c r="O161" s="11"/>
      <c r="P161" s="12">
        <f t="shared" si="17"/>
        <v>0</v>
      </c>
      <c r="Q161" s="28">
        <f t="shared" si="18"/>
        <v>0</v>
      </c>
      <c r="R161" s="9"/>
      <c r="S161" s="9"/>
      <c r="T161" s="9"/>
      <c r="U161" s="9"/>
      <c r="V161" s="9"/>
      <c r="W161" s="10">
        <f t="shared" si="19"/>
        <v>0</v>
      </c>
      <c r="X161" s="30">
        <f t="shared" si="20"/>
        <v>0</v>
      </c>
      <c r="Y161" s="32">
        <f t="shared" si="14"/>
        <v>0</v>
      </c>
    </row>
    <row r="162" spans="1:25" ht="41.4" hidden="1" x14ac:dyDescent="0.3">
      <c r="A162" s="24" t="s">
        <v>204</v>
      </c>
      <c r="B162" s="24" t="s">
        <v>182</v>
      </c>
      <c r="C162" s="24" t="s">
        <v>183</v>
      </c>
      <c r="D162" s="23"/>
      <c r="E162" s="20"/>
      <c r="F162" s="21"/>
      <c r="G162" s="23"/>
      <c r="H162" s="23"/>
      <c r="I162" s="3" t="s">
        <v>206</v>
      </c>
      <c r="J162" s="9"/>
      <c r="K162" s="9"/>
      <c r="L162" s="10">
        <f t="shared" si="15"/>
        <v>0</v>
      </c>
      <c r="M162" s="38">
        <f t="shared" si="16"/>
        <v>0</v>
      </c>
      <c r="N162" s="11"/>
      <c r="O162" s="11"/>
      <c r="P162" s="12">
        <f t="shared" si="17"/>
        <v>0</v>
      </c>
      <c r="Q162" s="28">
        <f t="shared" si="18"/>
        <v>0</v>
      </c>
      <c r="R162" s="9"/>
      <c r="S162" s="9"/>
      <c r="T162" s="9"/>
      <c r="U162" s="9"/>
      <c r="V162" s="9"/>
      <c r="W162" s="10">
        <f t="shared" si="19"/>
        <v>0</v>
      </c>
      <c r="X162" s="30">
        <f t="shared" si="20"/>
        <v>0</v>
      </c>
      <c r="Y162" s="32">
        <f t="shared" si="14"/>
        <v>0</v>
      </c>
    </row>
    <row r="163" spans="1:25" ht="41.4" hidden="1" x14ac:dyDescent="0.3">
      <c r="A163" s="24" t="s">
        <v>182</v>
      </c>
      <c r="B163" s="24"/>
      <c r="C163" s="24" t="s">
        <v>183</v>
      </c>
      <c r="D163" s="23"/>
      <c r="E163" s="20"/>
      <c r="F163" s="21"/>
      <c r="G163" s="23"/>
      <c r="H163" s="23"/>
      <c r="I163" s="3" t="s">
        <v>207</v>
      </c>
      <c r="J163" s="9"/>
      <c r="K163" s="9"/>
      <c r="L163" s="10">
        <f t="shared" si="15"/>
        <v>0</v>
      </c>
      <c r="M163" s="38">
        <f t="shared" si="16"/>
        <v>0</v>
      </c>
      <c r="N163" s="11"/>
      <c r="O163" s="11"/>
      <c r="P163" s="12">
        <f t="shared" si="17"/>
        <v>0</v>
      </c>
      <c r="Q163" s="28">
        <f t="shared" si="18"/>
        <v>0</v>
      </c>
      <c r="R163" s="9"/>
      <c r="S163" s="9"/>
      <c r="T163" s="9"/>
      <c r="U163" s="9"/>
      <c r="V163" s="9"/>
      <c r="W163" s="10">
        <f t="shared" si="19"/>
        <v>0</v>
      </c>
      <c r="X163" s="30">
        <f t="shared" si="20"/>
        <v>0</v>
      </c>
      <c r="Y163" s="32">
        <f t="shared" si="14"/>
        <v>0</v>
      </c>
    </row>
    <row r="164" spans="1:25" ht="27.6" hidden="1" x14ac:dyDescent="0.3">
      <c r="A164" s="24" t="s">
        <v>182</v>
      </c>
      <c r="B164" s="24"/>
      <c r="C164" s="24" t="s">
        <v>37</v>
      </c>
      <c r="D164" s="23"/>
      <c r="E164" s="20"/>
      <c r="F164" s="21"/>
      <c r="G164" s="23"/>
      <c r="H164" s="23"/>
      <c r="I164" s="3" t="s">
        <v>208</v>
      </c>
      <c r="J164" s="9"/>
      <c r="K164" s="9"/>
      <c r="L164" s="10">
        <f t="shared" si="15"/>
        <v>0</v>
      </c>
      <c r="M164" s="38">
        <f t="shared" si="16"/>
        <v>0</v>
      </c>
      <c r="N164" s="11"/>
      <c r="O164" s="11"/>
      <c r="P164" s="12">
        <f t="shared" si="17"/>
        <v>0</v>
      </c>
      <c r="Q164" s="28">
        <f t="shared" si="18"/>
        <v>0</v>
      </c>
      <c r="R164" s="9"/>
      <c r="S164" s="9"/>
      <c r="T164" s="9"/>
      <c r="U164" s="9"/>
      <c r="V164" s="9"/>
      <c r="W164" s="10">
        <f t="shared" si="19"/>
        <v>0</v>
      </c>
      <c r="X164" s="30">
        <f t="shared" si="20"/>
        <v>0</v>
      </c>
      <c r="Y164" s="32">
        <f t="shared" si="14"/>
        <v>0</v>
      </c>
    </row>
    <row r="165" spans="1:25" ht="27.6" hidden="1" x14ac:dyDescent="0.3">
      <c r="A165" s="24" t="s">
        <v>182</v>
      </c>
      <c r="B165" s="24"/>
      <c r="C165" s="24" t="s">
        <v>42</v>
      </c>
      <c r="D165" s="23"/>
      <c r="E165" s="20"/>
      <c r="F165" s="21"/>
      <c r="G165" s="23"/>
      <c r="H165" s="23"/>
      <c r="I165" s="3" t="s">
        <v>208</v>
      </c>
      <c r="J165" s="9"/>
      <c r="K165" s="9"/>
      <c r="L165" s="10">
        <f t="shared" si="15"/>
        <v>0</v>
      </c>
      <c r="M165" s="38">
        <f t="shared" si="16"/>
        <v>0</v>
      </c>
      <c r="N165" s="11"/>
      <c r="O165" s="11"/>
      <c r="P165" s="12">
        <f t="shared" si="17"/>
        <v>0</v>
      </c>
      <c r="Q165" s="28">
        <f t="shared" si="18"/>
        <v>0</v>
      </c>
      <c r="R165" s="9"/>
      <c r="S165" s="9"/>
      <c r="T165" s="9"/>
      <c r="U165" s="9"/>
      <c r="V165" s="9"/>
      <c r="W165" s="10">
        <f t="shared" si="19"/>
        <v>0</v>
      </c>
      <c r="X165" s="30">
        <f t="shared" si="20"/>
        <v>0</v>
      </c>
      <c r="Y165" s="32">
        <f t="shared" si="14"/>
        <v>0</v>
      </c>
    </row>
    <row r="166" spans="1:25" ht="27.6" hidden="1" x14ac:dyDescent="0.3">
      <c r="A166" s="24" t="s">
        <v>182</v>
      </c>
      <c r="B166" s="24"/>
      <c r="C166" s="24" t="s">
        <v>44</v>
      </c>
      <c r="D166" s="23"/>
      <c r="E166" s="20"/>
      <c r="F166" s="21"/>
      <c r="G166" s="23"/>
      <c r="H166" s="23"/>
      <c r="I166" s="3" t="s">
        <v>208</v>
      </c>
      <c r="J166" s="9"/>
      <c r="K166" s="9"/>
      <c r="L166" s="10">
        <f t="shared" si="15"/>
        <v>0</v>
      </c>
      <c r="M166" s="38">
        <f t="shared" si="16"/>
        <v>0</v>
      </c>
      <c r="N166" s="11"/>
      <c r="O166" s="11"/>
      <c r="P166" s="12">
        <f t="shared" si="17"/>
        <v>0</v>
      </c>
      <c r="Q166" s="28">
        <f t="shared" si="18"/>
        <v>0</v>
      </c>
      <c r="R166" s="9"/>
      <c r="S166" s="9"/>
      <c r="T166" s="9"/>
      <c r="U166" s="9"/>
      <c r="V166" s="9"/>
      <c r="W166" s="10">
        <f t="shared" si="19"/>
        <v>0</v>
      </c>
      <c r="X166" s="30">
        <f t="shared" si="20"/>
        <v>0</v>
      </c>
      <c r="Y166" s="32">
        <f t="shared" si="14"/>
        <v>0</v>
      </c>
    </row>
    <row r="167" spans="1:25" ht="27.6" hidden="1" x14ac:dyDescent="0.3">
      <c r="A167" s="24" t="s">
        <v>182</v>
      </c>
      <c r="B167" s="24"/>
      <c r="C167" s="24" t="s">
        <v>65</v>
      </c>
      <c r="D167" s="23"/>
      <c r="E167" s="20"/>
      <c r="F167" s="21"/>
      <c r="G167" s="23"/>
      <c r="H167" s="23"/>
      <c r="I167" s="3" t="s">
        <v>208</v>
      </c>
      <c r="J167" s="9"/>
      <c r="K167" s="9"/>
      <c r="L167" s="10">
        <f t="shared" si="15"/>
        <v>0</v>
      </c>
      <c r="M167" s="38">
        <f t="shared" si="16"/>
        <v>0</v>
      </c>
      <c r="N167" s="11"/>
      <c r="O167" s="11"/>
      <c r="P167" s="12">
        <f t="shared" si="17"/>
        <v>0</v>
      </c>
      <c r="Q167" s="28">
        <f t="shared" si="18"/>
        <v>0</v>
      </c>
      <c r="R167" s="9"/>
      <c r="S167" s="9"/>
      <c r="T167" s="9"/>
      <c r="U167" s="9"/>
      <c r="V167" s="9"/>
      <c r="W167" s="10">
        <f t="shared" si="19"/>
        <v>0</v>
      </c>
      <c r="X167" s="30">
        <f t="shared" si="20"/>
        <v>0</v>
      </c>
      <c r="Y167" s="32">
        <f t="shared" si="14"/>
        <v>0</v>
      </c>
    </row>
    <row r="168" spans="1:25" ht="27.6" hidden="1" x14ac:dyDescent="0.3">
      <c r="A168" s="24" t="s">
        <v>182</v>
      </c>
      <c r="B168" s="24"/>
      <c r="C168" s="24" t="s">
        <v>104</v>
      </c>
      <c r="D168" s="23"/>
      <c r="E168" s="20"/>
      <c r="F168" s="21"/>
      <c r="G168" s="23"/>
      <c r="H168" s="23"/>
      <c r="I168" s="3" t="s">
        <v>208</v>
      </c>
      <c r="J168" s="9"/>
      <c r="K168" s="9"/>
      <c r="L168" s="10">
        <f t="shared" si="15"/>
        <v>0</v>
      </c>
      <c r="M168" s="38">
        <f t="shared" si="16"/>
        <v>0</v>
      </c>
      <c r="N168" s="11"/>
      <c r="O168" s="11"/>
      <c r="P168" s="12">
        <f t="shared" si="17"/>
        <v>0</v>
      </c>
      <c r="Q168" s="28">
        <f t="shared" si="18"/>
        <v>0</v>
      </c>
      <c r="R168" s="9"/>
      <c r="S168" s="9"/>
      <c r="T168" s="9"/>
      <c r="U168" s="9"/>
      <c r="V168" s="9"/>
      <c r="W168" s="10">
        <f t="shared" si="19"/>
        <v>0</v>
      </c>
      <c r="X168" s="30">
        <f t="shared" si="20"/>
        <v>0</v>
      </c>
      <c r="Y168" s="32">
        <f t="shared" si="14"/>
        <v>0</v>
      </c>
    </row>
    <row r="169" spans="1:25" ht="27.6" hidden="1" x14ac:dyDescent="0.3">
      <c r="A169" s="24" t="s">
        <v>182</v>
      </c>
      <c r="B169" s="24"/>
      <c r="C169" s="24" t="s">
        <v>101</v>
      </c>
      <c r="D169" s="23"/>
      <c r="E169" s="20"/>
      <c r="F169" s="21"/>
      <c r="G169" s="23"/>
      <c r="H169" s="23"/>
      <c r="I169" s="3" t="s">
        <v>208</v>
      </c>
      <c r="J169" s="9"/>
      <c r="K169" s="9"/>
      <c r="L169" s="10">
        <f t="shared" si="15"/>
        <v>0</v>
      </c>
      <c r="M169" s="38">
        <f t="shared" si="16"/>
        <v>0</v>
      </c>
      <c r="N169" s="11"/>
      <c r="O169" s="11"/>
      <c r="P169" s="12">
        <f t="shared" si="17"/>
        <v>0</v>
      </c>
      <c r="Q169" s="28">
        <f t="shared" si="18"/>
        <v>0</v>
      </c>
      <c r="R169" s="9"/>
      <c r="S169" s="9"/>
      <c r="T169" s="9"/>
      <c r="U169" s="9"/>
      <c r="V169" s="9"/>
      <c r="W169" s="10">
        <f t="shared" si="19"/>
        <v>0</v>
      </c>
      <c r="X169" s="30">
        <f t="shared" si="20"/>
        <v>0</v>
      </c>
      <c r="Y169" s="32">
        <f t="shared" si="14"/>
        <v>0</v>
      </c>
    </row>
    <row r="170" spans="1:25" ht="27.6" hidden="1" x14ac:dyDescent="0.3">
      <c r="A170" s="24" t="s">
        <v>182</v>
      </c>
      <c r="B170" s="24"/>
      <c r="C170" s="24" t="s">
        <v>106</v>
      </c>
      <c r="D170" s="23"/>
      <c r="E170" s="20"/>
      <c r="F170" s="21"/>
      <c r="G170" s="23"/>
      <c r="H170" s="23"/>
      <c r="I170" s="3" t="s">
        <v>208</v>
      </c>
      <c r="J170" s="9"/>
      <c r="K170" s="9"/>
      <c r="L170" s="10">
        <f t="shared" si="15"/>
        <v>0</v>
      </c>
      <c r="M170" s="38">
        <f t="shared" si="16"/>
        <v>0</v>
      </c>
      <c r="N170" s="11"/>
      <c r="O170" s="11"/>
      <c r="P170" s="12">
        <f t="shared" si="17"/>
        <v>0</v>
      </c>
      <c r="Q170" s="28">
        <f t="shared" si="18"/>
        <v>0</v>
      </c>
      <c r="R170" s="9"/>
      <c r="S170" s="9"/>
      <c r="T170" s="9"/>
      <c r="U170" s="9"/>
      <c r="V170" s="9"/>
      <c r="W170" s="10">
        <f t="shared" si="19"/>
        <v>0</v>
      </c>
      <c r="X170" s="30">
        <f t="shared" si="20"/>
        <v>0</v>
      </c>
      <c r="Y170" s="32">
        <f t="shared" si="14"/>
        <v>0</v>
      </c>
    </row>
    <row r="171" spans="1:25" ht="27.6" hidden="1" x14ac:dyDescent="0.3">
      <c r="A171" s="24" t="s">
        <v>35</v>
      </c>
      <c r="B171" s="24"/>
      <c r="C171" s="24" t="s">
        <v>37</v>
      </c>
      <c r="D171" s="23"/>
      <c r="E171" s="20"/>
      <c r="F171" s="21"/>
      <c r="G171" s="23"/>
      <c r="H171" s="23"/>
      <c r="I171" s="3" t="s">
        <v>209</v>
      </c>
      <c r="J171" s="9"/>
      <c r="K171" s="9"/>
      <c r="L171" s="10">
        <f t="shared" si="15"/>
        <v>0</v>
      </c>
      <c r="M171" s="38">
        <f t="shared" si="16"/>
        <v>0</v>
      </c>
      <c r="N171" s="11"/>
      <c r="O171" s="11"/>
      <c r="P171" s="12">
        <f t="shared" si="17"/>
        <v>0</v>
      </c>
      <c r="Q171" s="28">
        <f t="shared" si="18"/>
        <v>0</v>
      </c>
      <c r="R171" s="9"/>
      <c r="S171" s="9"/>
      <c r="T171" s="9"/>
      <c r="U171" s="9"/>
      <c r="V171" s="9"/>
      <c r="W171" s="10">
        <f t="shared" si="19"/>
        <v>0</v>
      </c>
      <c r="X171" s="30">
        <f t="shared" si="20"/>
        <v>0</v>
      </c>
      <c r="Y171" s="32">
        <f t="shared" si="14"/>
        <v>0</v>
      </c>
    </row>
    <row r="172" spans="1:25" ht="27.6" hidden="1" x14ac:dyDescent="0.3">
      <c r="A172" s="24" t="s">
        <v>35</v>
      </c>
      <c r="B172" s="24"/>
      <c r="C172" s="24" t="s">
        <v>42</v>
      </c>
      <c r="D172" s="23"/>
      <c r="E172" s="20"/>
      <c r="F172" s="21"/>
      <c r="G172" s="23"/>
      <c r="H172" s="23"/>
      <c r="I172" s="3" t="s">
        <v>210</v>
      </c>
      <c r="J172" s="9"/>
      <c r="K172" s="9"/>
      <c r="L172" s="10">
        <f t="shared" si="15"/>
        <v>0</v>
      </c>
      <c r="M172" s="38">
        <f t="shared" si="16"/>
        <v>0</v>
      </c>
      <c r="N172" s="11"/>
      <c r="O172" s="11"/>
      <c r="P172" s="12">
        <f t="shared" si="17"/>
        <v>0</v>
      </c>
      <c r="Q172" s="28">
        <f t="shared" si="18"/>
        <v>0</v>
      </c>
      <c r="R172" s="9"/>
      <c r="S172" s="9"/>
      <c r="T172" s="9"/>
      <c r="U172" s="9"/>
      <c r="V172" s="9"/>
      <c r="W172" s="10">
        <f t="shared" si="19"/>
        <v>0</v>
      </c>
      <c r="X172" s="30">
        <f t="shared" si="20"/>
        <v>0</v>
      </c>
      <c r="Y172" s="32">
        <f t="shared" si="14"/>
        <v>0</v>
      </c>
    </row>
    <row r="173" spans="1:25" ht="27.6" hidden="1" x14ac:dyDescent="0.3">
      <c r="A173" s="24" t="s">
        <v>35</v>
      </c>
      <c r="B173" s="24"/>
      <c r="C173" s="24" t="s">
        <v>44</v>
      </c>
      <c r="D173" s="23"/>
      <c r="E173" s="20"/>
      <c r="F173" s="21"/>
      <c r="G173" s="23"/>
      <c r="H173" s="23"/>
      <c r="I173" s="3" t="s">
        <v>211</v>
      </c>
      <c r="J173" s="9"/>
      <c r="K173" s="9"/>
      <c r="L173" s="10">
        <f t="shared" si="15"/>
        <v>0</v>
      </c>
      <c r="M173" s="38">
        <f t="shared" si="16"/>
        <v>0</v>
      </c>
      <c r="N173" s="11"/>
      <c r="O173" s="11"/>
      <c r="P173" s="12">
        <f t="shared" si="17"/>
        <v>0</v>
      </c>
      <c r="Q173" s="28">
        <f t="shared" si="18"/>
        <v>0</v>
      </c>
      <c r="R173" s="9"/>
      <c r="S173" s="9"/>
      <c r="T173" s="9"/>
      <c r="U173" s="9"/>
      <c r="V173" s="9"/>
      <c r="W173" s="10">
        <f t="shared" si="19"/>
        <v>0</v>
      </c>
      <c r="X173" s="30">
        <f t="shared" si="20"/>
        <v>0</v>
      </c>
      <c r="Y173" s="32">
        <f t="shared" si="14"/>
        <v>0</v>
      </c>
    </row>
    <row r="174" spans="1:25" ht="27.6" hidden="1" x14ac:dyDescent="0.3">
      <c r="A174" s="24" t="s">
        <v>35</v>
      </c>
      <c r="B174" s="24"/>
      <c r="C174" s="24" t="s">
        <v>65</v>
      </c>
      <c r="D174" s="23"/>
      <c r="E174" s="20"/>
      <c r="F174" s="21"/>
      <c r="G174" s="23"/>
      <c r="H174" s="23"/>
      <c r="I174" s="3" t="s">
        <v>212</v>
      </c>
      <c r="J174" s="9"/>
      <c r="K174" s="9"/>
      <c r="L174" s="10">
        <f t="shared" si="15"/>
        <v>0</v>
      </c>
      <c r="M174" s="38">
        <f t="shared" si="16"/>
        <v>0</v>
      </c>
      <c r="N174" s="11"/>
      <c r="O174" s="11"/>
      <c r="P174" s="12">
        <f t="shared" si="17"/>
        <v>0</v>
      </c>
      <c r="Q174" s="28">
        <f t="shared" si="18"/>
        <v>0</v>
      </c>
      <c r="R174" s="9"/>
      <c r="S174" s="9"/>
      <c r="T174" s="9"/>
      <c r="U174" s="9"/>
      <c r="V174" s="9"/>
      <c r="W174" s="10">
        <f t="shared" si="19"/>
        <v>0</v>
      </c>
      <c r="X174" s="30">
        <f t="shared" si="20"/>
        <v>0</v>
      </c>
      <c r="Y174" s="32">
        <f t="shared" si="14"/>
        <v>0</v>
      </c>
    </row>
    <row r="175" spans="1:25" ht="27.6" hidden="1" x14ac:dyDescent="0.3">
      <c r="A175" s="24" t="s">
        <v>36</v>
      </c>
      <c r="B175" s="24"/>
      <c r="C175" s="24" t="s">
        <v>101</v>
      </c>
      <c r="D175" s="23"/>
      <c r="E175" s="20"/>
      <c r="F175" s="21"/>
      <c r="G175" s="23"/>
      <c r="H175" s="23"/>
      <c r="I175" s="3" t="s">
        <v>213</v>
      </c>
      <c r="J175" s="9"/>
      <c r="K175" s="9"/>
      <c r="L175" s="10">
        <f t="shared" si="15"/>
        <v>0</v>
      </c>
      <c r="M175" s="38">
        <f t="shared" si="16"/>
        <v>0</v>
      </c>
      <c r="N175" s="11"/>
      <c r="O175" s="11"/>
      <c r="P175" s="12">
        <f t="shared" si="17"/>
        <v>0</v>
      </c>
      <c r="Q175" s="28">
        <f t="shared" si="18"/>
        <v>0</v>
      </c>
      <c r="R175" s="9"/>
      <c r="S175" s="9"/>
      <c r="T175" s="9"/>
      <c r="U175" s="9"/>
      <c r="V175" s="9"/>
      <c r="W175" s="10">
        <f t="shared" si="19"/>
        <v>0</v>
      </c>
      <c r="X175" s="30">
        <f t="shared" si="20"/>
        <v>0</v>
      </c>
      <c r="Y175" s="32">
        <f t="shared" si="14"/>
        <v>0</v>
      </c>
    </row>
    <row r="176" spans="1:25" ht="41.4" hidden="1" x14ac:dyDescent="0.3">
      <c r="A176" s="24" t="s">
        <v>36</v>
      </c>
      <c r="B176" s="24"/>
      <c r="C176" s="24" t="s">
        <v>101</v>
      </c>
      <c r="D176" s="23"/>
      <c r="E176" s="20"/>
      <c r="F176" s="21"/>
      <c r="G176" s="23"/>
      <c r="H176" s="23"/>
      <c r="I176" s="3" t="s">
        <v>214</v>
      </c>
      <c r="J176" s="9"/>
      <c r="K176" s="9"/>
      <c r="L176" s="10">
        <f t="shared" si="15"/>
        <v>0</v>
      </c>
      <c r="M176" s="38">
        <f t="shared" si="16"/>
        <v>0</v>
      </c>
      <c r="N176" s="11"/>
      <c r="O176" s="11"/>
      <c r="P176" s="12">
        <f t="shared" si="17"/>
        <v>0</v>
      </c>
      <c r="Q176" s="28">
        <f t="shared" si="18"/>
        <v>0</v>
      </c>
      <c r="R176" s="9"/>
      <c r="S176" s="9"/>
      <c r="T176" s="9"/>
      <c r="U176" s="9"/>
      <c r="V176" s="9"/>
      <c r="W176" s="10">
        <f t="shared" si="19"/>
        <v>0</v>
      </c>
      <c r="X176" s="30">
        <f t="shared" si="20"/>
        <v>0</v>
      </c>
      <c r="Y176" s="32">
        <f t="shared" si="14"/>
        <v>0</v>
      </c>
    </row>
    <row r="177" spans="1:25" ht="27.6" hidden="1" x14ac:dyDescent="0.3">
      <c r="A177" s="24" t="s">
        <v>36</v>
      </c>
      <c r="B177" s="24"/>
      <c r="C177" s="24" t="s">
        <v>195</v>
      </c>
      <c r="D177" s="23"/>
      <c r="E177" s="20"/>
      <c r="F177" s="21"/>
      <c r="G177" s="23"/>
      <c r="H177" s="23"/>
      <c r="I177" s="3" t="s">
        <v>215</v>
      </c>
      <c r="J177" s="9"/>
      <c r="K177" s="9"/>
      <c r="L177" s="10">
        <f t="shared" si="15"/>
        <v>0</v>
      </c>
      <c r="M177" s="38">
        <f t="shared" si="16"/>
        <v>0</v>
      </c>
      <c r="N177" s="11"/>
      <c r="O177" s="11"/>
      <c r="P177" s="12">
        <f t="shared" si="17"/>
        <v>0</v>
      </c>
      <c r="Q177" s="28">
        <f t="shared" si="18"/>
        <v>0</v>
      </c>
      <c r="R177" s="9"/>
      <c r="S177" s="9"/>
      <c r="T177" s="9"/>
      <c r="U177" s="9"/>
      <c r="V177" s="9"/>
      <c r="W177" s="10">
        <f t="shared" si="19"/>
        <v>0</v>
      </c>
      <c r="X177" s="30">
        <f t="shared" si="20"/>
        <v>0</v>
      </c>
      <c r="Y177" s="32">
        <f t="shared" si="14"/>
        <v>0</v>
      </c>
    </row>
    <row r="178" spans="1:25" ht="27.6" hidden="1" x14ac:dyDescent="0.3">
      <c r="A178" s="24" t="s">
        <v>182</v>
      </c>
      <c r="B178" s="24"/>
      <c r="C178" s="24" t="s">
        <v>183</v>
      </c>
      <c r="D178" s="23"/>
      <c r="E178" s="20"/>
      <c r="F178" s="21"/>
      <c r="G178" s="23"/>
      <c r="H178" s="23"/>
      <c r="I178" s="3" t="s">
        <v>216</v>
      </c>
      <c r="J178" s="9"/>
      <c r="K178" s="9"/>
      <c r="L178" s="10">
        <f t="shared" si="15"/>
        <v>0</v>
      </c>
      <c r="M178" s="38">
        <f t="shared" si="16"/>
        <v>0</v>
      </c>
      <c r="N178" s="11"/>
      <c r="O178" s="11"/>
      <c r="P178" s="12">
        <f t="shared" si="17"/>
        <v>0</v>
      </c>
      <c r="Q178" s="28">
        <f t="shared" si="18"/>
        <v>0</v>
      </c>
      <c r="R178" s="9"/>
      <c r="S178" s="9"/>
      <c r="T178" s="9"/>
      <c r="U178" s="9"/>
      <c r="V178" s="9"/>
      <c r="W178" s="10">
        <f t="shared" si="19"/>
        <v>0</v>
      </c>
      <c r="X178" s="30">
        <f t="shared" si="20"/>
        <v>0</v>
      </c>
      <c r="Y178" s="32">
        <f t="shared" si="14"/>
        <v>0</v>
      </c>
    </row>
    <row r="179" spans="1:25" ht="27.6" hidden="1" x14ac:dyDescent="0.3">
      <c r="A179" s="24" t="s">
        <v>182</v>
      </c>
      <c r="B179" s="24"/>
      <c r="C179" s="24" t="s">
        <v>195</v>
      </c>
      <c r="D179" s="23"/>
      <c r="E179" s="20"/>
      <c r="F179" s="21"/>
      <c r="G179" s="23"/>
      <c r="H179" s="23"/>
      <c r="I179" s="3" t="s">
        <v>217</v>
      </c>
      <c r="J179" s="9"/>
      <c r="K179" s="9"/>
      <c r="L179" s="10">
        <f t="shared" si="15"/>
        <v>0</v>
      </c>
      <c r="M179" s="38">
        <f t="shared" si="16"/>
        <v>0</v>
      </c>
      <c r="N179" s="11"/>
      <c r="O179" s="11"/>
      <c r="P179" s="12">
        <f t="shared" si="17"/>
        <v>0</v>
      </c>
      <c r="Q179" s="28">
        <f t="shared" si="18"/>
        <v>0</v>
      </c>
      <c r="R179" s="9"/>
      <c r="S179" s="9"/>
      <c r="T179" s="9"/>
      <c r="U179" s="9"/>
      <c r="V179" s="9"/>
      <c r="W179" s="10">
        <f t="shared" si="19"/>
        <v>0</v>
      </c>
      <c r="X179" s="30">
        <f t="shared" si="20"/>
        <v>0</v>
      </c>
      <c r="Y179" s="32">
        <f t="shared" si="14"/>
        <v>0</v>
      </c>
    </row>
    <row r="180" spans="1:25" ht="21.6" hidden="1" x14ac:dyDescent="0.3">
      <c r="A180" s="24" t="s">
        <v>84</v>
      </c>
      <c r="B180" s="24"/>
      <c r="C180" s="24" t="s">
        <v>85</v>
      </c>
      <c r="D180" s="23"/>
      <c r="E180" s="20"/>
      <c r="F180" s="21"/>
      <c r="G180" s="23"/>
      <c r="H180" s="23"/>
      <c r="I180" s="3" t="s">
        <v>218</v>
      </c>
      <c r="J180" s="9"/>
      <c r="K180" s="9"/>
      <c r="L180" s="10">
        <f t="shared" si="15"/>
        <v>0</v>
      </c>
      <c r="M180" s="38">
        <f t="shared" si="16"/>
        <v>0</v>
      </c>
      <c r="N180" s="11"/>
      <c r="O180" s="11"/>
      <c r="P180" s="12">
        <f t="shared" si="17"/>
        <v>0</v>
      </c>
      <c r="Q180" s="28">
        <f t="shared" si="18"/>
        <v>0</v>
      </c>
      <c r="R180" s="9"/>
      <c r="S180" s="9"/>
      <c r="T180" s="9"/>
      <c r="U180" s="9"/>
      <c r="V180" s="9"/>
      <c r="W180" s="10">
        <f t="shared" si="19"/>
        <v>0</v>
      </c>
      <c r="X180" s="30">
        <f t="shared" si="20"/>
        <v>0</v>
      </c>
      <c r="Y180" s="32">
        <f t="shared" si="14"/>
        <v>0</v>
      </c>
    </row>
    <row r="181" spans="1:25" ht="21.6" hidden="1" x14ac:dyDescent="0.3">
      <c r="A181" s="24" t="s">
        <v>84</v>
      </c>
      <c r="B181" s="24"/>
      <c r="C181" s="24" t="s">
        <v>85</v>
      </c>
      <c r="D181" s="23"/>
      <c r="E181" s="20"/>
      <c r="F181" s="21"/>
      <c r="G181" s="23"/>
      <c r="H181" s="23"/>
      <c r="I181" s="3" t="s">
        <v>219</v>
      </c>
      <c r="J181" s="9"/>
      <c r="K181" s="9"/>
      <c r="L181" s="10">
        <f t="shared" si="15"/>
        <v>0</v>
      </c>
      <c r="M181" s="38">
        <f t="shared" si="16"/>
        <v>0</v>
      </c>
      <c r="N181" s="11"/>
      <c r="O181" s="11"/>
      <c r="P181" s="12">
        <f t="shared" si="17"/>
        <v>0</v>
      </c>
      <c r="Q181" s="28">
        <f t="shared" si="18"/>
        <v>0</v>
      </c>
      <c r="R181" s="9"/>
      <c r="S181" s="9"/>
      <c r="T181" s="9"/>
      <c r="U181" s="9"/>
      <c r="V181" s="9"/>
      <c r="W181" s="10">
        <f t="shared" si="19"/>
        <v>0</v>
      </c>
      <c r="X181" s="30">
        <f t="shared" si="20"/>
        <v>0</v>
      </c>
      <c r="Y181" s="32">
        <f t="shared" si="14"/>
        <v>0</v>
      </c>
    </row>
    <row r="182" spans="1:25" hidden="1" x14ac:dyDescent="0.3">
      <c r="A182" s="34"/>
      <c r="B182" s="34"/>
      <c r="C182" s="34"/>
      <c r="D182" s="35"/>
      <c r="E182" s="35"/>
      <c r="F182" s="35"/>
      <c r="G182" s="35"/>
      <c r="H182" s="35"/>
      <c r="I182" s="36"/>
      <c r="J182" s="119"/>
      <c r="K182" s="120"/>
      <c r="L182" s="121"/>
      <c r="M182" s="33">
        <f>AVERAGEIF(M13:M181,"&gt;0")</f>
        <v>92.46529209621994</v>
      </c>
      <c r="N182" s="122"/>
      <c r="O182" s="123"/>
      <c r="P182" s="124"/>
      <c r="Q182" s="33">
        <f t="shared" ref="Q182:Y182" si="21">AVERAGEIF(Q13:Q181,"&gt;0")</f>
        <v>69.249027306482859</v>
      </c>
      <c r="R182" s="33">
        <f t="shared" si="21"/>
        <v>8</v>
      </c>
      <c r="S182" s="33">
        <f t="shared" si="21"/>
        <v>5.666666666666667</v>
      </c>
      <c r="T182" s="33">
        <f t="shared" si="21"/>
        <v>6</v>
      </c>
      <c r="U182" s="33">
        <f t="shared" si="21"/>
        <v>7.333333333333333</v>
      </c>
      <c r="V182" s="33">
        <f t="shared" si="21"/>
        <v>7.666666666666667</v>
      </c>
      <c r="W182" s="33">
        <f t="shared" si="21"/>
        <v>34.666666666666664</v>
      </c>
      <c r="X182" s="33">
        <f t="shared" si="21"/>
        <v>69.333333333333329</v>
      </c>
      <c r="Y182" s="33">
        <f t="shared" si="21"/>
        <v>67.771439800900936</v>
      </c>
    </row>
  </sheetData>
  <autoFilter ref="A9:Y182" xr:uid="{90563A32-5EBF-452E-9143-123B4501033A}">
    <filterColumn colId="0">
      <filters>
        <filter val="PATR"/>
      </filters>
    </filterColumn>
    <filterColumn colId="2">
      <filters>
        <filter val="Equipo Tecnico"/>
        <filter val="Tecn-Integral"/>
        <filter val="Tecn-Prog-EV-1"/>
      </filters>
    </filterColumn>
  </autoFilter>
  <mergeCells count="18">
    <mergeCell ref="A1:Y1"/>
    <mergeCell ref="A2:Y2"/>
    <mergeCell ref="A4:D5"/>
    <mergeCell ref="I4:K5"/>
    <mergeCell ref="M4:N4"/>
    <mergeCell ref="O4:Y4"/>
    <mergeCell ref="M5:N5"/>
    <mergeCell ref="O5:Y5"/>
    <mergeCell ref="R7:X7"/>
    <mergeCell ref="Y7:Y8"/>
    <mergeCell ref="J182:L182"/>
    <mergeCell ref="N182:P182"/>
    <mergeCell ref="A7:C7"/>
    <mergeCell ref="D7:D8"/>
    <mergeCell ref="E7:G7"/>
    <mergeCell ref="I7:I8"/>
    <mergeCell ref="J7:M7"/>
    <mergeCell ref="N7:Q7"/>
  </mergeCells>
  <dataValidations count="1">
    <dataValidation type="list" allowBlank="1" showInputMessage="1" showErrorMessage="1" sqref="H182 F10:G182" xr:uid="{DE1DA4E1-7A2B-4A14-80C8-3BEC3C570195}">
      <formula1>INDIRECT(E10)</formula1>
    </dataValidation>
  </dataValidations>
  <pageMargins left="0.7" right="0.7" top="0.75" bottom="0.75" header="0.3" footer="0.3"/>
  <pageSetup scale="85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220C4A7-7DDF-4862-A110-1E1D57EDD0EF}">
          <x14:formula1>
            <xm:f>'Lista desplegable'!$O$13:$O$37</xm:f>
          </x14:formula1>
          <xm:sqref>G4:G5 I4</xm:sqref>
        </x14:dataValidation>
        <x14:dataValidation type="list" allowBlank="1" showInputMessage="1" showErrorMessage="1" xr:uid="{8CB43649-4F96-47B3-8085-335C7CC72313}">
          <x14:formula1>
            <xm:f>'Lista desplegable'!$N$13:$N$21</xm:f>
          </x14:formula1>
          <xm:sqref>O4:O5</xm:sqref>
        </x14:dataValidation>
        <x14:dataValidation type="list" allowBlank="1" showInputMessage="1" showErrorMessage="1" xr:uid="{D1D2F8E7-F36D-4F31-B13E-9FF868A76AD8}">
          <x14:formula1>
            <xm:f>'Lista desplegable'!$B$13:$B$24</xm:f>
          </x14:formula1>
          <xm:sqref>D10:D181</xm:sqref>
        </x14:dataValidation>
        <x14:dataValidation type="list" allowBlank="1" showInputMessage="1" showErrorMessage="1" xr:uid="{F007B134-2D74-4411-BB72-8A8F0F6FD42E}">
          <x14:formula1>
            <xm:f>'Lista desplegable'!$D$12:$D$31</xm:f>
          </x14:formula1>
          <xm:sqref>H10:H181</xm:sqref>
        </x14:dataValidation>
        <x14:dataValidation type="list" allowBlank="1" showInputMessage="1" showErrorMessage="1" xr:uid="{00217CBB-D884-4C3A-8334-19002A67F9B3}">
          <x14:formula1>
            <xm:f>'Lista desplegable'!$D$11:$D$21</xm:f>
          </x14:formula1>
          <xm:sqref>R10:V181</xm:sqref>
        </x14:dataValidation>
        <x14:dataValidation type="list" allowBlank="1" showInputMessage="1" showErrorMessage="1" xr:uid="{481B2E5C-E693-45CF-B155-E01FE6A26A97}">
          <x14:formula1>
            <xm:f>'Lista desplegable'!$C$12:$C$28</xm:f>
          </x14:formula1>
          <xm:sqref>C10:C181</xm:sqref>
        </x14:dataValidation>
        <x14:dataValidation type="list" allowBlank="1" showInputMessage="1" showErrorMessage="1" xr:uid="{19901ACA-8744-475D-AF25-FDCB0CBB8F69}">
          <x14:formula1>
            <xm:f>'Lista desplegable'!$A$2:$A$16</xm:f>
          </x14:formula1>
          <xm:sqref>E10:E182</xm:sqref>
        </x14:dataValidation>
        <x14:dataValidation type="list" allowBlank="1" showInputMessage="1" showErrorMessage="1" xr:uid="{B494A87A-E3D8-49DD-AB92-33422793332B}">
          <x14:formula1>
            <xm:f>'Lista desplegable'!$C$32:$C$42</xm:f>
          </x14:formula1>
          <xm:sqref>A10:B181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E505B-1B82-4BCF-9E5D-6BB96B908429}">
  <dimension ref="A1:AZ1000"/>
  <sheetViews>
    <sheetView topLeftCell="A10" zoomScale="117" zoomScaleNormal="79" workbookViewId="0">
      <selection activeCell="C25" sqref="C25"/>
    </sheetView>
  </sheetViews>
  <sheetFormatPr baseColWidth="10" defaultColWidth="14.44140625" defaultRowHeight="15" customHeight="1" x14ac:dyDescent="0.3"/>
  <cols>
    <col min="1" max="1" width="32.44140625" customWidth="1"/>
    <col min="2" max="2" width="25.44140625" customWidth="1"/>
    <col min="3" max="3" width="57.5546875" customWidth="1"/>
    <col min="4" max="4" width="33.44140625" customWidth="1"/>
    <col min="5" max="5" width="41.88671875" customWidth="1"/>
    <col min="6" max="6" width="43.109375" customWidth="1"/>
    <col min="7" max="7" width="38.5546875" customWidth="1"/>
    <col min="8" max="8" width="41.5546875" customWidth="1"/>
    <col min="9" max="9" width="21.88671875" customWidth="1"/>
    <col min="10" max="10" width="33.44140625" customWidth="1"/>
    <col min="11" max="11" width="25.5546875" customWidth="1"/>
    <col min="12" max="12" width="23.5546875" customWidth="1"/>
    <col min="13" max="13" width="24.44140625" customWidth="1"/>
    <col min="14" max="14" width="40.44140625" customWidth="1"/>
    <col min="15" max="15" width="68.44140625" customWidth="1"/>
    <col min="16" max="16" width="84.109375" customWidth="1"/>
    <col min="17" max="19" width="68.44140625" customWidth="1"/>
    <col min="20" max="20" width="146.44140625" customWidth="1"/>
    <col min="21" max="21" width="147.5546875" customWidth="1"/>
    <col min="22" max="22" width="114.5546875" customWidth="1"/>
    <col min="23" max="23" width="109.44140625" customWidth="1"/>
    <col min="24" max="24" width="160.5546875" customWidth="1"/>
    <col min="25" max="25" width="66.44140625" customWidth="1"/>
    <col min="26" max="26" width="32.44140625" customWidth="1"/>
    <col min="27" max="27" width="70.44140625" customWidth="1"/>
    <col min="28" max="28" width="68.44140625" customWidth="1"/>
    <col min="29" max="29" width="142.44140625" customWidth="1"/>
    <col min="30" max="35" width="68.44140625" customWidth="1"/>
    <col min="36" max="36" width="101.5546875" customWidth="1"/>
    <col min="37" max="38" width="68.44140625" customWidth="1"/>
    <col min="39" max="39" width="171.5546875" customWidth="1"/>
    <col min="40" max="42" width="68.44140625" customWidth="1"/>
    <col min="43" max="43" width="14.44140625" customWidth="1"/>
    <col min="44" max="44" width="63.44140625" customWidth="1"/>
    <col min="45" max="45" width="52.5546875" customWidth="1"/>
    <col min="46" max="46" width="36.109375" customWidth="1"/>
    <col min="47" max="47" width="30.109375" customWidth="1"/>
    <col min="48" max="48" width="42.5546875" customWidth="1"/>
    <col min="49" max="49" width="29.5546875" customWidth="1"/>
    <col min="50" max="50" width="38.5546875" customWidth="1"/>
    <col min="51" max="51" width="37.44140625" customWidth="1"/>
    <col min="52" max="52" width="34" customWidth="1"/>
    <col min="53" max="63" width="8.5546875" customWidth="1"/>
  </cols>
  <sheetData>
    <row r="1" spans="1:52" ht="14.4" x14ac:dyDescent="0.3">
      <c r="A1" t="s">
        <v>285</v>
      </c>
      <c r="B1" t="s">
        <v>38</v>
      </c>
      <c r="C1" t="s">
        <v>286</v>
      </c>
      <c r="D1" t="s">
        <v>287</v>
      </c>
      <c r="E1" t="s">
        <v>288</v>
      </c>
      <c r="F1" t="s">
        <v>289</v>
      </c>
      <c r="G1" t="s">
        <v>290</v>
      </c>
      <c r="H1" t="s">
        <v>291</v>
      </c>
      <c r="I1" t="s">
        <v>292</v>
      </c>
      <c r="J1" t="s">
        <v>293</v>
      </c>
      <c r="K1" t="s">
        <v>294</v>
      </c>
      <c r="L1" t="s">
        <v>295</v>
      </c>
      <c r="M1" t="s">
        <v>296</v>
      </c>
      <c r="N1" t="s">
        <v>297</v>
      </c>
      <c r="O1" t="s">
        <v>298</v>
      </c>
      <c r="P1" t="s">
        <v>39</v>
      </c>
      <c r="Q1" t="s">
        <v>299</v>
      </c>
      <c r="R1" t="s">
        <v>300</v>
      </c>
      <c r="S1" t="s">
        <v>301</v>
      </c>
      <c r="T1" t="s">
        <v>302</v>
      </c>
      <c r="U1" t="s">
        <v>303</v>
      </c>
      <c r="V1" t="s">
        <v>304</v>
      </c>
      <c r="W1" t="s">
        <v>305</v>
      </c>
      <c r="X1" t="s">
        <v>306</v>
      </c>
      <c r="Y1" t="s">
        <v>307</v>
      </c>
      <c r="Z1" t="s">
        <v>308</v>
      </c>
      <c r="AA1" t="s">
        <v>309</v>
      </c>
      <c r="AB1" t="s">
        <v>310</v>
      </c>
      <c r="AC1" t="s">
        <v>311</v>
      </c>
      <c r="AD1" t="s">
        <v>312</v>
      </c>
      <c r="AE1" t="s">
        <v>313</v>
      </c>
      <c r="AF1" t="s">
        <v>314</v>
      </c>
      <c r="AG1" t="s">
        <v>315</v>
      </c>
      <c r="AH1" t="s">
        <v>316</v>
      </c>
      <c r="AI1" t="s">
        <v>317</v>
      </c>
      <c r="AJ1" t="s">
        <v>318</v>
      </c>
      <c r="AK1" t="s">
        <v>319</v>
      </c>
      <c r="AL1" t="s">
        <v>320</v>
      </c>
      <c r="AM1" t="s">
        <v>321</v>
      </c>
      <c r="AN1" t="s">
        <v>322</v>
      </c>
      <c r="AO1" t="s">
        <v>323</v>
      </c>
      <c r="AP1" t="s">
        <v>324</v>
      </c>
      <c r="AQ1" t="s">
        <v>325</v>
      </c>
      <c r="AR1" t="s">
        <v>326</v>
      </c>
      <c r="AS1" t="s">
        <v>327</v>
      </c>
      <c r="AT1" t="s">
        <v>328</v>
      </c>
      <c r="AU1" t="s">
        <v>329</v>
      </c>
      <c r="AV1" t="s">
        <v>330</v>
      </c>
      <c r="AW1" t="s">
        <v>331</v>
      </c>
      <c r="AX1" t="s">
        <v>332</v>
      </c>
      <c r="AY1" t="s">
        <v>333</v>
      </c>
      <c r="AZ1" t="s">
        <v>334</v>
      </c>
    </row>
    <row r="2" spans="1:52" ht="14.4" x14ac:dyDescent="0.3">
      <c r="A2" t="s">
        <v>38</v>
      </c>
      <c r="B2" t="s">
        <v>298</v>
      </c>
      <c r="C2" t="s">
        <v>302</v>
      </c>
      <c r="D2" t="s">
        <v>304</v>
      </c>
      <c r="E2" t="s">
        <v>308</v>
      </c>
      <c r="F2" t="s">
        <v>312</v>
      </c>
      <c r="G2" t="s">
        <v>315</v>
      </c>
      <c r="H2" t="s">
        <v>318</v>
      </c>
      <c r="I2" t="s">
        <v>319</v>
      </c>
      <c r="J2" t="s">
        <v>320</v>
      </c>
      <c r="K2" t="s">
        <v>321</v>
      </c>
      <c r="L2" t="s">
        <v>322</v>
      </c>
      <c r="M2" t="s">
        <v>323</v>
      </c>
      <c r="N2" t="s">
        <v>324</v>
      </c>
      <c r="O2" t="s">
        <v>335</v>
      </c>
      <c r="P2" t="s">
        <v>40</v>
      </c>
      <c r="Q2" t="s">
        <v>336</v>
      </c>
      <c r="R2" t="s">
        <v>337</v>
      </c>
      <c r="S2" t="s">
        <v>338</v>
      </c>
      <c r="T2" t="s">
        <v>339</v>
      </c>
      <c r="U2" t="s">
        <v>340</v>
      </c>
      <c r="V2" t="s">
        <v>341</v>
      </c>
      <c r="W2" t="s">
        <v>342</v>
      </c>
      <c r="X2" t="s">
        <v>343</v>
      </c>
      <c r="Y2" t="s">
        <v>344</v>
      </c>
      <c r="Z2" t="s">
        <v>345</v>
      </c>
      <c r="AA2" t="s">
        <v>346</v>
      </c>
      <c r="AB2" t="s">
        <v>347</v>
      </c>
      <c r="AC2" t="s">
        <v>348</v>
      </c>
      <c r="AD2" t="s">
        <v>349</v>
      </c>
      <c r="AE2" t="s">
        <v>350</v>
      </c>
      <c r="AF2" t="s">
        <v>351</v>
      </c>
      <c r="AG2" t="s">
        <v>352</v>
      </c>
      <c r="AH2" t="s">
        <v>353</v>
      </c>
      <c r="AI2" t="s">
        <v>354</v>
      </c>
      <c r="AJ2" t="s">
        <v>355</v>
      </c>
      <c r="AK2" t="s">
        <v>356</v>
      </c>
      <c r="AL2" t="s">
        <v>357</v>
      </c>
      <c r="AM2" t="s">
        <v>358</v>
      </c>
      <c r="AN2" t="s">
        <v>359</v>
      </c>
      <c r="AO2" t="s">
        <v>360</v>
      </c>
      <c r="AP2" t="s">
        <v>361</v>
      </c>
      <c r="AQ2" t="s">
        <v>362</v>
      </c>
      <c r="AR2" t="s">
        <v>298</v>
      </c>
      <c r="AS2" t="s">
        <v>363</v>
      </c>
      <c r="AT2" t="s">
        <v>364</v>
      </c>
      <c r="AU2" t="s">
        <v>365</v>
      </c>
      <c r="AV2" t="s">
        <v>366</v>
      </c>
      <c r="AW2" t="s">
        <v>332</v>
      </c>
      <c r="AX2" t="s">
        <v>367</v>
      </c>
      <c r="AY2" t="s">
        <v>334</v>
      </c>
      <c r="AZ2" t="s">
        <v>368</v>
      </c>
    </row>
    <row r="3" spans="1:52" ht="14.4" x14ac:dyDescent="0.3">
      <c r="A3" t="s">
        <v>286</v>
      </c>
      <c r="B3" t="s">
        <v>39</v>
      </c>
      <c r="C3" t="s">
        <v>303</v>
      </c>
      <c r="D3" t="s">
        <v>305</v>
      </c>
      <c r="E3" t="s">
        <v>309</v>
      </c>
      <c r="F3" t="s">
        <v>313</v>
      </c>
      <c r="G3" t="s">
        <v>316</v>
      </c>
      <c r="H3" t="s">
        <v>369</v>
      </c>
      <c r="O3" t="s">
        <v>370</v>
      </c>
      <c r="P3" t="s">
        <v>371</v>
      </c>
      <c r="Q3" t="s">
        <v>372</v>
      </c>
      <c r="R3" t="s">
        <v>373</v>
      </c>
      <c r="S3" t="s">
        <v>374</v>
      </c>
      <c r="T3" t="s">
        <v>375</v>
      </c>
      <c r="U3" t="s">
        <v>376</v>
      </c>
      <c r="V3" t="s">
        <v>377</v>
      </c>
      <c r="W3" t="s">
        <v>378</v>
      </c>
      <c r="X3" t="s">
        <v>379</v>
      </c>
      <c r="Y3" t="s">
        <v>380</v>
      </c>
      <c r="Z3" t="s">
        <v>381</v>
      </c>
      <c r="AA3" t="s">
        <v>382</v>
      </c>
      <c r="AB3" t="s">
        <v>383</v>
      </c>
      <c r="AC3" t="s">
        <v>384</v>
      </c>
      <c r="AD3" t="s">
        <v>385</v>
      </c>
      <c r="AE3" t="s">
        <v>386</v>
      </c>
      <c r="AF3" t="s">
        <v>387</v>
      </c>
      <c r="AG3" t="s">
        <v>388</v>
      </c>
      <c r="AH3" t="s">
        <v>389</v>
      </c>
      <c r="AI3" t="s">
        <v>390</v>
      </c>
      <c r="AJ3" t="s">
        <v>391</v>
      </c>
      <c r="AK3" t="s">
        <v>392</v>
      </c>
      <c r="AL3" t="s">
        <v>393</v>
      </c>
      <c r="AM3" t="s">
        <v>394</v>
      </c>
      <c r="AN3" t="s">
        <v>395</v>
      </c>
      <c r="AO3" t="s">
        <v>396</v>
      </c>
      <c r="AP3" t="s">
        <v>397</v>
      </c>
      <c r="AQ3" t="s">
        <v>398</v>
      </c>
      <c r="AR3" t="s">
        <v>39</v>
      </c>
      <c r="AS3" t="s">
        <v>399</v>
      </c>
      <c r="AT3" t="s">
        <v>400</v>
      </c>
      <c r="AU3" t="s">
        <v>401</v>
      </c>
      <c r="AV3" t="s">
        <v>402</v>
      </c>
      <c r="AX3" t="s">
        <v>403</v>
      </c>
      <c r="AZ3" t="s">
        <v>404</v>
      </c>
    </row>
    <row r="4" spans="1:52" ht="12" customHeight="1" x14ac:dyDescent="0.3">
      <c r="A4" t="s">
        <v>287</v>
      </c>
      <c r="B4" t="s">
        <v>299</v>
      </c>
      <c r="D4" t="s">
        <v>405</v>
      </c>
      <c r="E4" t="s">
        <v>310</v>
      </c>
      <c r="F4" t="s">
        <v>314</v>
      </c>
      <c r="G4" t="s">
        <v>317</v>
      </c>
      <c r="O4" t="s">
        <v>406</v>
      </c>
      <c r="P4" t="s">
        <v>407</v>
      </c>
      <c r="Q4" t="s">
        <v>408</v>
      </c>
      <c r="R4" t="s">
        <v>409</v>
      </c>
      <c r="S4" t="s">
        <v>410</v>
      </c>
      <c r="T4" t="s">
        <v>411</v>
      </c>
      <c r="U4" t="s">
        <v>412</v>
      </c>
      <c r="V4" t="s">
        <v>413</v>
      </c>
      <c r="W4" t="s">
        <v>414</v>
      </c>
      <c r="X4" t="s">
        <v>415</v>
      </c>
      <c r="Y4" t="s">
        <v>416</v>
      </c>
      <c r="Z4" t="s">
        <v>417</v>
      </c>
      <c r="AA4" t="s">
        <v>418</v>
      </c>
      <c r="AB4" t="s">
        <v>419</v>
      </c>
      <c r="AC4" t="s">
        <v>420</v>
      </c>
      <c r="AD4" t="s">
        <v>421</v>
      </c>
      <c r="AE4" t="s">
        <v>422</v>
      </c>
      <c r="AF4" t="s">
        <v>423</v>
      </c>
      <c r="AG4" t="s">
        <v>424</v>
      </c>
      <c r="AH4" t="s">
        <v>425</v>
      </c>
      <c r="AI4" t="s">
        <v>426</v>
      </c>
      <c r="AJ4" t="s">
        <v>427</v>
      </c>
      <c r="AK4" t="s">
        <v>428</v>
      </c>
      <c r="AL4" t="s">
        <v>429</v>
      </c>
      <c r="AM4" t="s">
        <v>430</v>
      </c>
      <c r="AN4" t="s">
        <v>431</v>
      </c>
      <c r="AO4" t="s">
        <v>432</v>
      </c>
      <c r="AP4" t="s">
        <v>433</v>
      </c>
      <c r="AQ4" t="s">
        <v>434</v>
      </c>
      <c r="AR4" t="s">
        <v>299</v>
      </c>
      <c r="AS4" t="s">
        <v>435</v>
      </c>
      <c r="AT4" t="s">
        <v>436</v>
      </c>
      <c r="AU4" t="s">
        <v>437</v>
      </c>
      <c r="AV4" t="s">
        <v>438</v>
      </c>
      <c r="AX4" t="s">
        <v>439</v>
      </c>
      <c r="AZ4" t="s">
        <v>440</v>
      </c>
    </row>
    <row r="5" spans="1:52" ht="14.4" x14ac:dyDescent="0.3">
      <c r="A5" t="s">
        <v>288</v>
      </c>
      <c r="B5" t="s">
        <v>300</v>
      </c>
      <c r="D5" t="s">
        <v>307</v>
      </c>
      <c r="E5" t="s">
        <v>311</v>
      </c>
      <c r="O5" t="s">
        <v>441</v>
      </c>
      <c r="P5" t="s">
        <v>442</v>
      </c>
      <c r="Q5" t="s">
        <v>443</v>
      </c>
      <c r="R5" t="s">
        <v>444</v>
      </c>
      <c r="S5" t="s">
        <v>445</v>
      </c>
      <c r="T5" t="s">
        <v>446</v>
      </c>
      <c r="U5" t="s">
        <v>447</v>
      </c>
      <c r="V5" t="s">
        <v>448</v>
      </c>
      <c r="W5" t="s">
        <v>449</v>
      </c>
      <c r="X5" t="s">
        <v>450</v>
      </c>
      <c r="Y5" t="s">
        <v>451</v>
      </c>
      <c r="Z5" t="s">
        <v>452</v>
      </c>
      <c r="AA5" t="s">
        <v>453</v>
      </c>
      <c r="AB5" t="s">
        <v>454</v>
      </c>
      <c r="AC5" t="s">
        <v>455</v>
      </c>
      <c r="AD5" t="s">
        <v>456</v>
      </c>
      <c r="AE5" t="s">
        <v>457</v>
      </c>
      <c r="AF5" t="s">
        <v>458</v>
      </c>
      <c r="AG5" t="s">
        <v>459</v>
      </c>
      <c r="AH5" t="s">
        <v>460</v>
      </c>
      <c r="AI5" t="s">
        <v>461</v>
      </c>
      <c r="AJ5" t="s">
        <v>462</v>
      </c>
      <c r="AK5" t="s">
        <v>463</v>
      </c>
      <c r="AL5" t="s">
        <v>464</v>
      </c>
      <c r="AM5" t="s">
        <v>465</v>
      </c>
      <c r="AN5" t="s">
        <v>466</v>
      </c>
      <c r="AO5" t="s">
        <v>467</v>
      </c>
      <c r="AP5" t="s">
        <v>468</v>
      </c>
      <c r="AQ5" t="s">
        <v>469</v>
      </c>
      <c r="AR5" t="s">
        <v>300</v>
      </c>
      <c r="AS5" t="s">
        <v>470</v>
      </c>
      <c r="AT5" t="s">
        <v>471</v>
      </c>
      <c r="AU5" t="s">
        <v>472</v>
      </c>
      <c r="AV5" t="s">
        <v>473</v>
      </c>
      <c r="AX5" t="s">
        <v>474</v>
      </c>
      <c r="AZ5" t="s">
        <v>475</v>
      </c>
    </row>
    <row r="6" spans="1:52" ht="14.4" x14ac:dyDescent="0.3">
      <c r="A6" t="s">
        <v>289</v>
      </c>
      <c r="B6" t="s">
        <v>301</v>
      </c>
      <c r="O6" t="s">
        <v>476</v>
      </c>
      <c r="P6" t="s">
        <v>477</v>
      </c>
      <c r="Q6" t="s">
        <v>478</v>
      </c>
      <c r="R6" t="s">
        <v>479</v>
      </c>
      <c r="S6" t="s">
        <v>480</v>
      </c>
      <c r="T6" t="s">
        <v>481</v>
      </c>
      <c r="U6" t="s">
        <v>482</v>
      </c>
      <c r="V6" t="s">
        <v>483</v>
      </c>
      <c r="W6" t="s">
        <v>484</v>
      </c>
      <c r="X6" t="s">
        <v>485</v>
      </c>
      <c r="Y6" t="s">
        <v>486</v>
      </c>
      <c r="Z6" t="s">
        <v>487</v>
      </c>
      <c r="AA6" t="s">
        <v>488</v>
      </c>
      <c r="AB6" t="s">
        <v>489</v>
      </c>
      <c r="AC6" t="s">
        <v>490</v>
      </c>
      <c r="AD6" t="s">
        <v>491</v>
      </c>
      <c r="AE6" t="s">
        <v>492</v>
      </c>
      <c r="AF6" t="s">
        <v>493</v>
      </c>
      <c r="AG6" t="s">
        <v>494</v>
      </c>
      <c r="AH6" t="s">
        <v>495</v>
      </c>
      <c r="AI6" t="s">
        <v>496</v>
      </c>
      <c r="AJ6" t="s">
        <v>497</v>
      </c>
      <c r="AK6" t="s">
        <v>498</v>
      </c>
      <c r="AL6" t="s">
        <v>499</v>
      </c>
      <c r="AM6" t="s">
        <v>500</v>
      </c>
      <c r="AN6" t="s">
        <v>501</v>
      </c>
      <c r="AQ6" t="s">
        <v>502</v>
      </c>
      <c r="AR6" t="s">
        <v>301</v>
      </c>
      <c r="AS6" t="s">
        <v>503</v>
      </c>
      <c r="AT6" t="s">
        <v>504</v>
      </c>
      <c r="AU6" t="s">
        <v>505</v>
      </c>
      <c r="AV6" t="s">
        <v>506</v>
      </c>
      <c r="AX6" t="s">
        <v>507</v>
      </c>
    </row>
    <row r="7" spans="1:52" ht="15.75" customHeight="1" x14ac:dyDescent="0.3">
      <c r="A7" t="s">
        <v>290</v>
      </c>
      <c r="P7" t="s">
        <v>508</v>
      </c>
      <c r="Q7" t="s">
        <v>509</v>
      </c>
      <c r="R7" t="s">
        <v>510</v>
      </c>
      <c r="S7" t="s">
        <v>511</v>
      </c>
      <c r="T7" t="s">
        <v>512</v>
      </c>
      <c r="U7" t="s">
        <v>513</v>
      </c>
      <c r="V7" t="s">
        <v>514</v>
      </c>
      <c r="W7" t="s">
        <v>515</v>
      </c>
      <c r="X7" t="s">
        <v>516</v>
      </c>
      <c r="Y7" t="s">
        <v>517</v>
      </c>
      <c r="Z7" t="s">
        <v>518</v>
      </c>
      <c r="AA7" t="s">
        <v>519</v>
      </c>
      <c r="AB7" t="s">
        <v>520</v>
      </c>
      <c r="AC7" t="s">
        <v>521</v>
      </c>
      <c r="AD7" t="s">
        <v>522</v>
      </c>
      <c r="AE7" t="s">
        <v>523</v>
      </c>
      <c r="AF7" t="s">
        <v>524</v>
      </c>
      <c r="AG7" t="s">
        <v>525</v>
      </c>
      <c r="AH7" t="s">
        <v>526</v>
      </c>
      <c r="AI7" t="s">
        <v>527</v>
      </c>
      <c r="AJ7" t="s">
        <v>528</v>
      </c>
      <c r="AK7" t="s">
        <v>529</v>
      </c>
      <c r="AL7" t="s">
        <v>530</v>
      </c>
      <c r="AM7" t="s">
        <v>531</v>
      </c>
      <c r="AN7" t="s">
        <v>532</v>
      </c>
      <c r="AQ7" t="s">
        <v>533</v>
      </c>
      <c r="AR7" t="s">
        <v>302</v>
      </c>
      <c r="AS7" t="s">
        <v>534</v>
      </c>
      <c r="AT7" t="s">
        <v>535</v>
      </c>
      <c r="AU7" t="s">
        <v>536</v>
      </c>
      <c r="AV7" t="s">
        <v>537</v>
      </c>
    </row>
    <row r="8" spans="1:52" ht="14.4" x14ac:dyDescent="0.3">
      <c r="A8" t="s">
        <v>291</v>
      </c>
      <c r="Q8" t="s">
        <v>538</v>
      </c>
      <c r="R8" t="s">
        <v>539</v>
      </c>
      <c r="S8" t="s">
        <v>540</v>
      </c>
      <c r="T8" t="s">
        <v>541</v>
      </c>
      <c r="U8" t="s">
        <v>542</v>
      </c>
      <c r="V8" t="s">
        <v>543</v>
      </c>
      <c r="W8" t="s">
        <v>544</v>
      </c>
      <c r="X8" t="s">
        <v>545</v>
      </c>
      <c r="Y8" t="s">
        <v>546</v>
      </c>
      <c r="Z8" t="s">
        <v>547</v>
      </c>
      <c r="AA8" t="s">
        <v>548</v>
      </c>
      <c r="AB8" t="s">
        <v>549</v>
      </c>
      <c r="AC8" t="s">
        <v>550</v>
      </c>
      <c r="AD8" t="s">
        <v>551</v>
      </c>
      <c r="AE8" t="s">
        <v>552</v>
      </c>
      <c r="AF8" t="s">
        <v>553</v>
      </c>
      <c r="AG8" t="s">
        <v>554</v>
      </c>
      <c r="AH8" t="s">
        <v>555</v>
      </c>
      <c r="AI8" t="s">
        <v>556</v>
      </c>
      <c r="AJ8" t="s">
        <v>557</v>
      </c>
      <c r="AK8" t="s">
        <v>558</v>
      </c>
      <c r="AL8" t="s">
        <v>559</v>
      </c>
      <c r="AM8" t="s">
        <v>560</v>
      </c>
      <c r="AQ8" t="s">
        <v>561</v>
      </c>
      <c r="AR8" t="s">
        <v>303</v>
      </c>
      <c r="AS8" t="s">
        <v>562</v>
      </c>
      <c r="AT8" t="s">
        <v>563</v>
      </c>
      <c r="AU8" t="s">
        <v>564</v>
      </c>
      <c r="AV8" t="s">
        <v>565</v>
      </c>
    </row>
    <row r="9" spans="1:52" ht="15.75" customHeight="1" x14ac:dyDescent="0.3">
      <c r="A9" t="s">
        <v>292</v>
      </c>
      <c r="Q9" t="s">
        <v>566</v>
      </c>
      <c r="R9" t="s">
        <v>567</v>
      </c>
      <c r="S9" t="s">
        <v>568</v>
      </c>
      <c r="T9" t="s">
        <v>569</v>
      </c>
      <c r="U9" t="s">
        <v>570</v>
      </c>
      <c r="V9" t="s">
        <v>571</v>
      </c>
      <c r="W9" t="s">
        <v>572</v>
      </c>
      <c r="X9" t="s">
        <v>573</v>
      </c>
      <c r="Z9" t="s">
        <v>574</v>
      </c>
      <c r="AA9" t="s">
        <v>575</v>
      </c>
      <c r="AB9" t="s">
        <v>576</v>
      </c>
      <c r="AC9" t="s">
        <v>577</v>
      </c>
      <c r="AD9" t="s">
        <v>578</v>
      </c>
      <c r="AE9" t="s">
        <v>579</v>
      </c>
      <c r="AF9" t="s">
        <v>580</v>
      </c>
      <c r="AG9" t="s">
        <v>581</v>
      </c>
      <c r="AH9" t="s">
        <v>582</v>
      </c>
      <c r="AI9" t="s">
        <v>583</v>
      </c>
      <c r="AJ9" t="s">
        <v>584</v>
      </c>
      <c r="AK9" t="s">
        <v>585</v>
      </c>
      <c r="AL9" t="s">
        <v>586</v>
      </c>
      <c r="AM9" t="s">
        <v>587</v>
      </c>
      <c r="AQ9" t="s">
        <v>588</v>
      </c>
      <c r="AR9" t="s">
        <v>304</v>
      </c>
      <c r="AS9" t="s">
        <v>589</v>
      </c>
      <c r="AT9" t="s">
        <v>590</v>
      </c>
      <c r="AU9" t="s">
        <v>591</v>
      </c>
      <c r="AV9" t="s">
        <v>592</v>
      </c>
    </row>
    <row r="10" spans="1:52" ht="14.4" x14ac:dyDescent="0.3">
      <c r="A10" t="s">
        <v>293</v>
      </c>
      <c r="R10" t="s">
        <v>593</v>
      </c>
      <c r="S10" t="s">
        <v>594</v>
      </c>
      <c r="T10" t="s">
        <v>595</v>
      </c>
      <c r="U10" t="s">
        <v>596</v>
      </c>
      <c r="V10" t="s">
        <v>597</v>
      </c>
      <c r="W10" t="s">
        <v>598</v>
      </c>
      <c r="X10" t="s">
        <v>599</v>
      </c>
      <c r="Z10" t="s">
        <v>600</v>
      </c>
      <c r="AA10" t="s">
        <v>601</v>
      </c>
      <c r="AB10" t="s">
        <v>602</v>
      </c>
      <c r="AC10" t="s">
        <v>603</v>
      </c>
      <c r="AD10" t="s">
        <v>604</v>
      </c>
      <c r="AE10" t="s">
        <v>605</v>
      </c>
      <c r="AF10" t="s">
        <v>606</v>
      </c>
      <c r="AG10" t="s">
        <v>607</v>
      </c>
      <c r="AH10" t="s">
        <v>608</v>
      </c>
      <c r="AI10" t="s">
        <v>609</v>
      </c>
      <c r="AJ10" t="s">
        <v>610</v>
      </c>
      <c r="AK10" t="s">
        <v>611</v>
      </c>
      <c r="AL10" t="s">
        <v>612</v>
      </c>
      <c r="AM10" t="s">
        <v>613</v>
      </c>
      <c r="AQ10" t="s">
        <v>614</v>
      </c>
      <c r="AR10" t="s">
        <v>305</v>
      </c>
      <c r="AS10" t="s">
        <v>615</v>
      </c>
      <c r="AT10" t="s">
        <v>616</v>
      </c>
      <c r="AU10" t="s">
        <v>617</v>
      </c>
      <c r="AV10" t="s">
        <v>618</v>
      </c>
    </row>
    <row r="11" spans="1:52" ht="15" customHeight="1" x14ac:dyDescent="0.3">
      <c r="A11" t="s">
        <v>294</v>
      </c>
      <c r="C11" t="s">
        <v>619</v>
      </c>
      <c r="D11">
        <v>0</v>
      </c>
      <c r="E11" t="s">
        <v>221</v>
      </c>
      <c r="R11" t="s">
        <v>620</v>
      </c>
      <c r="T11" t="s">
        <v>621</v>
      </c>
      <c r="U11" t="s">
        <v>622</v>
      </c>
      <c r="V11" t="s">
        <v>623</v>
      </c>
      <c r="W11" t="s">
        <v>624</v>
      </c>
      <c r="X11" t="s">
        <v>625</v>
      </c>
      <c r="Z11" t="s">
        <v>626</v>
      </c>
      <c r="AA11" t="s">
        <v>627</v>
      </c>
      <c r="AB11" t="s">
        <v>628</v>
      </c>
      <c r="AC11" t="s">
        <v>629</v>
      </c>
      <c r="AD11" t="s">
        <v>630</v>
      </c>
      <c r="AE11" t="s">
        <v>631</v>
      </c>
      <c r="AF11" t="s">
        <v>632</v>
      </c>
      <c r="AG11" t="s">
        <v>633</v>
      </c>
      <c r="AH11" t="s">
        <v>634</v>
      </c>
      <c r="AI11" t="s">
        <v>635</v>
      </c>
      <c r="AJ11" t="s">
        <v>636</v>
      </c>
      <c r="AK11" t="s">
        <v>637</v>
      </c>
      <c r="AL11" t="s">
        <v>638</v>
      </c>
      <c r="AM11" t="s">
        <v>639</v>
      </c>
      <c r="AQ11" t="s">
        <v>640</v>
      </c>
      <c r="AR11" t="s">
        <v>306</v>
      </c>
      <c r="AS11" t="s">
        <v>641</v>
      </c>
      <c r="AT11" t="s">
        <v>642</v>
      </c>
      <c r="AU11" t="s">
        <v>643</v>
      </c>
      <c r="AV11" t="s">
        <v>644</v>
      </c>
    </row>
    <row r="12" spans="1:52" ht="16.5" customHeight="1" x14ac:dyDescent="0.3">
      <c r="A12" t="s">
        <v>295</v>
      </c>
      <c r="C12" t="s">
        <v>183</v>
      </c>
      <c r="D12">
        <v>1</v>
      </c>
      <c r="E12" t="s">
        <v>232</v>
      </c>
      <c r="R12" t="s">
        <v>645</v>
      </c>
      <c r="T12" t="s">
        <v>646</v>
      </c>
      <c r="U12" t="s">
        <v>647</v>
      </c>
      <c r="W12" t="s">
        <v>648</v>
      </c>
      <c r="X12" t="s">
        <v>649</v>
      </c>
      <c r="Z12" t="s">
        <v>650</v>
      </c>
      <c r="AA12" t="s">
        <v>651</v>
      </c>
      <c r="AB12" t="s">
        <v>652</v>
      </c>
      <c r="AC12" t="s">
        <v>653</v>
      </c>
      <c r="AD12" t="s">
        <v>654</v>
      </c>
      <c r="AE12" t="s">
        <v>655</v>
      </c>
      <c r="AF12" t="s">
        <v>656</v>
      </c>
      <c r="AG12" t="s">
        <v>657</v>
      </c>
      <c r="AH12" t="s">
        <v>658</v>
      </c>
      <c r="AI12" t="s">
        <v>659</v>
      </c>
      <c r="AJ12" t="s">
        <v>660</v>
      </c>
      <c r="AK12" t="s">
        <v>661</v>
      </c>
      <c r="AL12" t="s">
        <v>662</v>
      </c>
      <c r="AM12" t="s">
        <v>663</v>
      </c>
      <c r="AQ12" t="s">
        <v>664</v>
      </c>
      <c r="AR12" t="s">
        <v>307</v>
      </c>
      <c r="AT12" t="s">
        <v>665</v>
      </c>
      <c r="AU12" t="s">
        <v>666</v>
      </c>
      <c r="AV12" t="s">
        <v>667</v>
      </c>
    </row>
    <row r="13" spans="1:52" ht="14.4" x14ac:dyDescent="0.3">
      <c r="A13" t="s">
        <v>296</v>
      </c>
      <c r="B13" t="s">
        <v>668</v>
      </c>
      <c r="C13" t="s">
        <v>669</v>
      </c>
      <c r="D13">
        <v>2</v>
      </c>
      <c r="E13" t="s">
        <v>227</v>
      </c>
      <c r="N13" t="s">
        <v>6</v>
      </c>
      <c r="O13" t="s">
        <v>6</v>
      </c>
      <c r="P13" t="s">
        <v>670</v>
      </c>
      <c r="R13" t="s">
        <v>671</v>
      </c>
      <c r="T13" t="s">
        <v>672</v>
      </c>
      <c r="U13" t="s">
        <v>673</v>
      </c>
      <c r="W13" t="s">
        <v>674</v>
      </c>
      <c r="X13" t="s">
        <v>675</v>
      </c>
      <c r="Z13" t="s">
        <v>676</v>
      </c>
      <c r="AA13" t="s">
        <v>677</v>
      </c>
      <c r="AB13" t="s">
        <v>678</v>
      </c>
      <c r="AC13" t="s">
        <v>679</v>
      </c>
      <c r="AD13" t="s">
        <v>680</v>
      </c>
      <c r="AE13" t="s">
        <v>681</v>
      </c>
      <c r="AF13" t="s">
        <v>682</v>
      </c>
      <c r="AG13" t="s">
        <v>683</v>
      </c>
      <c r="AH13" t="s">
        <v>684</v>
      </c>
      <c r="AI13" t="s">
        <v>685</v>
      </c>
      <c r="AJ13" t="s">
        <v>686</v>
      </c>
      <c r="AK13" t="s">
        <v>687</v>
      </c>
      <c r="AL13" t="s">
        <v>688</v>
      </c>
      <c r="AM13" t="s">
        <v>689</v>
      </c>
      <c r="AQ13" t="s">
        <v>690</v>
      </c>
      <c r="AR13" t="s">
        <v>308</v>
      </c>
      <c r="AT13" t="s">
        <v>691</v>
      </c>
      <c r="AV13" t="s">
        <v>692</v>
      </c>
    </row>
    <row r="14" spans="1:52" ht="14.4" x14ac:dyDescent="0.3">
      <c r="A14" t="s">
        <v>297</v>
      </c>
      <c r="B14" t="s">
        <v>693</v>
      </c>
      <c r="C14" t="s">
        <v>694</v>
      </c>
      <c r="D14">
        <v>3</v>
      </c>
      <c r="E14" t="s">
        <v>224</v>
      </c>
      <c r="N14" t="s">
        <v>284</v>
      </c>
      <c r="O14" t="s">
        <v>695</v>
      </c>
      <c r="P14" t="s">
        <v>696</v>
      </c>
      <c r="R14" t="s">
        <v>697</v>
      </c>
      <c r="T14" t="s">
        <v>698</v>
      </c>
      <c r="W14" t="s">
        <v>699</v>
      </c>
      <c r="X14" t="s">
        <v>700</v>
      </c>
      <c r="Z14" t="s">
        <v>701</v>
      </c>
      <c r="AA14" t="s">
        <v>702</v>
      </c>
      <c r="AB14" t="s">
        <v>703</v>
      </c>
      <c r="AC14" t="s">
        <v>704</v>
      </c>
      <c r="AD14" t="s">
        <v>705</v>
      </c>
      <c r="AE14" t="s">
        <v>706</v>
      </c>
      <c r="AF14" t="s">
        <v>707</v>
      </c>
      <c r="AG14" t="s">
        <v>708</v>
      </c>
      <c r="AH14" t="s">
        <v>709</v>
      </c>
      <c r="AI14" t="s">
        <v>710</v>
      </c>
      <c r="AJ14" t="s">
        <v>711</v>
      </c>
      <c r="AK14" t="s">
        <v>712</v>
      </c>
      <c r="AL14" t="s">
        <v>713</v>
      </c>
      <c r="AM14" t="s">
        <v>714</v>
      </c>
      <c r="AQ14" t="s">
        <v>715</v>
      </c>
      <c r="AR14" t="s">
        <v>309</v>
      </c>
      <c r="AT14" t="s">
        <v>716</v>
      </c>
      <c r="AV14" t="s">
        <v>717</v>
      </c>
    </row>
    <row r="15" spans="1:52" ht="17.25" customHeight="1" x14ac:dyDescent="0.3">
      <c r="A15" t="s">
        <v>333</v>
      </c>
      <c r="B15" t="s">
        <v>718</v>
      </c>
      <c r="C15" t="s">
        <v>719</v>
      </c>
      <c r="D15">
        <v>4</v>
      </c>
      <c r="E15" t="s">
        <v>720</v>
      </c>
      <c r="N15" t="s">
        <v>721</v>
      </c>
      <c r="O15" t="s">
        <v>722</v>
      </c>
      <c r="P15" t="s">
        <v>723</v>
      </c>
      <c r="T15" t="s">
        <v>724</v>
      </c>
      <c r="W15" t="s">
        <v>725</v>
      </c>
      <c r="X15" t="s">
        <v>726</v>
      </c>
      <c r="AA15" t="s">
        <v>727</v>
      </c>
      <c r="AB15" t="s">
        <v>728</v>
      </c>
      <c r="AC15" t="s">
        <v>729</v>
      </c>
      <c r="AD15" t="s">
        <v>730</v>
      </c>
      <c r="AE15" t="s">
        <v>731</v>
      </c>
      <c r="AF15" t="s">
        <v>732</v>
      </c>
      <c r="AG15" t="s">
        <v>733</v>
      </c>
      <c r="AH15" t="s">
        <v>734</v>
      </c>
      <c r="AI15" t="s">
        <v>735</v>
      </c>
      <c r="AJ15" t="s">
        <v>736</v>
      </c>
      <c r="AK15" t="s">
        <v>737</v>
      </c>
      <c r="AL15" t="s">
        <v>738</v>
      </c>
      <c r="AM15" t="s">
        <v>739</v>
      </c>
      <c r="AQ15" t="s">
        <v>740</v>
      </c>
      <c r="AR15" t="s">
        <v>310</v>
      </c>
      <c r="AT15" t="s">
        <v>741</v>
      </c>
      <c r="AV15" t="s">
        <v>742</v>
      </c>
    </row>
    <row r="16" spans="1:52" ht="14.4" x14ac:dyDescent="0.3">
      <c r="A16" t="s">
        <v>743</v>
      </c>
      <c r="B16" t="s">
        <v>744</v>
      </c>
      <c r="C16" t="s">
        <v>745</v>
      </c>
      <c r="D16">
        <v>5</v>
      </c>
      <c r="N16" t="s">
        <v>746</v>
      </c>
      <c r="O16" t="s">
        <v>721</v>
      </c>
      <c r="P16" t="s">
        <v>747</v>
      </c>
      <c r="T16" t="s">
        <v>748</v>
      </c>
      <c r="W16" t="s">
        <v>749</v>
      </c>
      <c r="X16" t="s">
        <v>750</v>
      </c>
      <c r="AC16" t="s">
        <v>751</v>
      </c>
      <c r="AE16" t="s">
        <v>752</v>
      </c>
      <c r="AG16" t="s">
        <v>753</v>
      </c>
      <c r="AH16" t="s">
        <v>754</v>
      </c>
      <c r="AI16" t="s">
        <v>755</v>
      </c>
      <c r="AJ16" t="s">
        <v>756</v>
      </c>
      <c r="AK16" t="s">
        <v>757</v>
      </c>
      <c r="AL16" t="s">
        <v>758</v>
      </c>
      <c r="AQ16" t="s">
        <v>759</v>
      </c>
      <c r="AR16" t="s">
        <v>311</v>
      </c>
      <c r="AT16" t="s">
        <v>760</v>
      </c>
      <c r="AV16" t="s">
        <v>761</v>
      </c>
    </row>
    <row r="17" spans="2:48" ht="14.4" x14ac:dyDescent="0.3">
      <c r="B17" t="s">
        <v>762</v>
      </c>
      <c r="C17" t="s">
        <v>104</v>
      </c>
      <c r="D17">
        <v>6</v>
      </c>
      <c r="N17" t="s">
        <v>763</v>
      </c>
      <c r="O17" t="s">
        <v>764</v>
      </c>
      <c r="T17" t="s">
        <v>765</v>
      </c>
      <c r="X17" t="s">
        <v>766</v>
      </c>
      <c r="AC17" t="s">
        <v>767</v>
      </c>
      <c r="AE17" t="s">
        <v>768</v>
      </c>
      <c r="AG17" t="s">
        <v>769</v>
      </c>
      <c r="AH17" t="s">
        <v>770</v>
      </c>
      <c r="AI17" t="s">
        <v>771</v>
      </c>
      <c r="AJ17" t="s">
        <v>772</v>
      </c>
      <c r="AK17" t="s">
        <v>773</v>
      </c>
      <c r="AL17" t="s">
        <v>774</v>
      </c>
      <c r="AQ17" t="s">
        <v>775</v>
      </c>
      <c r="AR17" t="s">
        <v>312</v>
      </c>
      <c r="AT17" t="s">
        <v>776</v>
      </c>
      <c r="AV17" t="s">
        <v>777</v>
      </c>
    </row>
    <row r="18" spans="2:48" ht="14.25" customHeight="1" x14ac:dyDescent="0.3">
      <c r="B18" t="s">
        <v>778</v>
      </c>
      <c r="C18" t="s">
        <v>101</v>
      </c>
      <c r="D18">
        <v>7</v>
      </c>
      <c r="N18" t="s">
        <v>779</v>
      </c>
      <c r="O18" t="s">
        <v>746</v>
      </c>
      <c r="P18" t="s">
        <v>780</v>
      </c>
      <c r="X18" t="s">
        <v>781</v>
      </c>
      <c r="AC18" t="s">
        <v>782</v>
      </c>
      <c r="AE18" t="s">
        <v>783</v>
      </c>
      <c r="AG18" t="s">
        <v>784</v>
      </c>
      <c r="AI18" t="s">
        <v>785</v>
      </c>
      <c r="AJ18" t="s">
        <v>786</v>
      </c>
      <c r="AK18" t="s">
        <v>787</v>
      </c>
      <c r="AL18" t="s">
        <v>788</v>
      </c>
      <c r="AQ18" t="s">
        <v>789</v>
      </c>
      <c r="AR18" t="s">
        <v>313</v>
      </c>
      <c r="AT18" t="s">
        <v>790</v>
      </c>
      <c r="AV18" t="s">
        <v>791</v>
      </c>
    </row>
    <row r="19" spans="2:48" ht="14.4" x14ac:dyDescent="0.3">
      <c r="B19" t="s">
        <v>792</v>
      </c>
      <c r="C19" t="s">
        <v>106</v>
      </c>
      <c r="D19">
        <v>8</v>
      </c>
      <c r="N19" t="s">
        <v>793</v>
      </c>
      <c r="O19" t="s">
        <v>4</v>
      </c>
      <c r="P19" t="s">
        <v>794</v>
      </c>
      <c r="AC19" t="s">
        <v>795</v>
      </c>
      <c r="AE19" t="s">
        <v>796</v>
      </c>
      <c r="AG19" t="s">
        <v>797</v>
      </c>
      <c r="AI19" t="s">
        <v>798</v>
      </c>
      <c r="AJ19" t="s">
        <v>799</v>
      </c>
      <c r="AK19" t="s">
        <v>800</v>
      </c>
      <c r="AL19" t="s">
        <v>801</v>
      </c>
      <c r="AQ19" t="s">
        <v>802</v>
      </c>
      <c r="AR19" t="s">
        <v>314</v>
      </c>
      <c r="AT19" t="s">
        <v>803</v>
      </c>
      <c r="AV19" t="s">
        <v>804</v>
      </c>
    </row>
    <row r="20" spans="2:48" ht="15.75" customHeight="1" x14ac:dyDescent="0.3">
      <c r="B20" t="s">
        <v>805</v>
      </c>
      <c r="C20" t="s">
        <v>806</v>
      </c>
      <c r="D20">
        <v>9</v>
      </c>
      <c r="N20" t="s">
        <v>8</v>
      </c>
      <c r="O20" t="s">
        <v>779</v>
      </c>
      <c r="P20" t="s">
        <v>807</v>
      </c>
      <c r="AE20" t="s">
        <v>808</v>
      </c>
      <c r="AG20" t="s">
        <v>809</v>
      </c>
      <c r="AI20" t="s">
        <v>810</v>
      </c>
      <c r="AJ20" t="s">
        <v>811</v>
      </c>
      <c r="AK20" t="s">
        <v>812</v>
      </c>
      <c r="AL20" t="s">
        <v>813</v>
      </c>
      <c r="AQ20" t="s">
        <v>814</v>
      </c>
      <c r="AR20" t="s">
        <v>315</v>
      </c>
      <c r="AT20" t="s">
        <v>815</v>
      </c>
      <c r="AV20" t="s">
        <v>816</v>
      </c>
    </row>
    <row r="21" spans="2:48" ht="16.5" customHeight="1" x14ac:dyDescent="0.3">
      <c r="B21" t="s">
        <v>817</v>
      </c>
      <c r="C21" t="s">
        <v>818</v>
      </c>
      <c r="D21">
        <v>10</v>
      </c>
      <c r="N21" t="s">
        <v>819</v>
      </c>
      <c r="O21" s="41" t="s">
        <v>820</v>
      </c>
      <c r="P21" s="41" t="s">
        <v>821</v>
      </c>
      <c r="AE21" t="s">
        <v>822</v>
      </c>
      <c r="AG21" t="s">
        <v>823</v>
      </c>
      <c r="AI21" t="s">
        <v>824</v>
      </c>
      <c r="AJ21" t="s">
        <v>825</v>
      </c>
      <c r="AK21" t="s">
        <v>826</v>
      </c>
      <c r="AL21" t="s">
        <v>827</v>
      </c>
      <c r="AQ21" t="s">
        <v>828</v>
      </c>
      <c r="AR21" t="s">
        <v>316</v>
      </c>
      <c r="AT21" t="s">
        <v>829</v>
      </c>
    </row>
    <row r="22" spans="2:48" ht="15.75" customHeight="1" x14ac:dyDescent="0.3">
      <c r="B22" t="s">
        <v>830</v>
      </c>
      <c r="C22" t="s">
        <v>831</v>
      </c>
      <c r="D22">
        <v>11</v>
      </c>
      <c r="O22" s="40" t="s">
        <v>832</v>
      </c>
      <c r="P22" s="41" t="s">
        <v>833</v>
      </c>
      <c r="AE22" t="s">
        <v>834</v>
      </c>
      <c r="AG22" t="s">
        <v>835</v>
      </c>
      <c r="AI22" t="s">
        <v>836</v>
      </c>
      <c r="AJ22" t="s">
        <v>837</v>
      </c>
      <c r="AK22" t="s">
        <v>838</v>
      </c>
      <c r="AL22" t="s">
        <v>839</v>
      </c>
      <c r="AQ22" t="s">
        <v>840</v>
      </c>
      <c r="AR22" t="s">
        <v>317</v>
      </c>
      <c r="AT22" t="s">
        <v>841</v>
      </c>
    </row>
    <row r="23" spans="2:48" ht="14.25" customHeight="1" x14ac:dyDescent="0.3">
      <c r="B23" t="s">
        <v>842</v>
      </c>
      <c r="C23" t="s">
        <v>843</v>
      </c>
      <c r="D23">
        <v>12</v>
      </c>
      <c r="O23" s="42" t="s">
        <v>3</v>
      </c>
      <c r="P23" s="41" t="s">
        <v>844</v>
      </c>
      <c r="AE23" t="s">
        <v>845</v>
      </c>
      <c r="AG23" t="s">
        <v>846</v>
      </c>
      <c r="AI23" t="s">
        <v>847</v>
      </c>
      <c r="AJ23" t="s">
        <v>848</v>
      </c>
      <c r="AK23" t="s">
        <v>849</v>
      </c>
      <c r="AQ23" t="s">
        <v>850</v>
      </c>
      <c r="AR23" t="s">
        <v>318</v>
      </c>
      <c r="AT23" t="s">
        <v>851</v>
      </c>
    </row>
    <row r="24" spans="2:48" ht="15.75" customHeight="1" x14ac:dyDescent="0.3">
      <c r="B24" t="s">
        <v>852</v>
      </c>
      <c r="C24" t="s">
        <v>1068</v>
      </c>
      <c r="D24">
        <v>13</v>
      </c>
      <c r="O24" s="41" t="s">
        <v>283</v>
      </c>
      <c r="P24" s="41" t="s">
        <v>854</v>
      </c>
      <c r="AE24" t="s">
        <v>855</v>
      </c>
      <c r="AG24" t="s">
        <v>856</v>
      </c>
      <c r="AI24" t="s">
        <v>857</v>
      </c>
      <c r="AJ24" t="s">
        <v>858</v>
      </c>
      <c r="AK24" t="s">
        <v>859</v>
      </c>
      <c r="AQ24" t="s">
        <v>860</v>
      </c>
      <c r="AR24" t="s">
        <v>319</v>
      </c>
      <c r="AT24" t="s">
        <v>861</v>
      </c>
    </row>
    <row r="25" spans="2:48" ht="12.75" customHeight="1" x14ac:dyDescent="0.3">
      <c r="B25" t="s">
        <v>862</v>
      </c>
      <c r="C25" t="s">
        <v>863</v>
      </c>
      <c r="D25">
        <v>14</v>
      </c>
      <c r="O25" s="41" t="s">
        <v>864</v>
      </c>
      <c r="P25" s="41" t="s">
        <v>865</v>
      </c>
      <c r="AE25" t="s">
        <v>866</v>
      </c>
      <c r="AG25" t="s">
        <v>867</v>
      </c>
      <c r="AI25" t="s">
        <v>868</v>
      </c>
      <c r="AJ25" t="s">
        <v>869</v>
      </c>
      <c r="AK25" t="s">
        <v>870</v>
      </c>
      <c r="AQ25" t="s">
        <v>871</v>
      </c>
      <c r="AR25" t="s">
        <v>320</v>
      </c>
      <c r="AT25" t="s">
        <v>872</v>
      </c>
    </row>
    <row r="26" spans="2:48" ht="15.75" customHeight="1" x14ac:dyDescent="0.3">
      <c r="B26" t="s">
        <v>873</v>
      </c>
      <c r="C26" t="s">
        <v>85</v>
      </c>
      <c r="D26">
        <v>15</v>
      </c>
      <c r="O26" s="41" t="s">
        <v>874</v>
      </c>
      <c r="P26" s="41" t="s">
        <v>875</v>
      </c>
      <c r="AE26" t="s">
        <v>876</v>
      </c>
      <c r="AG26" t="s">
        <v>877</v>
      </c>
      <c r="AI26" t="s">
        <v>878</v>
      </c>
      <c r="AJ26" t="s">
        <v>879</v>
      </c>
      <c r="AK26" t="s">
        <v>880</v>
      </c>
      <c r="AQ26" t="s">
        <v>881</v>
      </c>
      <c r="AR26" t="s">
        <v>321</v>
      </c>
      <c r="AT26" t="s">
        <v>882</v>
      </c>
    </row>
    <row r="27" spans="2:48" ht="12.75" customHeight="1" x14ac:dyDescent="0.3">
      <c r="B27" t="s">
        <v>883</v>
      </c>
      <c r="C27" t="s">
        <v>95</v>
      </c>
      <c r="D27">
        <v>16</v>
      </c>
      <c r="O27" s="42" t="s">
        <v>884</v>
      </c>
      <c r="P27" s="41" t="s">
        <v>885</v>
      </c>
      <c r="AE27" t="s">
        <v>886</v>
      </c>
      <c r="AG27" t="s">
        <v>887</v>
      </c>
      <c r="AJ27" t="s">
        <v>888</v>
      </c>
      <c r="AK27" t="s">
        <v>889</v>
      </c>
      <c r="AQ27" t="s">
        <v>890</v>
      </c>
      <c r="AR27" t="s">
        <v>322</v>
      </c>
      <c r="AT27" t="s">
        <v>891</v>
      </c>
    </row>
    <row r="28" spans="2:48" ht="15.75" customHeight="1" x14ac:dyDescent="0.3">
      <c r="B28" t="s">
        <v>892</v>
      </c>
      <c r="C28" t="s">
        <v>195</v>
      </c>
      <c r="D28">
        <v>17</v>
      </c>
      <c r="O28" s="41" t="s">
        <v>893</v>
      </c>
      <c r="P28" s="41" t="s">
        <v>894</v>
      </c>
      <c r="AE28" t="s">
        <v>895</v>
      </c>
      <c r="AG28" t="s">
        <v>896</v>
      </c>
      <c r="AJ28" t="s">
        <v>897</v>
      </c>
      <c r="AK28" t="s">
        <v>898</v>
      </c>
      <c r="AQ28" t="s">
        <v>899</v>
      </c>
      <c r="AR28" t="s">
        <v>323</v>
      </c>
      <c r="AT28" t="s">
        <v>900</v>
      </c>
    </row>
    <row r="29" spans="2:48" ht="16.5" customHeight="1" x14ac:dyDescent="0.3">
      <c r="C29" t="s">
        <v>223</v>
      </c>
      <c r="D29">
        <v>18</v>
      </c>
      <c r="O29" s="42" t="s">
        <v>901</v>
      </c>
      <c r="P29" s="41" t="s">
        <v>902</v>
      </c>
      <c r="AE29" t="s">
        <v>903</v>
      </c>
      <c r="AG29" t="s">
        <v>904</v>
      </c>
      <c r="AJ29" t="s">
        <v>905</v>
      </c>
      <c r="AK29" t="s">
        <v>906</v>
      </c>
      <c r="AQ29" t="s">
        <v>22</v>
      </c>
      <c r="AR29" t="s">
        <v>907</v>
      </c>
      <c r="AT29" t="s">
        <v>908</v>
      </c>
    </row>
    <row r="30" spans="2:48" ht="15" customHeight="1" x14ac:dyDescent="0.3">
      <c r="C30" t="s">
        <v>225</v>
      </c>
      <c r="D30">
        <v>19</v>
      </c>
      <c r="O30" s="40" t="s">
        <v>909</v>
      </c>
      <c r="P30" s="41" t="s">
        <v>910</v>
      </c>
      <c r="AE30" t="s">
        <v>911</v>
      </c>
      <c r="AG30" t="s">
        <v>912</v>
      </c>
      <c r="AJ30" t="s">
        <v>913</v>
      </c>
      <c r="AK30" t="s">
        <v>914</v>
      </c>
      <c r="AT30" t="s">
        <v>915</v>
      </c>
    </row>
    <row r="31" spans="2:48" ht="18" customHeight="1" x14ac:dyDescent="0.3">
      <c r="C31" t="s">
        <v>226</v>
      </c>
      <c r="D31">
        <v>20</v>
      </c>
      <c r="O31" s="42" t="s">
        <v>916</v>
      </c>
      <c r="P31" s="41" t="s">
        <v>917</v>
      </c>
      <c r="AE31" t="s">
        <v>918</v>
      </c>
      <c r="AG31" t="s">
        <v>919</v>
      </c>
      <c r="AJ31" t="s">
        <v>920</v>
      </c>
      <c r="AK31" t="s">
        <v>921</v>
      </c>
      <c r="AT31" t="s">
        <v>922</v>
      </c>
    </row>
    <row r="32" spans="2:48" ht="15.75" customHeight="1" x14ac:dyDescent="0.3">
      <c r="C32" t="s">
        <v>923</v>
      </c>
      <c r="O32" s="40" t="s">
        <v>924</v>
      </c>
      <c r="P32" s="41" t="s">
        <v>925</v>
      </c>
      <c r="AE32" t="s">
        <v>926</v>
      </c>
      <c r="AG32" t="s">
        <v>927</v>
      </c>
      <c r="AJ32" t="s">
        <v>928</v>
      </c>
      <c r="AK32" t="s">
        <v>929</v>
      </c>
      <c r="AT32" t="s">
        <v>930</v>
      </c>
    </row>
    <row r="33" spans="3:46" ht="18" customHeight="1" x14ac:dyDescent="0.3">
      <c r="C33" t="s">
        <v>261</v>
      </c>
      <c r="O33" s="40" t="s">
        <v>931</v>
      </c>
      <c r="P33" s="41" t="s">
        <v>917</v>
      </c>
      <c r="AE33" t="s">
        <v>932</v>
      </c>
      <c r="AG33" t="s">
        <v>933</v>
      </c>
      <c r="AJ33" t="s">
        <v>934</v>
      </c>
      <c r="AT33" t="s">
        <v>935</v>
      </c>
    </row>
    <row r="34" spans="3:46" ht="15.75" customHeight="1" x14ac:dyDescent="0.3">
      <c r="O34" s="40" t="s">
        <v>936</v>
      </c>
      <c r="P34" s="41" t="s">
        <v>937</v>
      </c>
      <c r="AG34" t="s">
        <v>938</v>
      </c>
      <c r="AJ34" t="s">
        <v>939</v>
      </c>
      <c r="AT34" t="s">
        <v>940</v>
      </c>
    </row>
    <row r="35" spans="3:46" ht="15.75" customHeight="1" x14ac:dyDescent="0.3">
      <c r="O35" s="40" t="s">
        <v>941</v>
      </c>
      <c r="P35" s="41" t="s">
        <v>942</v>
      </c>
      <c r="AG35" t="s">
        <v>943</v>
      </c>
      <c r="AJ35" t="s">
        <v>944</v>
      </c>
      <c r="AT35" t="s">
        <v>945</v>
      </c>
    </row>
    <row r="36" spans="3:46" ht="15.75" customHeight="1" x14ac:dyDescent="0.3">
      <c r="O36" s="41" t="s">
        <v>946</v>
      </c>
      <c r="P36" s="41" t="s">
        <v>947</v>
      </c>
      <c r="AG36" t="s">
        <v>948</v>
      </c>
      <c r="AJ36" t="s">
        <v>949</v>
      </c>
      <c r="AT36" t="s">
        <v>950</v>
      </c>
    </row>
    <row r="37" spans="3:46" ht="16.5" customHeight="1" x14ac:dyDescent="0.3">
      <c r="O37" s="41" t="s">
        <v>951</v>
      </c>
      <c r="P37" s="41" t="s">
        <v>952</v>
      </c>
      <c r="AG37" t="s">
        <v>953</v>
      </c>
      <c r="AJ37" t="s">
        <v>954</v>
      </c>
      <c r="AT37" t="s">
        <v>955</v>
      </c>
    </row>
    <row r="38" spans="3:46" ht="15.75" customHeight="1" x14ac:dyDescent="0.3">
      <c r="AG38" t="s">
        <v>956</v>
      </c>
      <c r="AJ38" t="s">
        <v>957</v>
      </c>
      <c r="AT38" t="s">
        <v>958</v>
      </c>
    </row>
    <row r="39" spans="3:46" ht="15.75" customHeight="1" x14ac:dyDescent="0.3">
      <c r="AG39" t="s">
        <v>959</v>
      </c>
      <c r="AJ39" t="s">
        <v>960</v>
      </c>
      <c r="AT39" t="s">
        <v>961</v>
      </c>
    </row>
    <row r="40" spans="3:46" ht="15.75" customHeight="1" x14ac:dyDescent="0.3">
      <c r="AG40" t="s">
        <v>962</v>
      </c>
      <c r="AJ40" t="s">
        <v>963</v>
      </c>
    </row>
    <row r="41" spans="3:46" ht="15.75" customHeight="1" x14ac:dyDescent="0.3">
      <c r="O41" t="s">
        <v>964</v>
      </c>
      <c r="P41" t="s">
        <v>794</v>
      </c>
      <c r="AG41" t="s">
        <v>965</v>
      </c>
      <c r="AJ41" t="s">
        <v>966</v>
      </c>
    </row>
    <row r="42" spans="3:46" ht="15.75" customHeight="1" x14ac:dyDescent="0.3">
      <c r="O42" t="s">
        <v>967</v>
      </c>
      <c r="P42" t="s">
        <v>947</v>
      </c>
      <c r="AG42" t="s">
        <v>968</v>
      </c>
      <c r="AJ42" t="s">
        <v>969</v>
      </c>
    </row>
    <row r="43" spans="3:46" ht="15.75" customHeight="1" x14ac:dyDescent="0.3">
      <c r="O43" t="s">
        <v>970</v>
      </c>
      <c r="P43" t="s">
        <v>696</v>
      </c>
      <c r="AG43" t="s">
        <v>971</v>
      </c>
      <c r="AJ43" t="s">
        <v>972</v>
      </c>
    </row>
    <row r="44" spans="3:46" ht="15.75" customHeight="1" x14ac:dyDescent="0.3">
      <c r="C44" t="s">
        <v>35</v>
      </c>
      <c r="O44" t="s">
        <v>973</v>
      </c>
      <c r="P44" t="s">
        <v>952</v>
      </c>
      <c r="AG44" t="s">
        <v>974</v>
      </c>
      <c r="AJ44" t="s">
        <v>975</v>
      </c>
    </row>
    <row r="45" spans="3:46" ht="15.75" customHeight="1" x14ac:dyDescent="0.3">
      <c r="C45" t="s">
        <v>36</v>
      </c>
      <c r="O45" t="s">
        <v>779</v>
      </c>
      <c r="P45" t="s">
        <v>807</v>
      </c>
      <c r="AG45" t="s">
        <v>976</v>
      </c>
      <c r="AJ45" t="s">
        <v>977</v>
      </c>
    </row>
    <row r="46" spans="3:46" ht="15.75" customHeight="1" x14ac:dyDescent="0.3">
      <c r="C46" t="s">
        <v>103</v>
      </c>
      <c r="O46" s="41" t="s">
        <v>978</v>
      </c>
      <c r="P46" s="41" t="s">
        <v>844</v>
      </c>
      <c r="AG46" t="s">
        <v>979</v>
      </c>
      <c r="AJ46" t="s">
        <v>980</v>
      </c>
    </row>
    <row r="47" spans="3:46" ht="15.75" customHeight="1" x14ac:dyDescent="0.3">
      <c r="C47" t="s">
        <v>64</v>
      </c>
      <c r="O47" s="41" t="s">
        <v>981</v>
      </c>
      <c r="P47" s="41" t="s">
        <v>894</v>
      </c>
      <c r="AG47" t="s">
        <v>982</v>
      </c>
      <c r="AJ47" t="s">
        <v>983</v>
      </c>
    </row>
    <row r="48" spans="3:46" ht="15.75" customHeight="1" x14ac:dyDescent="0.3">
      <c r="C48" t="s">
        <v>984</v>
      </c>
      <c r="O48" s="41" t="s">
        <v>985</v>
      </c>
      <c r="P48" s="41" t="s">
        <v>865</v>
      </c>
      <c r="AG48" t="s">
        <v>986</v>
      </c>
      <c r="AJ48" t="s">
        <v>987</v>
      </c>
    </row>
    <row r="49" spans="3:36" ht="15.75" customHeight="1" x14ac:dyDescent="0.3">
      <c r="C49" t="s">
        <v>84</v>
      </c>
      <c r="O49" s="41" t="s">
        <v>988</v>
      </c>
      <c r="P49" s="41" t="s">
        <v>875</v>
      </c>
      <c r="AG49" t="s">
        <v>989</v>
      </c>
      <c r="AJ49" t="s">
        <v>990</v>
      </c>
    </row>
    <row r="50" spans="3:36" ht="15.75" customHeight="1" x14ac:dyDescent="0.3">
      <c r="C50" t="s">
        <v>105</v>
      </c>
      <c r="O50" s="41" t="s">
        <v>991</v>
      </c>
      <c r="P50" s="41" t="s">
        <v>821</v>
      </c>
      <c r="AG50" t="s">
        <v>992</v>
      </c>
      <c r="AJ50" t="s">
        <v>993</v>
      </c>
    </row>
    <row r="51" spans="3:36" ht="15.75" customHeight="1" x14ac:dyDescent="0.3">
      <c r="C51" t="s">
        <v>79</v>
      </c>
      <c r="AJ51" t="s">
        <v>994</v>
      </c>
    </row>
    <row r="52" spans="3:36" ht="15.75" customHeight="1" x14ac:dyDescent="0.3">
      <c r="C52" t="s">
        <v>204</v>
      </c>
      <c r="AJ52" t="s">
        <v>995</v>
      </c>
    </row>
    <row r="53" spans="3:36" ht="15.75" customHeight="1" x14ac:dyDescent="0.3">
      <c r="C53" t="s">
        <v>182</v>
      </c>
      <c r="AJ53" t="s">
        <v>996</v>
      </c>
    </row>
    <row r="54" spans="3:36" ht="15.75" customHeight="1" x14ac:dyDescent="0.3">
      <c r="C54" t="s">
        <v>274</v>
      </c>
      <c r="O54" t="s">
        <v>3</v>
      </c>
      <c r="P54" t="s">
        <v>844</v>
      </c>
      <c r="AJ54" t="s">
        <v>997</v>
      </c>
    </row>
    <row r="55" spans="3:36" ht="15.75" customHeight="1" x14ac:dyDescent="0.3">
      <c r="O55" t="s">
        <v>884</v>
      </c>
      <c r="P55" t="s">
        <v>885</v>
      </c>
      <c r="AJ55" t="s">
        <v>998</v>
      </c>
    </row>
    <row r="56" spans="3:36" ht="15.75" customHeight="1" x14ac:dyDescent="0.3">
      <c r="O56" t="s">
        <v>931</v>
      </c>
      <c r="P56" t="s">
        <v>917</v>
      </c>
      <c r="AJ56" t="s">
        <v>999</v>
      </c>
    </row>
    <row r="57" spans="3:36" ht="15.75" customHeight="1" x14ac:dyDescent="0.3">
      <c r="O57" t="s">
        <v>936</v>
      </c>
      <c r="P57" t="s">
        <v>937</v>
      </c>
      <c r="AJ57" t="s">
        <v>1000</v>
      </c>
    </row>
    <row r="58" spans="3:36" ht="15.75" customHeight="1" x14ac:dyDescent="0.3">
      <c r="AJ58" t="s">
        <v>1001</v>
      </c>
    </row>
    <row r="59" spans="3:36" ht="15.75" customHeight="1" x14ac:dyDescent="0.3">
      <c r="AJ59" t="s">
        <v>1002</v>
      </c>
    </row>
    <row r="60" spans="3:36" ht="15.75" customHeight="1" x14ac:dyDescent="0.3">
      <c r="O60" t="s">
        <v>832</v>
      </c>
      <c r="P60" t="s">
        <v>833</v>
      </c>
      <c r="AJ60" t="s">
        <v>1003</v>
      </c>
    </row>
    <row r="61" spans="3:36" ht="15.75" customHeight="1" x14ac:dyDescent="0.3">
      <c r="O61" t="s">
        <v>901</v>
      </c>
      <c r="P61" t="s">
        <v>902</v>
      </c>
    </row>
    <row r="62" spans="3:36" ht="15.75" customHeight="1" x14ac:dyDescent="0.3">
      <c r="O62" t="s">
        <v>909</v>
      </c>
      <c r="P62" t="s">
        <v>910</v>
      </c>
    </row>
    <row r="63" spans="3:36" ht="15.75" customHeight="1" x14ac:dyDescent="0.3">
      <c r="O63" t="s">
        <v>916</v>
      </c>
      <c r="P63" t="s">
        <v>917</v>
      </c>
    </row>
    <row r="64" spans="3:36" ht="15.75" customHeight="1" x14ac:dyDescent="0.3">
      <c r="O64" t="s">
        <v>924</v>
      </c>
      <c r="P64" t="s">
        <v>925</v>
      </c>
    </row>
    <row r="65" spans="15:16" ht="15.75" customHeight="1" x14ac:dyDescent="0.3">
      <c r="O65" t="s">
        <v>941</v>
      </c>
      <c r="P65" t="s">
        <v>942</v>
      </c>
    </row>
    <row r="66" spans="15:16" ht="15.75" customHeight="1" x14ac:dyDescent="0.3"/>
    <row r="67" spans="15:16" ht="15.75" customHeight="1" x14ac:dyDescent="0.3"/>
    <row r="68" spans="15:16" ht="15.75" customHeight="1" x14ac:dyDescent="0.3"/>
    <row r="69" spans="15:16" ht="15.75" customHeight="1" x14ac:dyDescent="0.3"/>
    <row r="70" spans="15:16" ht="15.75" customHeight="1" x14ac:dyDescent="0.3"/>
    <row r="71" spans="15:16" ht="15.75" customHeight="1" x14ac:dyDescent="0.3"/>
    <row r="72" spans="15:16" ht="15.75" customHeight="1" x14ac:dyDescent="0.3"/>
    <row r="73" spans="15:16" ht="15.75" customHeight="1" x14ac:dyDescent="0.3"/>
    <row r="74" spans="15:16" ht="15.75" customHeight="1" x14ac:dyDescent="0.3"/>
    <row r="75" spans="15:16" ht="15.75" customHeight="1" x14ac:dyDescent="0.3"/>
    <row r="76" spans="15:16" ht="15.75" customHeight="1" x14ac:dyDescent="0.3"/>
    <row r="77" spans="15:16" ht="15.75" customHeight="1" x14ac:dyDescent="0.3"/>
    <row r="78" spans="15:16" ht="15.75" customHeight="1" x14ac:dyDescent="0.3"/>
    <row r="79" spans="15:16" ht="15.75" customHeight="1" x14ac:dyDescent="0.3"/>
    <row r="80" spans="15:16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 r:id="rId1"/>
  <tableParts count="2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99D1-B89F-47CF-979E-B96180AA65BB}">
  <sheetPr filterMode="1"/>
  <dimension ref="A1:AC58"/>
  <sheetViews>
    <sheetView showGridLines="0" view="pageBreakPreview" topLeftCell="A3" zoomScale="124" zoomScaleNormal="100" zoomScaleSheetLayoutView="100" workbookViewId="0">
      <pane xSplit="9" ySplit="7" topLeftCell="J53" activePane="bottomRight" state="frozen"/>
      <selection pane="topRight" activeCell="J3" sqref="J3"/>
      <selection pane="bottomLeft" activeCell="A10" sqref="A10"/>
      <selection pane="bottomRight" activeCell="J58" sqref="J58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5" width="4.5546875" style="1" customWidth="1"/>
    <col min="16" max="16" width="4.5546875" style="2" customWidth="1"/>
    <col min="17" max="17" width="5.5546875" style="2" customWidth="1"/>
    <col min="18" max="19" width="6.5546875" style="2" customWidth="1"/>
    <col min="20" max="20" width="7.5546875" style="2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49"/>
    </row>
    <row r="2" spans="1:29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924</v>
      </c>
      <c r="J4" s="142"/>
      <c r="K4" s="142"/>
      <c r="L4" s="39"/>
      <c r="M4" s="39"/>
      <c r="N4" s="39"/>
      <c r="O4" s="39"/>
      <c r="P4" s="134" t="s">
        <v>5</v>
      </c>
      <c r="Q4" s="134"/>
      <c r="R4" s="135" t="s">
        <v>284</v>
      </c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46"/>
    </row>
    <row r="5" spans="1:29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39"/>
      <c r="N5" s="39"/>
      <c r="O5" s="39"/>
      <c r="P5" s="134" t="s">
        <v>7</v>
      </c>
      <c r="Q5" s="134"/>
      <c r="R5" s="135" t="s">
        <v>8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46"/>
    </row>
    <row r="7" spans="1:29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29"/>
      <c r="O7" s="129"/>
      <c r="P7" s="129"/>
      <c r="Q7" s="130" t="s">
        <v>14</v>
      </c>
      <c r="R7" s="130"/>
      <c r="S7" s="130"/>
      <c r="T7" s="130"/>
      <c r="U7" s="114" t="s">
        <v>15</v>
      </c>
      <c r="V7" s="115"/>
      <c r="W7" s="115"/>
      <c r="X7" s="115"/>
      <c r="Y7" s="115"/>
      <c r="Z7" s="115"/>
      <c r="AA7" s="116"/>
      <c r="AB7" s="117" t="s">
        <v>16</v>
      </c>
      <c r="AC7" s="143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18"/>
      <c r="AC8" s="143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53"/>
    </row>
    <row r="10" spans="1:29" ht="27.6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>
        <v>157</v>
      </c>
      <c r="K10" s="9">
        <v>135</v>
      </c>
      <c r="L10" s="10">
        <f t="shared" ref="L10:L30" si="0">+J10-K10</f>
        <v>22</v>
      </c>
      <c r="M10" s="10"/>
      <c r="N10" s="10"/>
      <c r="O10" s="10"/>
      <c r="P10" s="38">
        <f t="shared" ref="P10:P30" si="1">IFERROR(IF(7&lt;&gt;0, K10*100/J10, IF(J10=K10, K10*100/J10, 0)), 0)</f>
        <v>85.98726114649682</v>
      </c>
      <c r="Q10" s="45">
        <v>21</v>
      </c>
      <c r="R10" s="11">
        <v>22</v>
      </c>
      <c r="S10" s="12">
        <f t="shared" ref="S10:S30" si="2">+Q10-R10</f>
        <v>-1</v>
      </c>
      <c r="T10" s="28">
        <f t="shared" ref="T10:T30" si="3">IFERROR(IF(S10&lt;&gt;0, Q10*100/R10, IF(Q10=R10, Q10*100/R10, 0)), 0)</f>
        <v>95.454545454545453</v>
      </c>
      <c r="U10" s="9">
        <v>9</v>
      </c>
      <c r="V10" s="9"/>
      <c r="W10" s="9"/>
      <c r="X10" s="9"/>
      <c r="Y10" s="9">
        <v>10</v>
      </c>
      <c r="Z10" s="10">
        <f>+U10+Y10</f>
        <v>19</v>
      </c>
      <c r="AA10" s="30">
        <f>+Z10*100/20</f>
        <v>95</v>
      </c>
      <c r="AB10" s="32">
        <f>+(P10+AA10)/2</f>
        <v>90.49363057324841</v>
      </c>
      <c r="AC10" s="54"/>
    </row>
    <row r="11" spans="1:29" ht="27.6" hidden="1" x14ac:dyDescent="0.3">
      <c r="A11" s="24" t="s">
        <v>35</v>
      </c>
      <c r="B11" s="24" t="s">
        <v>36</v>
      </c>
      <c r="C11" s="24" t="s">
        <v>694</v>
      </c>
      <c r="D11" s="23"/>
      <c r="E11" s="20"/>
      <c r="F11" s="21"/>
      <c r="G11" s="22"/>
      <c r="H11" s="22"/>
      <c r="I11" s="3" t="s">
        <v>49</v>
      </c>
      <c r="J11" s="9"/>
      <c r="K11" s="9"/>
      <c r="L11" s="10">
        <f t="shared" si="0"/>
        <v>0</v>
      </c>
      <c r="M11" s="10"/>
      <c r="N11" s="10"/>
      <c r="O11" s="10"/>
      <c r="P11" s="38">
        <f t="shared" si="1"/>
        <v>0</v>
      </c>
      <c r="Q11" s="11"/>
      <c r="R11" s="11"/>
      <c r="S11" s="12">
        <f t="shared" si="2"/>
        <v>0</v>
      </c>
      <c r="T11" s="28">
        <f t="shared" si="3"/>
        <v>0</v>
      </c>
      <c r="U11" s="9"/>
      <c r="V11" s="9"/>
      <c r="W11" s="9"/>
      <c r="X11" s="9"/>
      <c r="Y11" s="9"/>
      <c r="Z11" s="10">
        <f t="shared" ref="Z11:Z30" si="4">SUM(U11:Y11)</f>
        <v>0</v>
      </c>
      <c r="AA11" s="30">
        <f t="shared" ref="AA11:AA57" si="5">+Z11*100/20</f>
        <v>0</v>
      </c>
      <c r="AB11" s="32">
        <f t="shared" ref="AB11:AB30" si="6">+(T11+P11+AA11)/3</f>
        <v>0</v>
      </c>
      <c r="AC11" s="45"/>
    </row>
    <row r="12" spans="1:29" ht="21.6" hidden="1" x14ac:dyDescent="0.3">
      <c r="A12" s="24" t="s">
        <v>35</v>
      </c>
      <c r="B12" s="24" t="s">
        <v>35</v>
      </c>
      <c r="C12" s="24" t="s">
        <v>843</v>
      </c>
      <c r="D12" s="23"/>
      <c r="E12" s="20"/>
      <c r="F12" s="21"/>
      <c r="G12" s="22"/>
      <c r="H12" s="22"/>
      <c r="I12" s="3" t="s">
        <v>1009</v>
      </c>
      <c r="J12" s="9"/>
      <c r="K12" s="9"/>
      <c r="L12" s="10">
        <f t="shared" si="0"/>
        <v>0</v>
      </c>
      <c r="M12" s="10"/>
      <c r="N12" s="10"/>
      <c r="O12" s="10"/>
      <c r="P12" s="38">
        <f t="shared" si="1"/>
        <v>0</v>
      </c>
      <c r="Q12" s="11"/>
      <c r="R12" s="11"/>
      <c r="S12" s="12"/>
      <c r="T12" s="28"/>
      <c r="U12" s="9"/>
      <c r="V12" s="9"/>
      <c r="W12" s="9"/>
      <c r="X12" s="9"/>
      <c r="Y12" s="9"/>
      <c r="Z12" s="10">
        <f t="shared" si="4"/>
        <v>0</v>
      </c>
      <c r="AA12" s="30">
        <f t="shared" si="5"/>
        <v>0</v>
      </c>
      <c r="AB12" s="32">
        <f t="shared" si="6"/>
        <v>0</v>
      </c>
      <c r="AC12" s="45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f>95+53</f>
        <v>148</v>
      </c>
      <c r="K13" s="9">
        <v>147</v>
      </c>
      <c r="L13" s="10">
        <f t="shared" si="0"/>
        <v>1</v>
      </c>
      <c r="M13" s="10"/>
      <c r="N13" s="10"/>
      <c r="O13" s="10"/>
      <c r="P13" s="38">
        <f t="shared" si="1"/>
        <v>99.324324324324323</v>
      </c>
      <c r="Q13" s="11"/>
      <c r="R13" s="11"/>
      <c r="S13" s="12">
        <f t="shared" si="2"/>
        <v>0</v>
      </c>
      <c r="T13" s="28">
        <f t="shared" si="3"/>
        <v>0</v>
      </c>
      <c r="U13" s="9">
        <v>10</v>
      </c>
      <c r="V13" s="9"/>
      <c r="W13" s="9"/>
      <c r="X13" s="9"/>
      <c r="Y13" s="9">
        <v>10</v>
      </c>
      <c r="Z13" s="10">
        <f t="shared" ref="Z13:Z14" si="7">+U13+Y13</f>
        <v>20</v>
      </c>
      <c r="AA13" s="30">
        <f t="shared" si="5"/>
        <v>100</v>
      </c>
      <c r="AB13" s="32">
        <f t="shared" ref="AB13:AB14" si="8">+(P13+AA13)/2</f>
        <v>99.662162162162161</v>
      </c>
      <c r="AC13" s="54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>
        <v>1</v>
      </c>
      <c r="K14" s="9">
        <v>0</v>
      </c>
      <c r="L14" s="10">
        <f t="shared" si="0"/>
        <v>1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>
        <v>0</v>
      </c>
      <c r="V14" s="9"/>
      <c r="W14" s="9"/>
      <c r="X14" s="9"/>
      <c r="Y14" s="9">
        <v>0</v>
      </c>
      <c r="Z14" s="10">
        <f t="shared" si="7"/>
        <v>0</v>
      </c>
      <c r="AA14" s="30">
        <f t="shared" si="5"/>
        <v>0</v>
      </c>
      <c r="AB14" s="32">
        <f t="shared" si="8"/>
        <v>0</v>
      </c>
      <c r="AC14" s="54" t="s">
        <v>1010</v>
      </c>
    </row>
    <row r="15" spans="1:29" ht="27.6" hidden="1" x14ac:dyDescent="0.3">
      <c r="A15" s="24" t="s">
        <v>35</v>
      </c>
      <c r="B15" s="24" t="s">
        <v>36</v>
      </c>
      <c r="C15" s="24" t="s">
        <v>694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5"/>
        <v>0</v>
      </c>
      <c r="AB15" s="32">
        <f t="shared" si="6"/>
        <v>0</v>
      </c>
      <c r="AC15" s="45"/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5"/>
        <v>0</v>
      </c>
      <c r="AB16" s="32">
        <f t="shared" si="6"/>
        <v>0</v>
      </c>
      <c r="AC16" s="45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>
        <v>60</v>
      </c>
      <c r="K17" s="9">
        <v>60</v>
      </c>
      <c r="L17" s="10">
        <f t="shared" si="0"/>
        <v>0</v>
      </c>
      <c r="M17" s="10"/>
      <c r="N17" s="10"/>
      <c r="O17" s="10"/>
      <c r="P17" s="38">
        <f t="shared" si="1"/>
        <v>100</v>
      </c>
      <c r="Q17" s="11"/>
      <c r="R17" s="11"/>
      <c r="S17" s="12">
        <f t="shared" si="2"/>
        <v>0</v>
      </c>
      <c r="T17" s="28">
        <f t="shared" si="3"/>
        <v>0</v>
      </c>
      <c r="U17" s="9">
        <v>10</v>
      </c>
      <c r="V17" s="9"/>
      <c r="W17" s="9"/>
      <c r="X17" s="9"/>
      <c r="Y17" s="9">
        <v>10</v>
      </c>
      <c r="Z17" s="10">
        <f>+U17+Y17</f>
        <v>20</v>
      </c>
      <c r="AA17" s="30">
        <f t="shared" si="5"/>
        <v>100</v>
      </c>
      <c r="AB17" s="32">
        <f>+(P17+AA17)/2</f>
        <v>100</v>
      </c>
      <c r="AC17" s="54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5"/>
        <v>0</v>
      </c>
      <c r="AB18" s="32">
        <f t="shared" si="6"/>
        <v>0</v>
      </c>
      <c r="AC18" s="45"/>
    </row>
    <row r="19" spans="1:29" ht="27.6" hidden="1" x14ac:dyDescent="0.3">
      <c r="A19" s="24" t="s">
        <v>35</v>
      </c>
      <c r="B19" s="24"/>
      <c r="C19" s="24" t="s">
        <v>694</v>
      </c>
      <c r="D19" s="23"/>
      <c r="E19" s="20"/>
      <c r="F19" s="21"/>
      <c r="G19" s="23"/>
      <c r="H19" s="23"/>
      <c r="I19" s="3" t="s">
        <v>77</v>
      </c>
      <c r="J19" s="9"/>
      <c r="K19" s="9"/>
      <c r="L19" s="10">
        <f t="shared" si="0"/>
        <v>0</v>
      </c>
      <c r="M19" s="10"/>
      <c r="N19" s="10"/>
      <c r="O19" s="10"/>
      <c r="P19" s="38">
        <f t="shared" si="1"/>
        <v>0</v>
      </c>
      <c r="Q19" s="11"/>
      <c r="R19" s="11"/>
      <c r="S19" s="12">
        <f t="shared" si="2"/>
        <v>0</v>
      </c>
      <c r="T19" s="28">
        <f t="shared" si="3"/>
        <v>0</v>
      </c>
      <c r="U19" s="9"/>
      <c r="V19" s="9"/>
      <c r="W19" s="9"/>
      <c r="X19" s="9"/>
      <c r="Y19" s="9"/>
      <c r="Z19" s="10">
        <f t="shared" si="4"/>
        <v>0</v>
      </c>
      <c r="AA19" s="30">
        <f t="shared" si="5"/>
        <v>0</v>
      </c>
      <c r="AB19" s="32">
        <f t="shared" si="6"/>
        <v>0</v>
      </c>
      <c r="AC19" s="45"/>
    </row>
    <row r="20" spans="1:29" ht="27.6" x14ac:dyDescent="0.3">
      <c r="A20" s="24" t="s">
        <v>35</v>
      </c>
      <c r="B20" s="24"/>
      <c r="C20" s="24" t="s">
        <v>853</v>
      </c>
      <c r="D20" s="23"/>
      <c r="E20" s="20"/>
      <c r="F20" s="21"/>
      <c r="G20" s="23"/>
      <c r="H20" s="23"/>
      <c r="I20" s="3" t="s">
        <v>78</v>
      </c>
      <c r="J20" s="9"/>
      <c r="K20" s="9"/>
      <c r="L20" s="10">
        <f t="shared" si="0"/>
        <v>0</v>
      </c>
      <c r="M20" s="10"/>
      <c r="N20" s="10"/>
      <c r="O20" s="10"/>
      <c r="P20" s="38">
        <f t="shared" si="1"/>
        <v>0</v>
      </c>
      <c r="Q20" s="11"/>
      <c r="R20" s="11"/>
      <c r="S20" s="12">
        <f t="shared" si="2"/>
        <v>0</v>
      </c>
      <c r="T20" s="28">
        <f t="shared" si="3"/>
        <v>0</v>
      </c>
      <c r="U20" s="9"/>
      <c r="V20" s="9"/>
      <c r="W20" s="9"/>
      <c r="X20" s="9"/>
      <c r="Y20" s="9"/>
      <c r="Z20" s="10">
        <f t="shared" si="4"/>
        <v>0</v>
      </c>
      <c r="AA20" s="30">
        <f t="shared" si="5"/>
        <v>0</v>
      </c>
      <c r="AB20" s="32">
        <f t="shared" si="6"/>
        <v>0</v>
      </c>
      <c r="AC20" s="45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5"/>
        <v>0</v>
      </c>
      <c r="AB21" s="32">
        <f t="shared" si="6"/>
        <v>0</v>
      </c>
      <c r="AC21" s="45"/>
    </row>
    <row r="22" spans="1:29" ht="27.6" hidden="1" x14ac:dyDescent="0.3">
      <c r="A22" s="24" t="s">
        <v>79</v>
      </c>
      <c r="B22" s="24" t="s">
        <v>35</v>
      </c>
      <c r="C22" s="24" t="s">
        <v>694</v>
      </c>
      <c r="D22" s="23"/>
      <c r="E22" s="20"/>
      <c r="F22" s="21"/>
      <c r="G22" s="23"/>
      <c r="H22" s="23"/>
      <c r="I22" s="3" t="s">
        <v>88</v>
      </c>
      <c r="J22" s="9"/>
      <c r="K22" s="9"/>
      <c r="L22" s="10">
        <f t="shared" si="0"/>
        <v>0</v>
      </c>
      <c r="M22" s="10"/>
      <c r="N22" s="10"/>
      <c r="O22" s="10"/>
      <c r="P22" s="38">
        <f t="shared" si="1"/>
        <v>0</v>
      </c>
      <c r="Q22" s="11"/>
      <c r="R22" s="11"/>
      <c r="S22" s="12">
        <f t="shared" si="2"/>
        <v>0</v>
      </c>
      <c r="T22" s="28">
        <f t="shared" si="3"/>
        <v>0</v>
      </c>
      <c r="U22" s="9"/>
      <c r="V22" s="9"/>
      <c r="W22" s="9"/>
      <c r="X22" s="9"/>
      <c r="Y22" s="9"/>
      <c r="Z22" s="10">
        <f t="shared" si="4"/>
        <v>0</v>
      </c>
      <c r="AA22" s="30">
        <f t="shared" si="5"/>
        <v>0</v>
      </c>
      <c r="AB22" s="32">
        <f t="shared" si="6"/>
        <v>0</v>
      </c>
      <c r="AC22" s="45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5"/>
        <v>0</v>
      </c>
      <c r="AB23" s="32">
        <f t="shared" si="6"/>
        <v>0</v>
      </c>
      <c r="AC23" s="45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>+U24+Y24</f>
        <v>20</v>
      </c>
      <c r="AA24" s="30">
        <f t="shared" si="5"/>
        <v>100</v>
      </c>
      <c r="AB24" s="32">
        <f>+(P24+AA24)/2</f>
        <v>100</v>
      </c>
      <c r="AC24" s="54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5"/>
        <v>0</v>
      </c>
      <c r="AB25" s="32">
        <f t="shared" si="6"/>
        <v>0</v>
      </c>
      <c r="AC25" s="45"/>
    </row>
    <row r="26" spans="1:29" ht="27.6" hidden="1" x14ac:dyDescent="0.3">
      <c r="A26" s="24" t="s">
        <v>35</v>
      </c>
      <c r="B26" s="24"/>
      <c r="C26" s="24" t="s">
        <v>694</v>
      </c>
      <c r="D26" s="23"/>
      <c r="E26" s="20"/>
      <c r="F26" s="21"/>
      <c r="G26" s="23"/>
      <c r="H26" s="23"/>
      <c r="I26" s="3" t="s">
        <v>108</v>
      </c>
      <c r="J26" s="9"/>
      <c r="K26" s="9"/>
      <c r="L26" s="10">
        <f t="shared" si="0"/>
        <v>0</v>
      </c>
      <c r="M26" s="10"/>
      <c r="N26" s="10"/>
      <c r="O26" s="10"/>
      <c r="P26" s="38">
        <f t="shared" si="1"/>
        <v>0</v>
      </c>
      <c r="Q26" s="11"/>
      <c r="R26" s="11"/>
      <c r="S26" s="12">
        <f t="shared" si="2"/>
        <v>0</v>
      </c>
      <c r="T26" s="28">
        <f t="shared" si="3"/>
        <v>0</v>
      </c>
      <c r="U26" s="9"/>
      <c r="V26" s="9"/>
      <c r="W26" s="9"/>
      <c r="X26" s="9"/>
      <c r="Y26" s="9"/>
      <c r="Z26" s="10">
        <f t="shared" si="4"/>
        <v>0</v>
      </c>
      <c r="AA26" s="30">
        <f t="shared" si="5"/>
        <v>0</v>
      </c>
      <c r="AB26" s="32">
        <f t="shared" si="6"/>
        <v>0</v>
      </c>
      <c r="AC26" s="45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5"/>
        <v>0</v>
      </c>
      <c r="AB27" s="32">
        <f t="shared" si="6"/>
        <v>0</v>
      </c>
      <c r="AC27" s="45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>
        <f>120+62</f>
        <v>182</v>
      </c>
      <c r="K28" s="9">
        <v>140</v>
      </c>
      <c r="L28" s="10">
        <f t="shared" si="0"/>
        <v>42</v>
      </c>
      <c r="M28" s="10"/>
      <c r="N28" s="10"/>
      <c r="O28" s="10"/>
      <c r="P28" s="38">
        <f t="shared" si="1"/>
        <v>76.92307692307692</v>
      </c>
      <c r="Q28" s="11"/>
      <c r="R28" s="11"/>
      <c r="S28" s="12">
        <f t="shared" si="2"/>
        <v>0</v>
      </c>
      <c r="T28" s="28">
        <f t="shared" si="3"/>
        <v>0</v>
      </c>
      <c r="U28" s="9">
        <v>7</v>
      </c>
      <c r="V28" s="9"/>
      <c r="W28" s="9"/>
      <c r="X28" s="9"/>
      <c r="Y28" s="9">
        <v>10</v>
      </c>
      <c r="Z28" s="10">
        <f>+U28+Y28</f>
        <v>17</v>
      </c>
      <c r="AA28" s="30">
        <f t="shared" si="5"/>
        <v>85</v>
      </c>
      <c r="AB28" s="32">
        <f>+(P28+AA28)/2</f>
        <v>80.961538461538453</v>
      </c>
      <c r="AC28" s="54"/>
    </row>
    <row r="29" spans="1:29" ht="27.6" hidden="1" x14ac:dyDescent="0.3">
      <c r="A29" s="24" t="s">
        <v>35</v>
      </c>
      <c r="B29" s="24" t="s">
        <v>64</v>
      </c>
      <c r="C29" s="24" t="s">
        <v>694</v>
      </c>
      <c r="D29" s="23"/>
      <c r="E29" s="20"/>
      <c r="F29" s="21"/>
      <c r="G29" s="23"/>
      <c r="H29" s="23"/>
      <c r="I29" s="3" t="s">
        <v>114</v>
      </c>
      <c r="J29" s="9"/>
      <c r="K29" s="9"/>
      <c r="L29" s="10">
        <f t="shared" si="0"/>
        <v>0</v>
      </c>
      <c r="M29" s="10"/>
      <c r="N29" s="10"/>
      <c r="O29" s="10"/>
      <c r="P29" s="38">
        <f t="shared" si="1"/>
        <v>0</v>
      </c>
      <c r="Q29" s="11"/>
      <c r="R29" s="11"/>
      <c r="S29" s="12">
        <f t="shared" si="2"/>
        <v>0</v>
      </c>
      <c r="T29" s="28">
        <f t="shared" si="3"/>
        <v>0</v>
      </c>
      <c r="U29" s="9"/>
      <c r="V29" s="9"/>
      <c r="W29" s="9"/>
      <c r="X29" s="9"/>
      <c r="Y29" s="9"/>
      <c r="Z29" s="10">
        <f t="shared" si="4"/>
        <v>0</v>
      </c>
      <c r="AA29" s="30">
        <f t="shared" si="5"/>
        <v>0</v>
      </c>
      <c r="AB29" s="32">
        <f t="shared" si="6"/>
        <v>0</v>
      </c>
      <c r="AC29" s="45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/>
      <c r="E30" s="20"/>
      <c r="F30" s="21"/>
      <c r="G30" s="23"/>
      <c r="H30" s="23"/>
      <c r="I30" s="3" t="s">
        <v>115</v>
      </c>
      <c r="J30" s="9"/>
      <c r="K30" s="9"/>
      <c r="L30" s="10">
        <f t="shared" si="0"/>
        <v>0</v>
      </c>
      <c r="M30" s="10"/>
      <c r="N30" s="10"/>
      <c r="O30" s="10"/>
      <c r="P30" s="38">
        <f t="shared" si="1"/>
        <v>0</v>
      </c>
      <c r="Q30" s="11"/>
      <c r="R30" s="11"/>
      <c r="S30" s="12">
        <f t="shared" si="2"/>
        <v>0</v>
      </c>
      <c r="T30" s="28">
        <f t="shared" si="3"/>
        <v>0</v>
      </c>
      <c r="U30" s="9"/>
      <c r="V30" s="9"/>
      <c r="W30" s="9"/>
      <c r="X30" s="9"/>
      <c r="Y30" s="9"/>
      <c r="Z30" s="10">
        <f t="shared" si="4"/>
        <v>0</v>
      </c>
      <c r="AA30" s="30">
        <f t="shared" si="5"/>
        <v>0</v>
      </c>
      <c r="AB30" s="32">
        <f t="shared" si="6"/>
        <v>0</v>
      </c>
      <c r="AC30" s="45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ref="L31:L52" si="9">+J31-K31</f>
        <v>0</v>
      </c>
      <c r="M31" s="10"/>
      <c r="N31" s="10"/>
      <c r="O31" s="10"/>
      <c r="P31" s="38">
        <f t="shared" ref="P31:P52" si="10">IFERROR(IF(7&lt;&gt;0, K31*100/J31, IF(J31=K31, K31*100/J31, 0)), 0)</f>
        <v>0</v>
      </c>
      <c r="Q31" s="11"/>
      <c r="R31" s="11"/>
      <c r="S31" s="12">
        <f t="shared" ref="S31:S52" si="11">+Q31-R31</f>
        <v>0</v>
      </c>
      <c r="T31" s="28">
        <f t="shared" ref="T31:T52" si="12">IFERROR(IF(S31&lt;&gt;0, Q31*100/R31, IF(Q31=R31, Q31*100/R31, 0)), 0)</f>
        <v>0</v>
      </c>
      <c r="U31" s="9"/>
      <c r="V31" s="9"/>
      <c r="W31" s="9"/>
      <c r="X31" s="9"/>
      <c r="Y31" s="9"/>
      <c r="Z31" s="10">
        <f t="shared" ref="Z31:Z52" si="13">SUM(U31:Y31)</f>
        <v>0</v>
      </c>
      <c r="AA31" s="30">
        <f t="shared" si="5"/>
        <v>0</v>
      </c>
      <c r="AB31" s="32">
        <f t="shared" ref="AB31:AB52" si="14">+(T31+P31+AA31)/3</f>
        <v>0</v>
      </c>
      <c r="AC31" s="45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>
        <v>6</v>
      </c>
      <c r="K32" s="9">
        <v>6</v>
      </c>
      <c r="L32" s="10">
        <f t="shared" si="9"/>
        <v>0</v>
      </c>
      <c r="M32" s="10"/>
      <c r="N32" s="10"/>
      <c r="O32" s="10"/>
      <c r="P32" s="38">
        <f t="shared" si="10"/>
        <v>100</v>
      </c>
      <c r="Q32" s="11"/>
      <c r="R32" s="11"/>
      <c r="S32" s="12">
        <f t="shared" si="11"/>
        <v>0</v>
      </c>
      <c r="T32" s="28">
        <f t="shared" si="12"/>
        <v>0</v>
      </c>
      <c r="U32" s="9">
        <v>10</v>
      </c>
      <c r="V32" s="9"/>
      <c r="W32" s="9"/>
      <c r="X32" s="9"/>
      <c r="Y32" s="9">
        <v>10</v>
      </c>
      <c r="Z32" s="10">
        <f>+U32+Y32</f>
        <v>20</v>
      </c>
      <c r="AA32" s="30">
        <f t="shared" si="5"/>
        <v>100</v>
      </c>
      <c r="AB32" s="32">
        <f>+(P32+AA32)/2</f>
        <v>100</v>
      </c>
      <c r="AC32" s="54"/>
    </row>
    <row r="33" spans="1:29" ht="27.6" hidden="1" x14ac:dyDescent="0.3">
      <c r="A33" s="24" t="s">
        <v>36</v>
      </c>
      <c r="B33" s="24" t="s">
        <v>35</v>
      </c>
      <c r="C33" s="24" t="s">
        <v>694</v>
      </c>
      <c r="D33" s="23"/>
      <c r="E33" s="20"/>
      <c r="F33" s="21"/>
      <c r="G33" s="23"/>
      <c r="H33" s="23"/>
      <c r="I33" s="3" t="s">
        <v>127</v>
      </c>
      <c r="J33" s="9"/>
      <c r="K33" s="9"/>
      <c r="L33" s="10">
        <f t="shared" si="9"/>
        <v>0</v>
      </c>
      <c r="M33" s="10"/>
      <c r="N33" s="10"/>
      <c r="O33" s="10"/>
      <c r="P33" s="38">
        <f t="shared" si="10"/>
        <v>0</v>
      </c>
      <c r="Q33" s="11"/>
      <c r="R33" s="11"/>
      <c r="S33" s="12">
        <f t="shared" si="11"/>
        <v>0</v>
      </c>
      <c r="T33" s="28">
        <f t="shared" si="12"/>
        <v>0</v>
      </c>
      <c r="U33" s="9"/>
      <c r="V33" s="9"/>
      <c r="W33" s="9"/>
      <c r="X33" s="9"/>
      <c r="Y33" s="9"/>
      <c r="Z33" s="10">
        <f t="shared" si="13"/>
        <v>0</v>
      </c>
      <c r="AA33" s="30">
        <f t="shared" si="5"/>
        <v>0</v>
      </c>
      <c r="AB33" s="32">
        <f t="shared" si="14"/>
        <v>0</v>
      </c>
      <c r="AC33" s="45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1</v>
      </c>
      <c r="K34" s="9">
        <v>1</v>
      </c>
      <c r="L34" s="10">
        <f t="shared" si="9"/>
        <v>0</v>
      </c>
      <c r="M34" s="10"/>
      <c r="N34" s="10"/>
      <c r="O34" s="10"/>
      <c r="P34" s="38">
        <f t="shared" si="10"/>
        <v>100</v>
      </c>
      <c r="Q34" s="11"/>
      <c r="R34" s="11"/>
      <c r="S34" s="12">
        <f t="shared" si="11"/>
        <v>0</v>
      </c>
      <c r="T34" s="28">
        <f t="shared" si="12"/>
        <v>0</v>
      </c>
      <c r="U34" s="9">
        <v>10</v>
      </c>
      <c r="V34" s="9"/>
      <c r="W34" s="9"/>
      <c r="X34" s="9"/>
      <c r="Y34" s="9">
        <v>10</v>
      </c>
      <c r="Z34" s="10">
        <f t="shared" ref="Z34:Z35" si="15">+U34+Y34</f>
        <v>20</v>
      </c>
      <c r="AA34" s="30">
        <f t="shared" si="5"/>
        <v>100</v>
      </c>
      <c r="AB34" s="32">
        <f t="shared" ref="AB34:AB35" si="16">+(P34+AA34)/2</f>
        <v>100</v>
      </c>
      <c r="AC34" s="54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>
        <v>11</v>
      </c>
      <c r="K35" s="9">
        <v>10</v>
      </c>
      <c r="L35" s="10">
        <f t="shared" si="9"/>
        <v>1</v>
      </c>
      <c r="M35" s="10"/>
      <c r="N35" s="10"/>
      <c r="O35" s="10"/>
      <c r="P35" s="38">
        <f t="shared" si="10"/>
        <v>90.909090909090907</v>
      </c>
      <c r="Q35" s="11"/>
      <c r="R35" s="11"/>
      <c r="S35" s="12">
        <f t="shared" si="11"/>
        <v>0</v>
      </c>
      <c r="T35" s="28">
        <f t="shared" si="12"/>
        <v>0</v>
      </c>
      <c r="U35" s="9">
        <v>9</v>
      </c>
      <c r="V35" s="9"/>
      <c r="W35" s="9"/>
      <c r="X35" s="9"/>
      <c r="Y35" s="9">
        <v>10</v>
      </c>
      <c r="Z35" s="10">
        <f t="shared" si="15"/>
        <v>19</v>
      </c>
      <c r="AA35" s="30">
        <f t="shared" si="5"/>
        <v>95</v>
      </c>
      <c r="AB35" s="32">
        <f t="shared" si="16"/>
        <v>92.954545454545453</v>
      </c>
      <c r="AC35" s="54"/>
    </row>
    <row r="36" spans="1:29" ht="41.4" hidden="1" x14ac:dyDescent="0.3">
      <c r="A36" s="24" t="s">
        <v>36</v>
      </c>
      <c r="B36" s="24" t="s">
        <v>35</v>
      </c>
      <c r="C36" s="24" t="s">
        <v>694</v>
      </c>
      <c r="D36" s="23"/>
      <c r="E36" s="20"/>
      <c r="F36" s="21"/>
      <c r="G36" s="23"/>
      <c r="H36" s="23"/>
      <c r="I36" s="3" t="s">
        <v>130</v>
      </c>
      <c r="J36" s="9"/>
      <c r="K36" s="9"/>
      <c r="L36" s="10">
        <f t="shared" si="9"/>
        <v>0</v>
      </c>
      <c r="M36" s="10"/>
      <c r="N36" s="10"/>
      <c r="O36" s="10"/>
      <c r="P36" s="38">
        <f t="shared" si="10"/>
        <v>0</v>
      </c>
      <c r="Q36" s="11"/>
      <c r="R36" s="11"/>
      <c r="S36" s="12">
        <f t="shared" si="11"/>
        <v>0</v>
      </c>
      <c r="T36" s="28">
        <f t="shared" si="12"/>
        <v>0</v>
      </c>
      <c r="U36" s="9"/>
      <c r="V36" s="9"/>
      <c r="W36" s="9"/>
      <c r="X36" s="9"/>
      <c r="Y36" s="9"/>
      <c r="Z36" s="10">
        <f t="shared" si="13"/>
        <v>0</v>
      </c>
      <c r="AA36" s="30">
        <f t="shared" si="5"/>
        <v>0</v>
      </c>
      <c r="AB36" s="32">
        <f t="shared" si="14"/>
        <v>0</v>
      </c>
      <c r="AC36" s="45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2</v>
      </c>
      <c r="K37" s="9">
        <v>2</v>
      </c>
      <c r="L37" s="10">
        <f t="shared" si="9"/>
        <v>0</v>
      </c>
      <c r="M37" s="10"/>
      <c r="N37" s="10"/>
      <c r="O37" s="10"/>
      <c r="P37" s="38">
        <f t="shared" si="10"/>
        <v>100</v>
      </c>
      <c r="Q37" s="11"/>
      <c r="R37" s="11"/>
      <c r="S37" s="12">
        <f t="shared" si="11"/>
        <v>0</v>
      </c>
      <c r="T37" s="28">
        <f t="shared" si="12"/>
        <v>0</v>
      </c>
      <c r="U37" s="9">
        <v>10</v>
      </c>
      <c r="V37" s="9"/>
      <c r="W37" s="9"/>
      <c r="X37" s="9"/>
      <c r="Y37" s="9">
        <v>10</v>
      </c>
      <c r="Z37" s="10">
        <f>+U37+Y37</f>
        <v>20</v>
      </c>
      <c r="AA37" s="30">
        <f t="shared" si="5"/>
        <v>100</v>
      </c>
      <c r="AB37" s="32">
        <f>+(P37+AA37)/2</f>
        <v>100</v>
      </c>
      <c r="AC37" s="54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9"/>
        <v>0</v>
      </c>
      <c r="M38" s="10"/>
      <c r="N38" s="10"/>
      <c r="O38" s="10"/>
      <c r="P38" s="38">
        <f t="shared" si="10"/>
        <v>0</v>
      </c>
      <c r="Q38" s="11"/>
      <c r="R38" s="11"/>
      <c r="S38" s="12">
        <f t="shared" si="11"/>
        <v>0</v>
      </c>
      <c r="T38" s="28">
        <f t="shared" si="12"/>
        <v>0</v>
      </c>
      <c r="U38" s="9"/>
      <c r="V38" s="9"/>
      <c r="W38" s="9"/>
      <c r="X38" s="9"/>
      <c r="Y38" s="9"/>
      <c r="Z38" s="10">
        <f t="shared" si="13"/>
        <v>0</v>
      </c>
      <c r="AA38" s="30">
        <f t="shared" si="5"/>
        <v>0</v>
      </c>
      <c r="AB38" s="32">
        <f t="shared" si="14"/>
        <v>0</v>
      </c>
      <c r="AC38" s="45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 t="s">
        <v>862</v>
      </c>
      <c r="E39" s="20"/>
      <c r="F39" s="21"/>
      <c r="G39" s="23"/>
      <c r="H39" s="23"/>
      <c r="I39" s="3" t="s">
        <v>155</v>
      </c>
      <c r="J39" s="9">
        <v>1</v>
      </c>
      <c r="K39" s="9">
        <v>1</v>
      </c>
      <c r="L39" s="10">
        <f t="shared" si="9"/>
        <v>0</v>
      </c>
      <c r="M39" s="10"/>
      <c r="N39" s="10"/>
      <c r="O39" s="10"/>
      <c r="P39" s="38">
        <f t="shared" si="10"/>
        <v>100</v>
      </c>
      <c r="Q39" s="11"/>
      <c r="R39" s="11"/>
      <c r="S39" s="12">
        <f t="shared" si="11"/>
        <v>0</v>
      </c>
      <c r="T39" s="28">
        <f t="shared" si="12"/>
        <v>0</v>
      </c>
      <c r="U39" s="9">
        <v>10</v>
      </c>
      <c r="V39" s="9"/>
      <c r="W39" s="9"/>
      <c r="X39" s="9"/>
      <c r="Y39" s="9">
        <v>10</v>
      </c>
      <c r="Z39" s="10">
        <f>+U39+Y39</f>
        <v>20</v>
      </c>
      <c r="AA39" s="30">
        <f t="shared" si="5"/>
        <v>100</v>
      </c>
      <c r="AB39" s="32">
        <f>+(P39+AA39)/2</f>
        <v>100</v>
      </c>
      <c r="AC39" s="54"/>
    </row>
    <row r="40" spans="1:29" ht="27.6" hidden="1" x14ac:dyDescent="0.3">
      <c r="A40" s="24" t="s">
        <v>84</v>
      </c>
      <c r="B40" s="24" t="s">
        <v>35</v>
      </c>
      <c r="C40" s="24" t="s">
        <v>694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9"/>
        <v>0</v>
      </c>
      <c r="M40" s="10"/>
      <c r="N40" s="10"/>
      <c r="O40" s="10"/>
      <c r="P40" s="38">
        <f t="shared" si="10"/>
        <v>0</v>
      </c>
      <c r="Q40" s="11"/>
      <c r="R40" s="11"/>
      <c r="S40" s="12">
        <f t="shared" si="11"/>
        <v>0</v>
      </c>
      <c r="T40" s="28">
        <f t="shared" si="12"/>
        <v>0</v>
      </c>
      <c r="U40" s="9"/>
      <c r="V40" s="9"/>
      <c r="W40" s="9"/>
      <c r="X40" s="9"/>
      <c r="Y40" s="9"/>
      <c r="Z40" s="10">
        <f t="shared" si="13"/>
        <v>0</v>
      </c>
      <c r="AA40" s="30">
        <f t="shared" si="5"/>
        <v>0</v>
      </c>
      <c r="AB40" s="32">
        <f t="shared" si="14"/>
        <v>0</v>
      </c>
      <c r="AC40" s="45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9"/>
        <v>0</v>
      </c>
      <c r="M41" s="10"/>
      <c r="N41" s="10"/>
      <c r="O41" s="10"/>
      <c r="P41" s="38">
        <f t="shared" si="10"/>
        <v>0</v>
      </c>
      <c r="Q41" s="11"/>
      <c r="R41" s="11"/>
      <c r="S41" s="12">
        <f t="shared" si="11"/>
        <v>0</v>
      </c>
      <c r="T41" s="28">
        <f t="shared" si="12"/>
        <v>0</v>
      </c>
      <c r="U41" s="9"/>
      <c r="V41" s="9"/>
      <c r="W41" s="9"/>
      <c r="X41" s="9"/>
      <c r="Y41" s="9"/>
      <c r="Z41" s="10">
        <f t="shared" si="13"/>
        <v>0</v>
      </c>
      <c r="AA41" s="30">
        <f t="shared" si="5"/>
        <v>0</v>
      </c>
      <c r="AB41" s="32">
        <f t="shared" si="14"/>
        <v>0</v>
      </c>
      <c r="AC41" s="45"/>
    </row>
    <row r="42" spans="1:29" ht="26.4" hidden="1" customHeight="1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>
        <v>1</v>
      </c>
      <c r="K42" s="9">
        <v>1</v>
      </c>
      <c r="L42" s="10">
        <f t="shared" si="9"/>
        <v>0</v>
      </c>
      <c r="M42" s="10"/>
      <c r="N42" s="10"/>
      <c r="O42" s="10"/>
      <c r="P42" s="38">
        <f t="shared" si="10"/>
        <v>100</v>
      </c>
      <c r="Q42" s="11"/>
      <c r="R42" s="11"/>
      <c r="S42" s="12">
        <f t="shared" si="11"/>
        <v>0</v>
      </c>
      <c r="T42" s="28">
        <f t="shared" si="12"/>
        <v>0</v>
      </c>
      <c r="U42" s="9">
        <v>10</v>
      </c>
      <c r="V42" s="9"/>
      <c r="W42" s="9"/>
      <c r="X42" s="9"/>
      <c r="Y42" s="9">
        <v>10</v>
      </c>
      <c r="Z42" s="10">
        <f t="shared" si="13"/>
        <v>20</v>
      </c>
      <c r="AA42" s="30">
        <f t="shared" si="5"/>
        <v>100</v>
      </c>
      <c r="AB42" s="32">
        <f t="shared" si="14"/>
        <v>66.666666666666671</v>
      </c>
      <c r="AC42" s="54"/>
    </row>
    <row r="43" spans="1:29" ht="21.6" hidden="1" customHeight="1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9"/>
        <v>0</v>
      </c>
      <c r="M43" s="10"/>
      <c r="N43" s="10"/>
      <c r="O43" s="10"/>
      <c r="P43" s="38">
        <f t="shared" si="10"/>
        <v>0</v>
      </c>
      <c r="Q43" s="11"/>
      <c r="R43" s="11"/>
      <c r="S43" s="12">
        <f t="shared" si="11"/>
        <v>0</v>
      </c>
      <c r="T43" s="28">
        <f t="shared" si="12"/>
        <v>0</v>
      </c>
      <c r="U43" s="9"/>
      <c r="V43" s="9"/>
      <c r="W43" s="9"/>
      <c r="X43" s="9"/>
      <c r="Y43" s="9"/>
      <c r="Z43" s="10">
        <f t="shared" si="13"/>
        <v>0</v>
      </c>
      <c r="AA43" s="30">
        <f t="shared" si="5"/>
        <v>0</v>
      </c>
      <c r="AB43" s="32">
        <f t="shared" si="14"/>
        <v>0</v>
      </c>
      <c r="AC43" s="45"/>
    </row>
    <row r="44" spans="1:29" ht="41.4" hidden="1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9"/>
        <v>0</v>
      </c>
      <c r="M44" s="10"/>
      <c r="N44" s="10"/>
      <c r="O44" s="10"/>
      <c r="P44" s="38">
        <f t="shared" si="10"/>
        <v>0</v>
      </c>
      <c r="Q44" s="11"/>
      <c r="R44" s="11"/>
      <c r="S44" s="12">
        <f t="shared" si="11"/>
        <v>0</v>
      </c>
      <c r="T44" s="28">
        <f t="shared" si="12"/>
        <v>0</v>
      </c>
      <c r="U44" s="9"/>
      <c r="V44" s="9"/>
      <c r="W44" s="9"/>
      <c r="X44" s="9"/>
      <c r="Y44" s="9"/>
      <c r="Z44" s="10">
        <f t="shared" si="13"/>
        <v>0</v>
      </c>
      <c r="AA44" s="30">
        <f t="shared" si="5"/>
        <v>0</v>
      </c>
      <c r="AB44" s="32">
        <f t="shared" si="14"/>
        <v>0</v>
      </c>
      <c r="AC44" s="54" t="s">
        <v>1011</v>
      </c>
    </row>
    <row r="45" spans="1:29" ht="41.4" hidden="1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>
        <v>44</v>
      </c>
      <c r="K45" s="9">
        <v>31</v>
      </c>
      <c r="L45" s="10">
        <f t="shared" si="9"/>
        <v>13</v>
      </c>
      <c r="M45" s="10"/>
      <c r="N45" s="10"/>
      <c r="O45" s="10"/>
      <c r="P45" s="38">
        <f t="shared" si="10"/>
        <v>70.454545454545453</v>
      </c>
      <c r="Q45" s="11"/>
      <c r="R45" s="11"/>
      <c r="S45" s="12">
        <f t="shared" si="11"/>
        <v>0</v>
      </c>
      <c r="T45" s="28">
        <f t="shared" si="12"/>
        <v>0</v>
      </c>
      <c r="U45" s="9"/>
      <c r="V45" s="9"/>
      <c r="W45" s="9"/>
      <c r="X45" s="9"/>
      <c r="Y45" s="9"/>
      <c r="Z45" s="10">
        <f t="shared" si="13"/>
        <v>0</v>
      </c>
      <c r="AA45" s="30">
        <f t="shared" si="5"/>
        <v>0</v>
      </c>
      <c r="AB45" s="32">
        <f t="shared" si="14"/>
        <v>23.484848484848484</v>
      </c>
      <c r="AC45" s="54"/>
    </row>
    <row r="46" spans="1:29" ht="27.6" hidden="1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>
        <v>286</v>
      </c>
      <c r="K46" s="9">
        <v>262</v>
      </c>
      <c r="L46" s="10">
        <f t="shared" si="9"/>
        <v>24</v>
      </c>
      <c r="M46" s="10">
        <v>4</v>
      </c>
      <c r="N46" s="10">
        <f>+L46-M46</f>
        <v>20</v>
      </c>
      <c r="O46" s="10">
        <v>0</v>
      </c>
      <c r="P46" s="38">
        <f t="shared" si="10"/>
        <v>91.608391608391614</v>
      </c>
      <c r="Q46" s="45">
        <v>36</v>
      </c>
      <c r="R46" s="45">
        <v>24</v>
      </c>
      <c r="S46" s="12">
        <f t="shared" si="11"/>
        <v>12</v>
      </c>
      <c r="T46" s="44">
        <f t="shared" si="12"/>
        <v>150</v>
      </c>
      <c r="U46" s="9"/>
      <c r="V46" s="9"/>
      <c r="W46" s="9"/>
      <c r="X46" s="9"/>
      <c r="Y46" s="9"/>
      <c r="Z46" s="10">
        <f t="shared" si="13"/>
        <v>0</v>
      </c>
      <c r="AA46" s="30">
        <f t="shared" si="5"/>
        <v>0</v>
      </c>
      <c r="AB46" s="32">
        <f t="shared" si="14"/>
        <v>80.536130536130543</v>
      </c>
      <c r="AC46" s="54"/>
    </row>
    <row r="47" spans="1:29" ht="27.6" hidden="1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>
        <v>1</v>
      </c>
      <c r="K47" s="9">
        <v>1</v>
      </c>
      <c r="L47" s="10">
        <f t="shared" si="9"/>
        <v>0</v>
      </c>
      <c r="M47" s="10"/>
      <c r="N47" s="10"/>
      <c r="O47" s="10"/>
      <c r="P47" s="38">
        <f t="shared" si="10"/>
        <v>100</v>
      </c>
      <c r="Q47" s="11"/>
      <c r="R47" s="11"/>
      <c r="S47" s="12">
        <f t="shared" si="11"/>
        <v>0</v>
      </c>
      <c r="T47" s="28">
        <f t="shared" si="12"/>
        <v>0</v>
      </c>
      <c r="U47" s="9"/>
      <c r="V47" s="9"/>
      <c r="W47" s="9"/>
      <c r="X47" s="9"/>
      <c r="Y47" s="9"/>
      <c r="Z47" s="10">
        <f t="shared" si="13"/>
        <v>0</v>
      </c>
      <c r="AA47" s="30">
        <f t="shared" si="5"/>
        <v>0</v>
      </c>
      <c r="AB47" s="32">
        <f t="shared" si="14"/>
        <v>33.333333333333336</v>
      </c>
      <c r="AC47" s="54"/>
    </row>
    <row r="48" spans="1:29" ht="27.6" hidden="1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>
        <v>5</v>
      </c>
      <c r="K48" s="9">
        <v>5</v>
      </c>
      <c r="L48" s="10">
        <f t="shared" si="9"/>
        <v>0</v>
      </c>
      <c r="M48" s="10"/>
      <c r="N48" s="10"/>
      <c r="O48" s="10"/>
      <c r="P48" s="38">
        <f t="shared" si="10"/>
        <v>100</v>
      </c>
      <c r="Q48" s="11"/>
      <c r="R48" s="11"/>
      <c r="S48" s="12">
        <f t="shared" si="11"/>
        <v>0</v>
      </c>
      <c r="T48" s="28">
        <f t="shared" si="12"/>
        <v>0</v>
      </c>
      <c r="U48" s="9"/>
      <c r="V48" s="9"/>
      <c r="W48" s="9"/>
      <c r="X48" s="9"/>
      <c r="Y48" s="9"/>
      <c r="Z48" s="10">
        <f t="shared" si="13"/>
        <v>0</v>
      </c>
      <c r="AA48" s="30">
        <f t="shared" si="5"/>
        <v>0</v>
      </c>
      <c r="AB48" s="32">
        <f t="shared" si="14"/>
        <v>33.333333333333336</v>
      </c>
      <c r="AC48" s="54"/>
    </row>
    <row r="49" spans="1:29" ht="27.6" hidden="1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>
        <v>1</v>
      </c>
      <c r="K49" s="9">
        <v>1</v>
      </c>
      <c r="L49" s="10">
        <f t="shared" si="9"/>
        <v>0</v>
      </c>
      <c r="M49" s="10"/>
      <c r="N49" s="10"/>
      <c r="O49" s="10"/>
      <c r="P49" s="38">
        <f t="shared" si="10"/>
        <v>100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>SUM(U49:Y49)</f>
        <v>0</v>
      </c>
      <c r="AA49" s="30">
        <f t="shared" si="5"/>
        <v>0</v>
      </c>
      <c r="AB49" s="32"/>
      <c r="AC49" s="54"/>
    </row>
    <row r="50" spans="1:29" ht="27.6" hidden="1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>
        <v>55</v>
      </c>
      <c r="K50" s="9">
        <v>9</v>
      </c>
      <c r="L50" s="10">
        <f t="shared" si="9"/>
        <v>46</v>
      </c>
      <c r="M50" s="10"/>
      <c r="N50" s="10"/>
      <c r="O50" s="10"/>
      <c r="P50" s="38">
        <f t="shared" si="10"/>
        <v>16.363636363636363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>SUM(U50:Y50)</f>
        <v>0</v>
      </c>
      <c r="AA50" s="30">
        <f t="shared" si="5"/>
        <v>0</v>
      </c>
      <c r="AB50" s="32"/>
      <c r="AC50" s="54"/>
    </row>
    <row r="51" spans="1:29" ht="27.6" hidden="1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9"/>
        <v>0</v>
      </c>
      <c r="M51" s="10"/>
      <c r="N51" s="10"/>
      <c r="O51" s="10"/>
      <c r="P51" s="38">
        <f t="shared" si="10"/>
        <v>0</v>
      </c>
      <c r="Q51" s="11"/>
      <c r="R51" s="11"/>
      <c r="S51" s="12">
        <f t="shared" si="11"/>
        <v>0</v>
      </c>
      <c r="T51" s="28">
        <f t="shared" si="12"/>
        <v>0</v>
      </c>
      <c r="U51" s="9"/>
      <c r="V51" s="9"/>
      <c r="W51" s="9"/>
      <c r="X51" s="9"/>
      <c r="Y51" s="9"/>
      <c r="Z51" s="10">
        <f t="shared" si="13"/>
        <v>0</v>
      </c>
      <c r="AA51" s="30">
        <f t="shared" si="5"/>
        <v>0</v>
      </c>
      <c r="AB51" s="32">
        <f t="shared" si="14"/>
        <v>0</v>
      </c>
      <c r="AC51" s="45"/>
    </row>
    <row r="52" spans="1:29" ht="27.6" hidden="1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9"/>
        <v>0</v>
      </c>
      <c r="M52" s="10"/>
      <c r="N52" s="10"/>
      <c r="O52" s="10"/>
      <c r="P52" s="38">
        <f t="shared" si="10"/>
        <v>0</v>
      </c>
      <c r="Q52" s="11"/>
      <c r="R52" s="11"/>
      <c r="S52" s="12">
        <f t="shared" si="11"/>
        <v>0</v>
      </c>
      <c r="T52" s="28">
        <f t="shared" si="12"/>
        <v>0</v>
      </c>
      <c r="U52" s="9"/>
      <c r="V52" s="9"/>
      <c r="W52" s="9"/>
      <c r="X52" s="9"/>
      <c r="Y52" s="9"/>
      <c r="Z52" s="10">
        <f t="shared" si="13"/>
        <v>0</v>
      </c>
      <c r="AA52" s="30">
        <f t="shared" si="5"/>
        <v>0</v>
      </c>
      <c r="AB52" s="32">
        <f t="shared" si="14"/>
        <v>0</v>
      </c>
      <c r="AC52" s="45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/>
      <c r="K53" s="9"/>
      <c r="L53" s="10">
        <f t="shared" ref="L53:L58" si="17">+J53-K53</f>
        <v>0</v>
      </c>
      <c r="M53" s="10"/>
      <c r="N53" s="10"/>
      <c r="O53" s="10"/>
      <c r="P53" s="38">
        <f t="shared" ref="P53:P57" si="18">IFERROR(IF(7&lt;&gt;0, K53*100/J53, IF(J53=K53, K53*100/J53, 0)), 0)</f>
        <v>0</v>
      </c>
      <c r="Q53" s="11"/>
      <c r="R53" s="11"/>
      <c r="S53" s="12">
        <f t="shared" ref="S53:S57" si="19">+Q53-R53</f>
        <v>0</v>
      </c>
      <c r="T53" s="28">
        <f t="shared" ref="T53:T57" si="20">IFERROR(IF(S53&lt;&gt;0, Q53*100/R53, IF(Q53=R53, Q53*100/R53, 0)), 0)</f>
        <v>0</v>
      </c>
      <c r="U53" s="9"/>
      <c r="V53" s="9"/>
      <c r="W53" s="9"/>
      <c r="X53" s="9"/>
      <c r="Y53" s="9"/>
      <c r="Z53" s="10">
        <f>+U53+Y53</f>
        <v>0</v>
      </c>
      <c r="AA53" s="30">
        <f t="shared" si="5"/>
        <v>0</v>
      </c>
      <c r="AB53" s="32">
        <f>+(P53+AA53)/2</f>
        <v>0</v>
      </c>
      <c r="AC53" s="54" t="s">
        <v>1015</v>
      </c>
    </row>
    <row r="54" spans="1:29" ht="41.4" hidden="1" x14ac:dyDescent="0.3">
      <c r="A54" s="24" t="s">
        <v>105</v>
      </c>
      <c r="B54" s="24" t="s">
        <v>35</v>
      </c>
      <c r="C54" s="24" t="s">
        <v>694</v>
      </c>
      <c r="D54" s="23"/>
      <c r="E54" s="20"/>
      <c r="F54" s="21"/>
      <c r="G54" s="23"/>
      <c r="H54" s="23"/>
      <c r="I54" s="3" t="s">
        <v>190</v>
      </c>
      <c r="J54" s="9"/>
      <c r="K54" s="9"/>
      <c r="L54" s="10">
        <f t="shared" si="17"/>
        <v>0</v>
      </c>
      <c r="M54" s="10"/>
      <c r="N54" s="10"/>
      <c r="O54" s="10"/>
      <c r="P54" s="38">
        <f t="shared" si="18"/>
        <v>0</v>
      </c>
      <c r="Q54" s="11"/>
      <c r="R54" s="11"/>
      <c r="S54" s="12">
        <f t="shared" si="19"/>
        <v>0</v>
      </c>
      <c r="T54" s="28">
        <f t="shared" si="20"/>
        <v>0</v>
      </c>
      <c r="U54" s="9"/>
      <c r="V54" s="9"/>
      <c r="W54" s="9"/>
      <c r="X54" s="9"/>
      <c r="Y54" s="9"/>
      <c r="Z54" s="10">
        <f t="shared" ref="Z54:Z57" si="21">SUM(U54:Y54)</f>
        <v>0</v>
      </c>
      <c r="AA54" s="30">
        <f t="shared" si="5"/>
        <v>0</v>
      </c>
      <c r="AB54" s="32">
        <f t="shared" ref="AB54:AB57" si="22">+(T54+P54+AA54)/3</f>
        <v>0</v>
      </c>
      <c r="AC54" s="45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/>
      <c r="K55" s="9"/>
      <c r="L55" s="10">
        <f t="shared" si="17"/>
        <v>0</v>
      </c>
      <c r="M55" s="10"/>
      <c r="N55" s="10"/>
      <c r="O55" s="10"/>
      <c r="P55" s="38">
        <f t="shared" si="18"/>
        <v>0</v>
      </c>
      <c r="Q55" s="11"/>
      <c r="R55" s="11"/>
      <c r="S55" s="12">
        <f t="shared" si="19"/>
        <v>0</v>
      </c>
      <c r="T55" s="28">
        <f t="shared" si="20"/>
        <v>0</v>
      </c>
      <c r="U55" s="9"/>
      <c r="V55" s="9"/>
      <c r="W55" s="9"/>
      <c r="X55" s="9"/>
      <c r="Y55" s="9"/>
      <c r="Z55" s="10">
        <f t="shared" ref="Z55:Z58" si="23">+U55+Y55</f>
        <v>0</v>
      </c>
      <c r="AA55" s="30">
        <f t="shared" si="5"/>
        <v>0</v>
      </c>
      <c r="AB55" s="32">
        <f t="shared" ref="AB55:AB56" si="24">+(P55+AA55)/2</f>
        <v>0</v>
      </c>
      <c r="AC55" s="54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17"/>
        <v>0</v>
      </c>
      <c r="M56" s="10"/>
      <c r="N56" s="10"/>
      <c r="O56" s="10"/>
      <c r="P56" s="38">
        <f t="shared" si="18"/>
        <v>0</v>
      </c>
      <c r="Q56" s="11"/>
      <c r="R56" s="11"/>
      <c r="S56" s="12">
        <f t="shared" si="19"/>
        <v>0</v>
      </c>
      <c r="T56" s="28">
        <f t="shared" si="20"/>
        <v>0</v>
      </c>
      <c r="U56" s="9"/>
      <c r="V56" s="9"/>
      <c r="W56" s="9"/>
      <c r="X56" s="9"/>
      <c r="Y56" s="9"/>
      <c r="Z56" s="10">
        <f t="shared" si="23"/>
        <v>0</v>
      </c>
      <c r="AA56" s="30">
        <f t="shared" si="5"/>
        <v>0</v>
      </c>
      <c r="AB56" s="32">
        <f t="shared" si="24"/>
        <v>0</v>
      </c>
      <c r="AC56" s="54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17"/>
        <v>0</v>
      </c>
      <c r="M57" s="10"/>
      <c r="N57" s="10"/>
      <c r="O57" s="10"/>
      <c r="P57" s="38">
        <f t="shared" si="18"/>
        <v>0</v>
      </c>
      <c r="Q57" s="11"/>
      <c r="R57" s="11"/>
      <c r="S57" s="12">
        <f t="shared" si="19"/>
        <v>0</v>
      </c>
      <c r="T57" s="28">
        <f t="shared" si="20"/>
        <v>0</v>
      </c>
      <c r="U57" s="9"/>
      <c r="V57" s="9"/>
      <c r="W57" s="9"/>
      <c r="X57" s="9"/>
      <c r="Y57" s="9"/>
      <c r="Z57" s="10">
        <f t="shared" si="21"/>
        <v>0</v>
      </c>
      <c r="AA57" s="30">
        <f t="shared" si="5"/>
        <v>0</v>
      </c>
      <c r="AB57" s="32">
        <f t="shared" si="22"/>
        <v>0</v>
      </c>
      <c r="AC57" s="45"/>
    </row>
    <row r="58" spans="1:29" x14ac:dyDescent="0.3">
      <c r="A58" s="74" t="s">
        <v>1016</v>
      </c>
      <c r="B58" s="74" t="s">
        <v>1016</v>
      </c>
      <c r="C58" s="74" t="s">
        <v>1016</v>
      </c>
      <c r="D58" s="75" t="s">
        <v>1016</v>
      </c>
      <c r="E58" s="75"/>
      <c r="F58" s="75"/>
      <c r="G58" s="75"/>
      <c r="H58" s="75"/>
      <c r="I58" s="75"/>
      <c r="J58" s="76">
        <f>SUM(J10:J55)</f>
        <v>963</v>
      </c>
      <c r="K58" s="76">
        <f>SUM(K10:K55)</f>
        <v>813</v>
      </c>
      <c r="L58" s="73">
        <f t="shared" si="17"/>
        <v>150</v>
      </c>
      <c r="M58" s="73"/>
      <c r="N58" s="73"/>
      <c r="O58" s="73"/>
      <c r="P58" s="77">
        <f>(K58*100)/J58</f>
        <v>84.423676012461058</v>
      </c>
      <c r="Q58" s="78"/>
      <c r="R58" s="78"/>
      <c r="S58" s="79"/>
      <c r="T58" s="80">
        <f t="shared" ref="T58" si="25">AVERAGEIF(T10:T57,"&gt;0")</f>
        <v>122.72727272727272</v>
      </c>
      <c r="U58" s="81">
        <f>AVERAGEIF(U10:U55,"&gt;0")</f>
        <v>9.545454545454545</v>
      </c>
      <c r="V58" s="81" t="e">
        <f t="shared" ref="V58:Y58" si="26">AVERAGEIF(V10:V55,"&gt;0")</f>
        <v>#DIV/0!</v>
      </c>
      <c r="W58" s="81" t="e">
        <f t="shared" si="26"/>
        <v>#DIV/0!</v>
      </c>
      <c r="X58" s="81" t="e">
        <f t="shared" si="26"/>
        <v>#DIV/0!</v>
      </c>
      <c r="Y58" s="81">
        <f t="shared" si="26"/>
        <v>10</v>
      </c>
      <c r="Z58" s="73">
        <f t="shared" si="23"/>
        <v>19.545454545454547</v>
      </c>
      <c r="AA58" s="82">
        <f>(Z58*100)/20</f>
        <v>97.727272727272734</v>
      </c>
      <c r="AB58" s="33"/>
      <c r="AC58" s="83">
        <f>SUBTOTAL(109,AB10:AB55)/10</f>
        <v>96.407187665149451</v>
      </c>
    </row>
  </sheetData>
  <autoFilter ref="A9:AC58" xr:uid="{53E899D1-B89F-47CF-979E-B96180AA65BB}">
    <filterColumn colId="2">
      <filters>
        <filter val="Equipo Tecnico"/>
        <filter val="T"/>
        <filter val="Tecn-Prog-Desarrollo PI"/>
        <filter val="Tecn-Prog-Medios Vida"/>
      </filters>
    </filterColumn>
  </autoFilter>
  <mergeCells count="17">
    <mergeCell ref="AC7:AC8"/>
    <mergeCell ref="U7:AA7"/>
    <mergeCell ref="AB7:AB8"/>
    <mergeCell ref="Q7:T7"/>
    <mergeCell ref="A7:C7"/>
    <mergeCell ref="D7:D8"/>
    <mergeCell ref="E7:G7"/>
    <mergeCell ref="I7:I8"/>
    <mergeCell ref="J7:P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H58 F10:G58" xr:uid="{7BF8306E-A9AE-49CB-9348-75E349F4C301}">
      <formula1>INDIRECT(E10)</formula1>
    </dataValidation>
  </dataValidations>
  <pageMargins left="0.7" right="0.7" top="0.75" bottom="0.75" header="0.3" footer="0.3"/>
  <pageSetup scale="75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5D2A28D7-17B6-4168-93F2-B0F52F91DA29}">
          <x14:formula1>
            <xm:f>'Lista desplegable'!$O$13:$O$37</xm:f>
          </x14:formula1>
          <xm:sqref>G4:G5 I4</xm:sqref>
        </x14:dataValidation>
        <x14:dataValidation type="list" allowBlank="1" showInputMessage="1" showErrorMessage="1" xr:uid="{D598AFB8-26EB-4F9F-89EB-F67306AFD52E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AEA3E89D-5F97-4A3E-9B5B-E0A8AC1C2DF7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DF0AE5F3-ACB5-4988-903C-0F5676D7D19C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0206A7A1-A93B-46C6-8007-8F76F699EEF7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7582BC81-D7D5-4131-A4E6-E70720BF6DFD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72771E4D-51C7-4CAE-890D-01E05FF37AFD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B033C218-1B70-4550-A929-3E5097F08E71}">
          <x14:formula1>
            <xm:f>'Lista desplegable'!$A$2:$A$16</xm:f>
          </x14:formula1>
          <xm:sqref>E10:E58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2C598-61FB-4665-9205-0BC3327D5ED2}">
  <sheetPr filterMode="1"/>
  <dimension ref="A1:AB182"/>
  <sheetViews>
    <sheetView showGridLines="0" view="pageBreakPreview" zoomScaleNormal="100" zoomScaleSheetLayoutView="100" workbookViewId="0">
      <selection activeCell="D13" sqref="D13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5" width="4.5546875" style="1" customWidth="1"/>
    <col min="16" max="16" width="4.5546875" style="2" customWidth="1"/>
    <col min="17" max="19" width="5.5546875" style="2" customWidth="1"/>
    <col min="20" max="20" width="4.5546875" style="2" customWidth="1"/>
    <col min="21" max="26" width="5.5546875" style="1" customWidth="1"/>
    <col min="27" max="27" width="4.5546875" style="1" customWidth="1"/>
    <col min="28" max="28" width="5.5546875" style="1" customWidth="1"/>
    <col min="29" max="16384" width="10.88671875" style="1"/>
  </cols>
  <sheetData>
    <row r="1" spans="1:28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</row>
    <row r="2" spans="1:28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</row>
    <row r="3" spans="1:28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</row>
    <row r="4" spans="1:28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924</v>
      </c>
      <c r="J4" s="142"/>
      <c r="K4" s="142"/>
      <c r="L4" s="39"/>
      <c r="M4" s="39"/>
      <c r="N4" s="39"/>
      <c r="O4" s="39"/>
      <c r="P4" s="134" t="s">
        <v>5</v>
      </c>
      <c r="Q4" s="134"/>
      <c r="R4" s="135" t="s">
        <v>284</v>
      </c>
      <c r="S4" s="135"/>
      <c r="T4" s="135"/>
      <c r="U4" s="135"/>
      <c r="V4" s="135"/>
      <c r="W4" s="135"/>
      <c r="X4" s="135"/>
      <c r="Y4" s="135"/>
      <c r="Z4" s="135"/>
      <c r="AA4" s="135"/>
      <c r="AB4" s="135"/>
    </row>
    <row r="5" spans="1:28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39"/>
      <c r="N5" s="39"/>
      <c r="O5" s="39"/>
      <c r="P5" s="134" t="s">
        <v>7</v>
      </c>
      <c r="Q5" s="134"/>
      <c r="R5" s="135" t="s">
        <v>8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</row>
    <row r="7" spans="1:28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29"/>
      <c r="O7" s="129"/>
      <c r="P7" s="129"/>
      <c r="Q7" s="130" t="s">
        <v>14</v>
      </c>
      <c r="R7" s="130"/>
      <c r="S7" s="130"/>
      <c r="T7" s="130"/>
      <c r="U7" s="114" t="s">
        <v>15</v>
      </c>
      <c r="V7" s="115"/>
      <c r="W7" s="115"/>
      <c r="X7" s="115"/>
      <c r="Y7" s="115"/>
      <c r="Z7" s="115"/>
      <c r="AA7" s="116"/>
      <c r="AB7" s="117" t="s">
        <v>16</v>
      </c>
    </row>
    <row r="8" spans="1:28" ht="70.2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34</v>
      </c>
      <c r="AA8" s="29" t="s">
        <v>27</v>
      </c>
      <c r="AB8" s="118"/>
    </row>
    <row r="9" spans="1:28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</row>
    <row r="10" spans="1:28" ht="27.6" hidden="1" x14ac:dyDescent="0.3">
      <c r="A10" s="24" t="s">
        <v>35</v>
      </c>
      <c r="B10" s="24" t="s">
        <v>36</v>
      </c>
      <c r="C10" s="24" t="s">
        <v>37</v>
      </c>
      <c r="D10" s="23"/>
      <c r="E10" s="20" t="s">
        <v>38</v>
      </c>
      <c r="F10" s="21" t="s">
        <v>39</v>
      </c>
      <c r="G10" s="22" t="s">
        <v>40</v>
      </c>
      <c r="H10" s="22">
        <v>1</v>
      </c>
      <c r="I10" s="3" t="s">
        <v>41</v>
      </c>
      <c r="J10" s="9"/>
      <c r="K10" s="9"/>
      <c r="L10" s="10">
        <f>+J10-K10</f>
        <v>0</v>
      </c>
      <c r="M10" s="10"/>
      <c r="N10" s="10"/>
      <c r="O10" s="10"/>
      <c r="P10" s="38">
        <f>IFERROR(IF(7&lt;&gt;0, K10*100/J10, IF(J10=K10, K10*100/J10, 0)), 0)</f>
        <v>0</v>
      </c>
      <c r="Q10" s="11"/>
      <c r="R10" s="11"/>
      <c r="S10" s="12">
        <f>+Q10-R10</f>
        <v>0</v>
      </c>
      <c r="T10" s="28">
        <f>IFERROR(IF(S10&lt;&gt;0, Q10*100/R10, IF(Q10=R10, Q10*100/R10, 0)), 0)</f>
        <v>0</v>
      </c>
      <c r="U10" s="9"/>
      <c r="V10" s="9"/>
      <c r="W10" s="9"/>
      <c r="X10" s="9"/>
      <c r="Y10" s="9"/>
      <c r="Z10" s="10">
        <f>SUM(U10:Y10)</f>
        <v>0</v>
      </c>
      <c r="AA10" s="30">
        <f>+Z10*100/50</f>
        <v>0</v>
      </c>
      <c r="AB10" s="32">
        <f t="shared" ref="AB10:AB73" si="0">+(T10+P10+AA10)/3</f>
        <v>0</v>
      </c>
    </row>
    <row r="11" spans="1:28" ht="27.6" hidden="1" x14ac:dyDescent="0.3">
      <c r="A11" s="24" t="s">
        <v>35</v>
      </c>
      <c r="B11" s="24" t="s">
        <v>36</v>
      </c>
      <c r="C11" s="24" t="s">
        <v>42</v>
      </c>
      <c r="D11" s="23"/>
      <c r="E11" s="20" t="s">
        <v>38</v>
      </c>
      <c r="F11" s="21" t="s">
        <v>39</v>
      </c>
      <c r="G11" s="22" t="s">
        <v>40</v>
      </c>
      <c r="H11" s="22">
        <v>1</v>
      </c>
      <c r="I11" s="3" t="s">
        <v>43</v>
      </c>
      <c r="J11" s="9"/>
      <c r="K11" s="9"/>
      <c r="L11" s="10">
        <f t="shared" ref="L11:L74" si="1">+J11-K11</f>
        <v>0</v>
      </c>
      <c r="M11" s="10"/>
      <c r="N11" s="10"/>
      <c r="O11" s="10"/>
      <c r="P11" s="38">
        <f t="shared" ref="P11:P74" si="2">IFERROR(IF(7&lt;&gt;0, K11*100/J11, IF(J11=K11, K11*100/J11, 0)), 0)</f>
        <v>0</v>
      </c>
      <c r="Q11" s="11"/>
      <c r="R11" s="11"/>
      <c r="S11" s="12">
        <f t="shared" ref="S11:S74" si="3">+Q11-R11</f>
        <v>0</v>
      </c>
      <c r="T11" s="28">
        <f t="shared" ref="T11:T74" si="4">IFERROR(IF(S11&lt;&gt;0, Q11*100/R11, IF(Q11=R11, Q11*100/R11, 0)), 0)</f>
        <v>0</v>
      </c>
      <c r="U11" s="9"/>
      <c r="V11" s="9"/>
      <c r="W11" s="9"/>
      <c r="X11" s="9"/>
      <c r="Y11" s="9"/>
      <c r="Z11" s="10">
        <f t="shared" ref="Z11:Z74" si="5">SUM(U11:Y11)</f>
        <v>0</v>
      </c>
      <c r="AA11" s="30">
        <f t="shared" ref="AA11:AA74" si="6">+Z11*100/50</f>
        <v>0</v>
      </c>
      <c r="AB11" s="32">
        <f t="shared" si="0"/>
        <v>0</v>
      </c>
    </row>
    <row r="12" spans="1:28" ht="27.6" hidden="1" x14ac:dyDescent="0.3">
      <c r="A12" s="24" t="s">
        <v>35</v>
      </c>
      <c r="B12" s="24" t="s">
        <v>36</v>
      </c>
      <c r="C12" s="24" t="s">
        <v>44</v>
      </c>
      <c r="D12" s="23"/>
      <c r="E12" s="20" t="s">
        <v>38</v>
      </c>
      <c r="F12" s="21" t="s">
        <v>39</v>
      </c>
      <c r="G12" s="22" t="s">
        <v>40</v>
      </c>
      <c r="H12" s="22">
        <v>1</v>
      </c>
      <c r="I12" s="3" t="s">
        <v>45</v>
      </c>
      <c r="J12" s="9"/>
      <c r="K12" s="9"/>
      <c r="L12" s="10">
        <f t="shared" si="1"/>
        <v>0</v>
      </c>
      <c r="M12" s="10"/>
      <c r="N12" s="10"/>
      <c r="O12" s="10"/>
      <c r="P12" s="38">
        <f t="shared" si="2"/>
        <v>0</v>
      </c>
      <c r="Q12" s="11"/>
      <c r="R12" s="11"/>
      <c r="S12" s="12">
        <f t="shared" si="3"/>
        <v>0</v>
      </c>
      <c r="T12" s="28">
        <f t="shared" si="4"/>
        <v>0</v>
      </c>
      <c r="U12" s="9"/>
      <c r="V12" s="9"/>
      <c r="W12" s="9"/>
      <c r="X12" s="9"/>
      <c r="Y12" s="9"/>
      <c r="Z12" s="10">
        <f t="shared" si="5"/>
        <v>0</v>
      </c>
      <c r="AA12" s="30">
        <f t="shared" si="6"/>
        <v>0</v>
      </c>
      <c r="AB12" s="32">
        <f t="shared" si="0"/>
        <v>0</v>
      </c>
    </row>
    <row r="13" spans="1:28" ht="27.6" x14ac:dyDescent="0.3">
      <c r="A13" s="24" t="s">
        <v>35</v>
      </c>
      <c r="B13" s="24" t="s">
        <v>36</v>
      </c>
      <c r="C13" s="24" t="s">
        <v>46</v>
      </c>
      <c r="D13" s="23"/>
      <c r="E13" s="20" t="s">
        <v>38</v>
      </c>
      <c r="F13" s="21" t="s">
        <v>39</v>
      </c>
      <c r="G13" s="22" t="s">
        <v>40</v>
      </c>
      <c r="H13" s="22">
        <v>1</v>
      </c>
      <c r="I13" s="3" t="s">
        <v>47</v>
      </c>
      <c r="J13" s="9">
        <v>500</v>
      </c>
      <c r="K13" s="9">
        <v>410</v>
      </c>
      <c r="L13" s="10">
        <f t="shared" si="1"/>
        <v>90</v>
      </c>
      <c r="M13" s="10"/>
      <c r="N13" s="10"/>
      <c r="O13" s="10"/>
      <c r="P13" s="38">
        <f t="shared" si="2"/>
        <v>82</v>
      </c>
      <c r="Q13" s="11">
        <v>15</v>
      </c>
      <c r="R13" s="11">
        <v>22</v>
      </c>
      <c r="S13" s="12">
        <f t="shared" si="3"/>
        <v>-7</v>
      </c>
      <c r="T13" s="28">
        <f t="shared" si="4"/>
        <v>68.181818181818187</v>
      </c>
      <c r="U13" s="9">
        <v>9</v>
      </c>
      <c r="V13" s="9">
        <v>7</v>
      </c>
      <c r="W13" s="9">
        <v>10</v>
      </c>
      <c r="X13" s="9">
        <v>8</v>
      </c>
      <c r="Y13" s="9">
        <v>10</v>
      </c>
      <c r="Z13" s="10">
        <f t="shared" si="5"/>
        <v>44</v>
      </c>
      <c r="AA13" s="30">
        <f t="shared" si="6"/>
        <v>88</v>
      </c>
      <c r="AB13" s="32">
        <f t="shared" si="0"/>
        <v>79.393939393939391</v>
      </c>
    </row>
    <row r="14" spans="1:28" ht="27.6" hidden="1" x14ac:dyDescent="0.3">
      <c r="A14" s="24" t="s">
        <v>35</v>
      </c>
      <c r="B14" s="24" t="s">
        <v>36</v>
      </c>
      <c r="C14" s="24" t="s">
        <v>48</v>
      </c>
      <c r="D14" s="23"/>
      <c r="E14" s="20"/>
      <c r="F14" s="21"/>
      <c r="G14" s="22"/>
      <c r="H14" s="22"/>
      <c r="I14" s="3" t="s">
        <v>49</v>
      </c>
      <c r="J14" s="9"/>
      <c r="K14" s="9"/>
      <c r="L14" s="10">
        <f t="shared" si="1"/>
        <v>0</v>
      </c>
      <c r="M14" s="10"/>
      <c r="N14" s="10"/>
      <c r="O14" s="10"/>
      <c r="P14" s="38">
        <f t="shared" si="2"/>
        <v>0</v>
      </c>
      <c r="Q14" s="11"/>
      <c r="R14" s="11"/>
      <c r="S14" s="12">
        <f t="shared" si="3"/>
        <v>0</v>
      </c>
      <c r="T14" s="28">
        <f t="shared" si="4"/>
        <v>0</v>
      </c>
      <c r="U14" s="9"/>
      <c r="V14" s="9"/>
      <c r="W14" s="9"/>
      <c r="X14" s="9"/>
      <c r="Y14" s="9"/>
      <c r="Z14" s="10">
        <f t="shared" si="5"/>
        <v>0</v>
      </c>
      <c r="AA14" s="30">
        <f t="shared" si="6"/>
        <v>0</v>
      </c>
      <c r="AB14" s="32">
        <f t="shared" si="0"/>
        <v>0</v>
      </c>
    </row>
    <row r="15" spans="1:28" ht="27.6" x14ac:dyDescent="0.3">
      <c r="A15" s="24" t="s">
        <v>35</v>
      </c>
      <c r="B15" s="24" t="s">
        <v>36</v>
      </c>
      <c r="C15" s="24" t="s">
        <v>50</v>
      </c>
      <c r="D15" s="23"/>
      <c r="E15" s="20"/>
      <c r="F15" s="21"/>
      <c r="G15" s="22"/>
      <c r="H15" s="22"/>
      <c r="I15" s="3" t="s">
        <v>51</v>
      </c>
      <c r="J15" s="9"/>
      <c r="K15" s="9"/>
      <c r="L15" s="10">
        <f t="shared" si="1"/>
        <v>0</v>
      </c>
      <c r="M15" s="10"/>
      <c r="N15" s="10"/>
      <c r="O15" s="10"/>
      <c r="P15" s="38">
        <f t="shared" si="2"/>
        <v>0</v>
      </c>
      <c r="Q15" s="11"/>
      <c r="R15" s="11"/>
      <c r="S15" s="12">
        <f t="shared" si="3"/>
        <v>0</v>
      </c>
      <c r="T15" s="28">
        <f t="shared" si="4"/>
        <v>0</v>
      </c>
      <c r="U15" s="9"/>
      <c r="V15" s="9"/>
      <c r="W15" s="9"/>
      <c r="X15" s="9"/>
      <c r="Y15" s="9"/>
      <c r="Z15" s="10">
        <f t="shared" si="5"/>
        <v>0</v>
      </c>
      <c r="AA15" s="30">
        <f t="shared" si="6"/>
        <v>0</v>
      </c>
      <c r="AB15" s="32">
        <f t="shared" si="0"/>
        <v>0</v>
      </c>
    </row>
    <row r="16" spans="1:28" ht="27.6" hidden="1" x14ac:dyDescent="0.3">
      <c r="A16" s="24" t="s">
        <v>35</v>
      </c>
      <c r="B16" s="24" t="s">
        <v>36</v>
      </c>
      <c r="C16" s="24" t="s">
        <v>37</v>
      </c>
      <c r="D16" s="23"/>
      <c r="E16" s="20"/>
      <c r="F16" s="21"/>
      <c r="G16" s="22"/>
      <c r="H16" s="22"/>
      <c r="I16" s="3" t="s">
        <v>52</v>
      </c>
      <c r="J16" s="9"/>
      <c r="K16" s="9"/>
      <c r="L16" s="10">
        <f t="shared" si="1"/>
        <v>0</v>
      </c>
      <c r="M16" s="10"/>
      <c r="N16" s="10"/>
      <c r="O16" s="10"/>
      <c r="P16" s="38">
        <f t="shared" si="2"/>
        <v>0</v>
      </c>
      <c r="Q16" s="11"/>
      <c r="R16" s="11"/>
      <c r="S16" s="12">
        <f t="shared" si="3"/>
        <v>0</v>
      </c>
      <c r="T16" s="28">
        <f t="shared" si="4"/>
        <v>0</v>
      </c>
      <c r="U16" s="9"/>
      <c r="V16" s="9"/>
      <c r="W16" s="9"/>
      <c r="X16" s="9"/>
      <c r="Y16" s="9"/>
      <c r="Z16" s="10">
        <f t="shared" si="5"/>
        <v>0</v>
      </c>
      <c r="AA16" s="30">
        <f t="shared" si="6"/>
        <v>0</v>
      </c>
      <c r="AB16" s="32">
        <f t="shared" si="0"/>
        <v>0</v>
      </c>
    </row>
    <row r="17" spans="1:28" ht="27.6" hidden="1" x14ac:dyDescent="0.3">
      <c r="A17" s="24" t="s">
        <v>35</v>
      </c>
      <c r="B17" s="24" t="s">
        <v>36</v>
      </c>
      <c r="C17" s="24" t="s">
        <v>42</v>
      </c>
      <c r="D17" s="23"/>
      <c r="E17" s="20"/>
      <c r="F17" s="21"/>
      <c r="G17" s="22"/>
      <c r="H17" s="22"/>
      <c r="I17" s="3" t="s">
        <v>53</v>
      </c>
      <c r="J17" s="9"/>
      <c r="K17" s="9"/>
      <c r="L17" s="10">
        <f t="shared" si="1"/>
        <v>0</v>
      </c>
      <c r="M17" s="10"/>
      <c r="N17" s="10"/>
      <c r="O17" s="10"/>
      <c r="P17" s="38">
        <f t="shared" si="2"/>
        <v>0</v>
      </c>
      <c r="Q17" s="11"/>
      <c r="R17" s="11"/>
      <c r="S17" s="12">
        <f t="shared" si="3"/>
        <v>0</v>
      </c>
      <c r="T17" s="28">
        <f t="shared" si="4"/>
        <v>0</v>
      </c>
      <c r="U17" s="9"/>
      <c r="V17" s="9"/>
      <c r="W17" s="9"/>
      <c r="X17" s="9"/>
      <c r="Y17" s="9"/>
      <c r="Z17" s="10">
        <f t="shared" si="5"/>
        <v>0</v>
      </c>
      <c r="AA17" s="30">
        <f t="shared" si="6"/>
        <v>0</v>
      </c>
      <c r="AB17" s="32">
        <f t="shared" si="0"/>
        <v>0</v>
      </c>
    </row>
    <row r="18" spans="1:28" ht="27.6" hidden="1" x14ac:dyDescent="0.3">
      <c r="A18" s="24" t="s">
        <v>35</v>
      </c>
      <c r="B18" s="24" t="s">
        <v>36</v>
      </c>
      <c r="C18" s="24" t="s">
        <v>44</v>
      </c>
      <c r="D18" s="23"/>
      <c r="E18" s="20"/>
      <c r="F18" s="21"/>
      <c r="G18" s="22"/>
      <c r="H18" s="22"/>
      <c r="I18" s="3" t="s">
        <v>54</v>
      </c>
      <c r="J18" s="9"/>
      <c r="K18" s="9"/>
      <c r="L18" s="10">
        <f t="shared" si="1"/>
        <v>0</v>
      </c>
      <c r="M18" s="10"/>
      <c r="N18" s="10"/>
      <c r="O18" s="10"/>
      <c r="P18" s="38">
        <f t="shared" si="2"/>
        <v>0</v>
      </c>
      <c r="Q18" s="11"/>
      <c r="R18" s="11"/>
      <c r="S18" s="12">
        <f t="shared" si="3"/>
        <v>0</v>
      </c>
      <c r="T18" s="28">
        <f t="shared" si="4"/>
        <v>0</v>
      </c>
      <c r="U18" s="9"/>
      <c r="V18" s="9"/>
      <c r="W18" s="9"/>
      <c r="X18" s="9"/>
      <c r="Y18" s="9"/>
      <c r="Z18" s="10">
        <f t="shared" si="5"/>
        <v>0</v>
      </c>
      <c r="AA18" s="30">
        <f t="shared" si="6"/>
        <v>0</v>
      </c>
      <c r="AB18" s="32">
        <f t="shared" si="0"/>
        <v>0</v>
      </c>
    </row>
    <row r="19" spans="1:28" ht="27.6" x14ac:dyDescent="0.3">
      <c r="A19" s="24" t="s">
        <v>35</v>
      </c>
      <c r="B19" s="24" t="s">
        <v>36</v>
      </c>
      <c r="C19" s="24" t="s">
        <v>46</v>
      </c>
      <c r="D19" s="23"/>
      <c r="E19" s="20"/>
      <c r="F19" s="21"/>
      <c r="G19" s="22"/>
      <c r="H19" s="22"/>
      <c r="I19" s="3" t="s">
        <v>55</v>
      </c>
      <c r="J19" s="9"/>
      <c r="K19" s="9"/>
      <c r="L19" s="10">
        <f t="shared" si="1"/>
        <v>0</v>
      </c>
      <c r="M19" s="10"/>
      <c r="N19" s="10"/>
      <c r="O19" s="10"/>
      <c r="P19" s="38">
        <f t="shared" si="2"/>
        <v>0</v>
      </c>
      <c r="Q19" s="11"/>
      <c r="R19" s="11"/>
      <c r="S19" s="12">
        <f t="shared" si="3"/>
        <v>0</v>
      </c>
      <c r="T19" s="28">
        <f t="shared" si="4"/>
        <v>0</v>
      </c>
      <c r="U19" s="9"/>
      <c r="V19" s="9"/>
      <c r="W19" s="9"/>
      <c r="X19" s="9"/>
      <c r="Y19" s="9"/>
      <c r="Z19" s="10">
        <f t="shared" si="5"/>
        <v>0</v>
      </c>
      <c r="AA19" s="30">
        <f t="shared" si="6"/>
        <v>0</v>
      </c>
      <c r="AB19" s="32">
        <f t="shared" si="0"/>
        <v>0</v>
      </c>
    </row>
    <row r="20" spans="1:28" ht="27.6" hidden="1" x14ac:dyDescent="0.3">
      <c r="A20" s="24" t="s">
        <v>35</v>
      </c>
      <c r="B20" s="24" t="s">
        <v>36</v>
      </c>
      <c r="C20" s="24" t="s">
        <v>48</v>
      </c>
      <c r="D20" s="23"/>
      <c r="E20" s="20"/>
      <c r="F20" s="21"/>
      <c r="G20" s="22"/>
      <c r="H20" s="22"/>
      <c r="I20" s="3" t="s">
        <v>56</v>
      </c>
      <c r="J20" s="9"/>
      <c r="K20" s="9"/>
      <c r="L20" s="10">
        <f t="shared" si="1"/>
        <v>0</v>
      </c>
      <c r="M20" s="10"/>
      <c r="N20" s="10"/>
      <c r="O20" s="10"/>
      <c r="P20" s="38">
        <f t="shared" si="2"/>
        <v>0</v>
      </c>
      <c r="Q20" s="11"/>
      <c r="R20" s="11"/>
      <c r="S20" s="12">
        <f t="shared" si="3"/>
        <v>0</v>
      </c>
      <c r="T20" s="28">
        <f t="shared" si="4"/>
        <v>0</v>
      </c>
      <c r="U20" s="9"/>
      <c r="V20" s="9"/>
      <c r="W20" s="9"/>
      <c r="X20" s="9"/>
      <c r="Y20" s="9"/>
      <c r="Z20" s="10">
        <f t="shared" si="5"/>
        <v>0</v>
      </c>
      <c r="AA20" s="30">
        <f t="shared" si="6"/>
        <v>0</v>
      </c>
      <c r="AB20" s="32">
        <f t="shared" si="0"/>
        <v>0</v>
      </c>
    </row>
    <row r="21" spans="1:28" ht="27.6" x14ac:dyDescent="0.3">
      <c r="A21" s="24" t="s">
        <v>35</v>
      </c>
      <c r="B21" s="24" t="s">
        <v>36</v>
      </c>
      <c r="C21" s="24" t="s">
        <v>50</v>
      </c>
      <c r="D21" s="23"/>
      <c r="E21" s="20"/>
      <c r="F21" s="21"/>
      <c r="G21" s="22"/>
      <c r="H21" s="22"/>
      <c r="I21" s="3" t="s">
        <v>57</v>
      </c>
      <c r="J21" s="9"/>
      <c r="K21" s="9"/>
      <c r="L21" s="10">
        <f t="shared" si="1"/>
        <v>0</v>
      </c>
      <c r="M21" s="10"/>
      <c r="N21" s="10"/>
      <c r="O21" s="10"/>
      <c r="P21" s="38">
        <f t="shared" si="2"/>
        <v>0</v>
      </c>
      <c r="Q21" s="11"/>
      <c r="R21" s="11"/>
      <c r="S21" s="12">
        <f t="shared" si="3"/>
        <v>0</v>
      </c>
      <c r="T21" s="28">
        <f t="shared" si="4"/>
        <v>0</v>
      </c>
      <c r="U21" s="9"/>
      <c r="V21" s="9"/>
      <c r="W21" s="9"/>
      <c r="X21" s="9"/>
      <c r="Y21" s="9"/>
      <c r="Z21" s="10">
        <f t="shared" si="5"/>
        <v>0</v>
      </c>
      <c r="AA21" s="30">
        <f t="shared" si="6"/>
        <v>0</v>
      </c>
      <c r="AB21" s="32">
        <f t="shared" si="0"/>
        <v>0</v>
      </c>
    </row>
    <row r="22" spans="1:28" ht="27.6" hidden="1" x14ac:dyDescent="0.3">
      <c r="A22" s="24" t="s">
        <v>35</v>
      </c>
      <c r="B22" s="24" t="s">
        <v>36</v>
      </c>
      <c r="C22" s="24" t="s">
        <v>37</v>
      </c>
      <c r="D22" s="23"/>
      <c r="E22" s="20"/>
      <c r="F22" s="21"/>
      <c r="G22" s="22"/>
      <c r="H22" s="22"/>
      <c r="I22" s="3" t="s">
        <v>58</v>
      </c>
      <c r="J22" s="9"/>
      <c r="K22" s="9"/>
      <c r="L22" s="10">
        <f t="shared" si="1"/>
        <v>0</v>
      </c>
      <c r="M22" s="10"/>
      <c r="N22" s="10"/>
      <c r="O22" s="10"/>
      <c r="P22" s="38">
        <f t="shared" si="2"/>
        <v>0</v>
      </c>
      <c r="Q22" s="11"/>
      <c r="R22" s="11"/>
      <c r="S22" s="12">
        <f t="shared" si="3"/>
        <v>0</v>
      </c>
      <c r="T22" s="28">
        <f t="shared" si="4"/>
        <v>0</v>
      </c>
      <c r="U22" s="9"/>
      <c r="V22" s="9"/>
      <c r="W22" s="9"/>
      <c r="X22" s="9"/>
      <c r="Y22" s="9"/>
      <c r="Z22" s="10">
        <f t="shared" si="5"/>
        <v>0</v>
      </c>
      <c r="AA22" s="30">
        <f t="shared" si="6"/>
        <v>0</v>
      </c>
      <c r="AB22" s="32">
        <f t="shared" si="0"/>
        <v>0</v>
      </c>
    </row>
    <row r="23" spans="1:28" ht="27.6" hidden="1" x14ac:dyDescent="0.3">
      <c r="A23" s="24" t="s">
        <v>35</v>
      </c>
      <c r="B23" s="24" t="s">
        <v>36</v>
      </c>
      <c r="C23" s="24" t="s">
        <v>42</v>
      </c>
      <c r="D23" s="23"/>
      <c r="E23" s="20"/>
      <c r="F23" s="21"/>
      <c r="G23" s="22"/>
      <c r="H23" s="22"/>
      <c r="I23" s="3" t="s">
        <v>59</v>
      </c>
      <c r="J23" s="9"/>
      <c r="K23" s="9"/>
      <c r="L23" s="10">
        <f t="shared" si="1"/>
        <v>0</v>
      </c>
      <c r="M23" s="10"/>
      <c r="N23" s="10"/>
      <c r="O23" s="10"/>
      <c r="P23" s="38">
        <f t="shared" si="2"/>
        <v>0</v>
      </c>
      <c r="Q23" s="11"/>
      <c r="R23" s="11"/>
      <c r="S23" s="12">
        <f t="shared" si="3"/>
        <v>0</v>
      </c>
      <c r="T23" s="28">
        <f t="shared" si="4"/>
        <v>0</v>
      </c>
      <c r="U23" s="9"/>
      <c r="V23" s="9"/>
      <c r="W23" s="9"/>
      <c r="X23" s="9"/>
      <c r="Y23" s="9"/>
      <c r="Z23" s="10">
        <f t="shared" si="5"/>
        <v>0</v>
      </c>
      <c r="AA23" s="30">
        <f t="shared" si="6"/>
        <v>0</v>
      </c>
      <c r="AB23" s="32">
        <f t="shared" si="0"/>
        <v>0</v>
      </c>
    </row>
    <row r="24" spans="1:28" ht="27.6" hidden="1" x14ac:dyDescent="0.3">
      <c r="A24" s="24" t="s">
        <v>35</v>
      </c>
      <c r="B24" s="24" t="s">
        <v>36</v>
      </c>
      <c r="C24" s="24" t="s">
        <v>44</v>
      </c>
      <c r="D24" s="23"/>
      <c r="E24" s="20"/>
      <c r="F24" s="21"/>
      <c r="G24" s="22"/>
      <c r="H24" s="22"/>
      <c r="I24" s="3" t="s">
        <v>60</v>
      </c>
      <c r="J24" s="9"/>
      <c r="K24" s="9"/>
      <c r="L24" s="10">
        <f t="shared" si="1"/>
        <v>0</v>
      </c>
      <c r="M24" s="10"/>
      <c r="N24" s="10"/>
      <c r="O24" s="10"/>
      <c r="P24" s="38">
        <f t="shared" si="2"/>
        <v>0</v>
      </c>
      <c r="Q24" s="11"/>
      <c r="R24" s="11"/>
      <c r="S24" s="12">
        <f t="shared" si="3"/>
        <v>0</v>
      </c>
      <c r="T24" s="28">
        <f t="shared" si="4"/>
        <v>0</v>
      </c>
      <c r="U24" s="9"/>
      <c r="V24" s="9"/>
      <c r="W24" s="9"/>
      <c r="X24" s="9"/>
      <c r="Y24" s="9"/>
      <c r="Z24" s="10">
        <f t="shared" si="5"/>
        <v>0</v>
      </c>
      <c r="AA24" s="30">
        <f t="shared" si="6"/>
        <v>0</v>
      </c>
      <c r="AB24" s="32">
        <f t="shared" si="0"/>
        <v>0</v>
      </c>
    </row>
    <row r="25" spans="1:28" ht="27.6" hidden="1" x14ac:dyDescent="0.3">
      <c r="A25" s="24" t="s">
        <v>35</v>
      </c>
      <c r="B25" s="24"/>
      <c r="C25" s="24" t="s">
        <v>37</v>
      </c>
      <c r="D25" s="23"/>
      <c r="E25" s="20"/>
      <c r="F25" s="21"/>
      <c r="G25" s="22"/>
      <c r="H25" s="22"/>
      <c r="I25" s="3" t="s">
        <v>61</v>
      </c>
      <c r="J25" s="9"/>
      <c r="K25" s="9"/>
      <c r="L25" s="10">
        <f t="shared" si="1"/>
        <v>0</v>
      </c>
      <c r="M25" s="10"/>
      <c r="N25" s="10"/>
      <c r="O25" s="10"/>
      <c r="P25" s="38">
        <f t="shared" si="2"/>
        <v>0</v>
      </c>
      <c r="Q25" s="11"/>
      <c r="R25" s="11"/>
      <c r="S25" s="12">
        <f t="shared" si="3"/>
        <v>0</v>
      </c>
      <c r="T25" s="28">
        <f t="shared" si="4"/>
        <v>0</v>
      </c>
      <c r="U25" s="9"/>
      <c r="V25" s="9"/>
      <c r="W25" s="9"/>
      <c r="X25" s="9"/>
      <c r="Y25" s="9"/>
      <c r="Z25" s="10">
        <f t="shared" si="5"/>
        <v>0</v>
      </c>
      <c r="AA25" s="30">
        <f t="shared" si="6"/>
        <v>0</v>
      </c>
      <c r="AB25" s="32">
        <f t="shared" si="0"/>
        <v>0</v>
      </c>
    </row>
    <row r="26" spans="1:28" ht="27.6" hidden="1" x14ac:dyDescent="0.3">
      <c r="A26" s="24" t="s">
        <v>35</v>
      </c>
      <c r="B26" s="24"/>
      <c r="C26" s="24" t="s">
        <v>42</v>
      </c>
      <c r="D26" s="23"/>
      <c r="E26" s="20"/>
      <c r="F26" s="21"/>
      <c r="G26" s="22"/>
      <c r="H26" s="22"/>
      <c r="I26" s="3" t="s">
        <v>62</v>
      </c>
      <c r="J26" s="9"/>
      <c r="K26" s="9"/>
      <c r="L26" s="10">
        <f t="shared" si="1"/>
        <v>0</v>
      </c>
      <c r="M26" s="10"/>
      <c r="N26" s="10"/>
      <c r="O26" s="10"/>
      <c r="P26" s="38">
        <f t="shared" si="2"/>
        <v>0</v>
      </c>
      <c r="Q26" s="11"/>
      <c r="R26" s="11"/>
      <c r="S26" s="12">
        <f t="shared" si="3"/>
        <v>0</v>
      </c>
      <c r="T26" s="28">
        <f t="shared" si="4"/>
        <v>0</v>
      </c>
      <c r="U26" s="9"/>
      <c r="V26" s="9"/>
      <c r="W26" s="9"/>
      <c r="X26" s="9"/>
      <c r="Y26" s="9"/>
      <c r="Z26" s="10">
        <f t="shared" si="5"/>
        <v>0</v>
      </c>
      <c r="AA26" s="30">
        <f t="shared" si="6"/>
        <v>0</v>
      </c>
      <c r="AB26" s="32">
        <f t="shared" si="0"/>
        <v>0</v>
      </c>
    </row>
    <row r="27" spans="1:28" ht="27.6" hidden="1" x14ac:dyDescent="0.3">
      <c r="A27" s="24" t="s">
        <v>35</v>
      </c>
      <c r="B27" s="24"/>
      <c r="C27" s="24" t="s">
        <v>44</v>
      </c>
      <c r="D27" s="23"/>
      <c r="E27" s="20"/>
      <c r="F27" s="21"/>
      <c r="G27" s="22"/>
      <c r="H27" s="22"/>
      <c r="I27" s="3" t="s">
        <v>63</v>
      </c>
      <c r="J27" s="9"/>
      <c r="K27" s="9"/>
      <c r="L27" s="10">
        <f t="shared" si="1"/>
        <v>0</v>
      </c>
      <c r="M27" s="10"/>
      <c r="N27" s="10"/>
      <c r="O27" s="10"/>
      <c r="P27" s="38">
        <f t="shared" si="2"/>
        <v>0</v>
      </c>
      <c r="Q27" s="11"/>
      <c r="R27" s="11"/>
      <c r="S27" s="12">
        <f t="shared" si="3"/>
        <v>0</v>
      </c>
      <c r="T27" s="28">
        <f t="shared" si="4"/>
        <v>0</v>
      </c>
      <c r="U27" s="9"/>
      <c r="V27" s="9"/>
      <c r="W27" s="9"/>
      <c r="X27" s="9"/>
      <c r="Y27" s="9"/>
      <c r="Z27" s="10">
        <f t="shared" si="5"/>
        <v>0</v>
      </c>
      <c r="AA27" s="30">
        <f t="shared" si="6"/>
        <v>0</v>
      </c>
      <c r="AB27" s="32">
        <f t="shared" si="0"/>
        <v>0</v>
      </c>
    </row>
    <row r="28" spans="1:28" ht="41.4" hidden="1" x14ac:dyDescent="0.3">
      <c r="A28" s="24" t="s">
        <v>64</v>
      </c>
      <c r="B28" s="24"/>
      <c r="C28" s="24" t="s">
        <v>65</v>
      </c>
      <c r="D28" s="23"/>
      <c r="E28" s="20"/>
      <c r="F28" s="21"/>
      <c r="G28" s="22"/>
      <c r="H28" s="22"/>
      <c r="I28" s="3" t="s">
        <v>66</v>
      </c>
      <c r="J28" s="9"/>
      <c r="K28" s="9"/>
      <c r="L28" s="10">
        <f t="shared" si="1"/>
        <v>0</v>
      </c>
      <c r="M28" s="10"/>
      <c r="N28" s="10"/>
      <c r="O28" s="10"/>
      <c r="P28" s="38">
        <f t="shared" si="2"/>
        <v>0</v>
      </c>
      <c r="Q28" s="11"/>
      <c r="R28" s="11"/>
      <c r="S28" s="12">
        <f t="shared" si="3"/>
        <v>0</v>
      </c>
      <c r="T28" s="28">
        <f t="shared" si="4"/>
        <v>0</v>
      </c>
      <c r="U28" s="9"/>
      <c r="V28" s="9"/>
      <c r="W28" s="9"/>
      <c r="X28" s="9"/>
      <c r="Y28" s="9"/>
      <c r="Z28" s="10">
        <f t="shared" si="5"/>
        <v>0</v>
      </c>
      <c r="AA28" s="30">
        <f t="shared" si="6"/>
        <v>0</v>
      </c>
      <c r="AB28" s="32">
        <f t="shared" si="0"/>
        <v>0</v>
      </c>
    </row>
    <row r="29" spans="1:28" ht="27.6" hidden="1" x14ac:dyDescent="0.3">
      <c r="A29" s="24" t="s">
        <v>35</v>
      </c>
      <c r="B29" s="24"/>
      <c r="C29" s="24" t="s">
        <v>37</v>
      </c>
      <c r="D29" s="23"/>
      <c r="E29" s="20"/>
      <c r="F29" s="21"/>
      <c r="G29" s="22"/>
      <c r="H29" s="22"/>
      <c r="I29" s="3" t="s">
        <v>67</v>
      </c>
      <c r="J29" s="9"/>
      <c r="K29" s="9"/>
      <c r="L29" s="10">
        <f t="shared" si="1"/>
        <v>0</v>
      </c>
      <c r="M29" s="10"/>
      <c r="N29" s="10"/>
      <c r="O29" s="10"/>
      <c r="P29" s="38">
        <f t="shared" si="2"/>
        <v>0</v>
      </c>
      <c r="Q29" s="11"/>
      <c r="R29" s="11"/>
      <c r="S29" s="12">
        <f t="shared" si="3"/>
        <v>0</v>
      </c>
      <c r="T29" s="28">
        <f t="shared" si="4"/>
        <v>0</v>
      </c>
      <c r="U29" s="9"/>
      <c r="V29" s="9"/>
      <c r="W29" s="9"/>
      <c r="X29" s="9"/>
      <c r="Y29" s="9"/>
      <c r="Z29" s="10">
        <f t="shared" si="5"/>
        <v>0</v>
      </c>
      <c r="AA29" s="30">
        <f t="shared" si="6"/>
        <v>0</v>
      </c>
      <c r="AB29" s="32">
        <f t="shared" si="0"/>
        <v>0</v>
      </c>
    </row>
    <row r="30" spans="1:28" ht="27.6" hidden="1" x14ac:dyDescent="0.3">
      <c r="A30" s="24" t="s">
        <v>64</v>
      </c>
      <c r="B30" s="24"/>
      <c r="C30" s="24" t="s">
        <v>65</v>
      </c>
      <c r="D30" s="23"/>
      <c r="E30" s="20"/>
      <c r="F30" s="21"/>
      <c r="G30" s="22"/>
      <c r="H30" s="22"/>
      <c r="I30" s="3" t="s">
        <v>68</v>
      </c>
      <c r="J30" s="9"/>
      <c r="K30" s="9"/>
      <c r="L30" s="10">
        <f t="shared" si="1"/>
        <v>0</v>
      </c>
      <c r="M30" s="10"/>
      <c r="N30" s="10"/>
      <c r="O30" s="10"/>
      <c r="P30" s="38">
        <f t="shared" si="2"/>
        <v>0</v>
      </c>
      <c r="Q30" s="11"/>
      <c r="R30" s="11"/>
      <c r="S30" s="12">
        <f t="shared" si="3"/>
        <v>0</v>
      </c>
      <c r="T30" s="28">
        <f t="shared" si="4"/>
        <v>0</v>
      </c>
      <c r="U30" s="9"/>
      <c r="V30" s="9"/>
      <c r="W30" s="9"/>
      <c r="X30" s="9"/>
      <c r="Y30" s="9"/>
      <c r="Z30" s="10">
        <f t="shared" si="5"/>
        <v>0</v>
      </c>
      <c r="AA30" s="30">
        <f t="shared" si="6"/>
        <v>0</v>
      </c>
      <c r="AB30" s="32">
        <f t="shared" si="0"/>
        <v>0</v>
      </c>
    </row>
    <row r="31" spans="1:28" ht="27.6" hidden="1" x14ac:dyDescent="0.3">
      <c r="A31" s="24" t="s">
        <v>35</v>
      </c>
      <c r="B31" s="24"/>
      <c r="C31" s="24" t="s">
        <v>42</v>
      </c>
      <c r="D31" s="23"/>
      <c r="E31" s="20"/>
      <c r="F31" s="21"/>
      <c r="G31" s="22"/>
      <c r="H31" s="22"/>
      <c r="I31" s="3" t="s">
        <v>69</v>
      </c>
      <c r="J31" s="9"/>
      <c r="K31" s="9"/>
      <c r="L31" s="10">
        <f t="shared" si="1"/>
        <v>0</v>
      </c>
      <c r="M31" s="10"/>
      <c r="N31" s="10"/>
      <c r="O31" s="10"/>
      <c r="P31" s="38">
        <f t="shared" si="2"/>
        <v>0</v>
      </c>
      <c r="Q31" s="11"/>
      <c r="R31" s="11"/>
      <c r="S31" s="12">
        <f t="shared" si="3"/>
        <v>0</v>
      </c>
      <c r="T31" s="28">
        <f t="shared" si="4"/>
        <v>0</v>
      </c>
      <c r="U31" s="9"/>
      <c r="V31" s="9"/>
      <c r="W31" s="9"/>
      <c r="X31" s="9"/>
      <c r="Y31" s="9"/>
      <c r="Z31" s="10">
        <f t="shared" si="5"/>
        <v>0</v>
      </c>
      <c r="AA31" s="30">
        <f t="shared" si="6"/>
        <v>0</v>
      </c>
      <c r="AB31" s="32">
        <f t="shared" si="0"/>
        <v>0</v>
      </c>
    </row>
    <row r="32" spans="1:28" ht="27.6" hidden="1" x14ac:dyDescent="0.3">
      <c r="A32" s="24" t="s">
        <v>35</v>
      </c>
      <c r="B32" s="24"/>
      <c r="C32" s="24" t="s">
        <v>44</v>
      </c>
      <c r="D32" s="23"/>
      <c r="E32" s="20"/>
      <c r="F32" s="21"/>
      <c r="G32" s="22"/>
      <c r="H32" s="22"/>
      <c r="I32" s="3" t="s">
        <v>70</v>
      </c>
      <c r="J32" s="9"/>
      <c r="K32" s="9"/>
      <c r="L32" s="10">
        <f t="shared" si="1"/>
        <v>0</v>
      </c>
      <c r="M32" s="10"/>
      <c r="N32" s="10"/>
      <c r="O32" s="10"/>
      <c r="P32" s="38">
        <f t="shared" si="2"/>
        <v>0</v>
      </c>
      <c r="Q32" s="11"/>
      <c r="R32" s="11"/>
      <c r="S32" s="12">
        <f t="shared" si="3"/>
        <v>0</v>
      </c>
      <c r="T32" s="28">
        <f t="shared" si="4"/>
        <v>0</v>
      </c>
      <c r="U32" s="9"/>
      <c r="V32" s="9"/>
      <c r="W32" s="9"/>
      <c r="X32" s="9"/>
      <c r="Y32" s="9"/>
      <c r="Z32" s="10">
        <f t="shared" si="5"/>
        <v>0</v>
      </c>
      <c r="AA32" s="30">
        <f t="shared" si="6"/>
        <v>0</v>
      </c>
      <c r="AB32" s="32">
        <f t="shared" si="0"/>
        <v>0</v>
      </c>
    </row>
    <row r="33" spans="1:28" ht="27.6" hidden="1" x14ac:dyDescent="0.3">
      <c r="A33" s="24" t="s">
        <v>35</v>
      </c>
      <c r="B33" s="24"/>
      <c r="C33" s="24" t="s">
        <v>37</v>
      </c>
      <c r="D33" s="23"/>
      <c r="E33" s="20"/>
      <c r="F33" s="21"/>
      <c r="G33" s="22"/>
      <c r="H33" s="22"/>
      <c r="I33" s="3" t="s">
        <v>71</v>
      </c>
      <c r="J33" s="9"/>
      <c r="K33" s="9"/>
      <c r="L33" s="10">
        <f t="shared" si="1"/>
        <v>0</v>
      </c>
      <c r="M33" s="10"/>
      <c r="N33" s="10"/>
      <c r="O33" s="10"/>
      <c r="P33" s="38">
        <f t="shared" si="2"/>
        <v>0</v>
      </c>
      <c r="Q33" s="11"/>
      <c r="R33" s="11"/>
      <c r="S33" s="12">
        <f t="shared" si="3"/>
        <v>0</v>
      </c>
      <c r="T33" s="28">
        <f t="shared" si="4"/>
        <v>0</v>
      </c>
      <c r="U33" s="9"/>
      <c r="V33" s="9"/>
      <c r="W33" s="9"/>
      <c r="X33" s="9"/>
      <c r="Y33" s="9"/>
      <c r="Z33" s="10">
        <f t="shared" si="5"/>
        <v>0</v>
      </c>
      <c r="AA33" s="30">
        <f t="shared" si="6"/>
        <v>0</v>
      </c>
      <c r="AB33" s="32">
        <f t="shared" si="0"/>
        <v>0</v>
      </c>
    </row>
    <row r="34" spans="1:28" ht="27.6" hidden="1" x14ac:dyDescent="0.3">
      <c r="A34" s="24" t="s">
        <v>35</v>
      </c>
      <c r="B34" s="24"/>
      <c r="C34" s="24" t="s">
        <v>42</v>
      </c>
      <c r="D34" s="23"/>
      <c r="E34" s="20"/>
      <c r="F34" s="21"/>
      <c r="G34" s="22"/>
      <c r="H34" s="22"/>
      <c r="I34" s="3" t="s">
        <v>72</v>
      </c>
      <c r="J34" s="9"/>
      <c r="K34" s="9"/>
      <c r="L34" s="10">
        <f t="shared" si="1"/>
        <v>0</v>
      </c>
      <c r="M34" s="10"/>
      <c r="N34" s="10"/>
      <c r="O34" s="10"/>
      <c r="P34" s="38">
        <f t="shared" si="2"/>
        <v>0</v>
      </c>
      <c r="Q34" s="11"/>
      <c r="R34" s="11"/>
      <c r="S34" s="12">
        <f t="shared" si="3"/>
        <v>0</v>
      </c>
      <c r="T34" s="28">
        <f t="shared" si="4"/>
        <v>0</v>
      </c>
      <c r="U34" s="9"/>
      <c r="V34" s="9"/>
      <c r="W34" s="9"/>
      <c r="X34" s="9"/>
      <c r="Y34" s="9"/>
      <c r="Z34" s="10">
        <f t="shared" si="5"/>
        <v>0</v>
      </c>
      <c r="AA34" s="30">
        <f t="shared" si="6"/>
        <v>0</v>
      </c>
      <c r="AB34" s="32">
        <f t="shared" si="0"/>
        <v>0</v>
      </c>
    </row>
    <row r="35" spans="1:28" ht="27.6" hidden="1" x14ac:dyDescent="0.3">
      <c r="A35" s="24" t="s">
        <v>35</v>
      </c>
      <c r="B35" s="24"/>
      <c r="C35" s="24" t="s">
        <v>44</v>
      </c>
      <c r="D35" s="23"/>
      <c r="E35" s="20"/>
      <c r="F35" s="21"/>
      <c r="G35" s="22"/>
      <c r="H35" s="22"/>
      <c r="I35" s="3" t="s">
        <v>73</v>
      </c>
      <c r="J35" s="9"/>
      <c r="K35" s="9"/>
      <c r="L35" s="10">
        <f t="shared" si="1"/>
        <v>0</v>
      </c>
      <c r="M35" s="10"/>
      <c r="N35" s="10"/>
      <c r="O35" s="10"/>
      <c r="P35" s="38">
        <f t="shared" si="2"/>
        <v>0</v>
      </c>
      <c r="Q35" s="11"/>
      <c r="R35" s="11"/>
      <c r="S35" s="12">
        <f t="shared" si="3"/>
        <v>0</v>
      </c>
      <c r="T35" s="28">
        <f t="shared" si="4"/>
        <v>0</v>
      </c>
      <c r="U35" s="9"/>
      <c r="V35" s="9"/>
      <c r="W35" s="9"/>
      <c r="X35" s="9"/>
      <c r="Y35" s="9"/>
      <c r="Z35" s="10">
        <f t="shared" si="5"/>
        <v>0</v>
      </c>
      <c r="AA35" s="30">
        <f t="shared" si="6"/>
        <v>0</v>
      </c>
      <c r="AB35" s="32">
        <f t="shared" si="0"/>
        <v>0</v>
      </c>
    </row>
    <row r="36" spans="1:28" ht="27.6" hidden="1" x14ac:dyDescent="0.3">
      <c r="A36" s="24" t="s">
        <v>64</v>
      </c>
      <c r="B36" s="24"/>
      <c r="C36" s="24" t="s">
        <v>65</v>
      </c>
      <c r="D36" s="23"/>
      <c r="E36" s="20"/>
      <c r="F36" s="21"/>
      <c r="G36" s="22"/>
      <c r="H36" s="22"/>
      <c r="I36" s="3" t="s">
        <v>74</v>
      </c>
      <c r="J36" s="9"/>
      <c r="K36" s="9"/>
      <c r="L36" s="10">
        <f t="shared" si="1"/>
        <v>0</v>
      </c>
      <c r="M36" s="10"/>
      <c r="N36" s="10"/>
      <c r="O36" s="10"/>
      <c r="P36" s="38">
        <f t="shared" si="2"/>
        <v>0</v>
      </c>
      <c r="Q36" s="11"/>
      <c r="R36" s="11"/>
      <c r="S36" s="12">
        <f t="shared" si="3"/>
        <v>0</v>
      </c>
      <c r="T36" s="28">
        <f t="shared" si="4"/>
        <v>0</v>
      </c>
      <c r="U36" s="9"/>
      <c r="V36" s="9"/>
      <c r="W36" s="9"/>
      <c r="X36" s="9"/>
      <c r="Y36" s="9"/>
      <c r="Z36" s="10">
        <f t="shared" si="5"/>
        <v>0</v>
      </c>
      <c r="AA36" s="30">
        <f t="shared" si="6"/>
        <v>0</v>
      </c>
      <c r="AB36" s="32">
        <f t="shared" si="0"/>
        <v>0</v>
      </c>
    </row>
    <row r="37" spans="1:28" ht="27.6" x14ac:dyDescent="0.3">
      <c r="A37" s="24" t="s">
        <v>35</v>
      </c>
      <c r="B37" s="24"/>
      <c r="C37" s="24" t="s">
        <v>46</v>
      </c>
      <c r="D37" s="23"/>
      <c r="E37" s="20"/>
      <c r="F37" s="21"/>
      <c r="G37" s="23"/>
      <c r="H37" s="23"/>
      <c r="I37" s="3" t="s">
        <v>75</v>
      </c>
      <c r="J37" s="9">
        <v>4</v>
      </c>
      <c r="K37" s="9">
        <v>4</v>
      </c>
      <c r="L37" s="10">
        <f t="shared" si="1"/>
        <v>0</v>
      </c>
      <c r="M37" s="10"/>
      <c r="N37" s="10"/>
      <c r="O37" s="10"/>
      <c r="P37" s="38">
        <f t="shared" si="2"/>
        <v>100</v>
      </c>
      <c r="Q37" s="11">
        <v>5</v>
      </c>
      <c r="R37" s="11">
        <v>5</v>
      </c>
      <c r="S37" s="12">
        <f t="shared" si="3"/>
        <v>0</v>
      </c>
      <c r="T37" s="28">
        <f t="shared" si="4"/>
        <v>100</v>
      </c>
      <c r="U37" s="9">
        <v>8</v>
      </c>
      <c r="V37" s="9">
        <v>6</v>
      </c>
      <c r="W37" s="9">
        <v>6</v>
      </c>
      <c r="X37" s="9">
        <v>8</v>
      </c>
      <c r="Y37" s="9">
        <v>8</v>
      </c>
      <c r="Z37" s="10">
        <f t="shared" si="5"/>
        <v>36</v>
      </c>
      <c r="AA37" s="30">
        <f t="shared" si="6"/>
        <v>72</v>
      </c>
      <c r="AB37" s="32">
        <f t="shared" si="0"/>
        <v>90.666666666666671</v>
      </c>
    </row>
    <row r="38" spans="1:28" ht="27.6" x14ac:dyDescent="0.3">
      <c r="A38" s="24" t="s">
        <v>64</v>
      </c>
      <c r="B38" s="24" t="s">
        <v>35</v>
      </c>
      <c r="C38" s="24" t="s">
        <v>46</v>
      </c>
      <c r="D38" s="23"/>
      <c r="E38" s="20"/>
      <c r="F38" s="21"/>
      <c r="G38" s="23"/>
      <c r="H38" s="23"/>
      <c r="I38" s="3" t="s">
        <v>76</v>
      </c>
      <c r="J38" s="9"/>
      <c r="K38" s="9"/>
      <c r="L38" s="10">
        <f t="shared" si="1"/>
        <v>0</v>
      </c>
      <c r="M38" s="10"/>
      <c r="N38" s="10"/>
      <c r="O38" s="10"/>
      <c r="P38" s="38">
        <f t="shared" si="2"/>
        <v>0</v>
      </c>
      <c r="Q38" s="11"/>
      <c r="R38" s="11"/>
      <c r="S38" s="12">
        <f t="shared" si="3"/>
        <v>0</v>
      </c>
      <c r="T38" s="28">
        <f t="shared" si="4"/>
        <v>0</v>
      </c>
      <c r="U38" s="9"/>
      <c r="V38" s="9"/>
      <c r="W38" s="9"/>
      <c r="X38" s="9"/>
      <c r="Y38" s="9"/>
      <c r="Z38" s="10">
        <f t="shared" si="5"/>
        <v>0</v>
      </c>
      <c r="AA38" s="30">
        <f t="shared" si="6"/>
        <v>0</v>
      </c>
      <c r="AB38" s="32">
        <f t="shared" si="0"/>
        <v>0</v>
      </c>
    </row>
    <row r="39" spans="1:28" ht="27.6" hidden="1" x14ac:dyDescent="0.3">
      <c r="A39" s="24" t="s">
        <v>35</v>
      </c>
      <c r="B39" s="24"/>
      <c r="C39" s="24" t="s">
        <v>48</v>
      </c>
      <c r="D39" s="23"/>
      <c r="E39" s="20"/>
      <c r="F39" s="21"/>
      <c r="G39" s="23"/>
      <c r="H39" s="23"/>
      <c r="I39" s="3" t="s">
        <v>77</v>
      </c>
      <c r="J39" s="9"/>
      <c r="K39" s="9"/>
      <c r="L39" s="10">
        <f t="shared" si="1"/>
        <v>0</v>
      </c>
      <c r="M39" s="10"/>
      <c r="N39" s="10"/>
      <c r="O39" s="10"/>
      <c r="P39" s="38">
        <f t="shared" si="2"/>
        <v>0</v>
      </c>
      <c r="Q39" s="11"/>
      <c r="R39" s="11"/>
      <c r="S39" s="12">
        <f t="shared" si="3"/>
        <v>0</v>
      </c>
      <c r="T39" s="28">
        <f t="shared" si="4"/>
        <v>0</v>
      </c>
      <c r="U39" s="9"/>
      <c r="V39" s="9"/>
      <c r="W39" s="9"/>
      <c r="X39" s="9"/>
      <c r="Y39" s="9"/>
      <c r="Z39" s="10">
        <f t="shared" si="5"/>
        <v>0</v>
      </c>
      <c r="AA39" s="30">
        <f t="shared" si="6"/>
        <v>0</v>
      </c>
      <c r="AB39" s="32">
        <f t="shared" si="0"/>
        <v>0</v>
      </c>
    </row>
    <row r="40" spans="1:28" ht="27.6" x14ac:dyDescent="0.3">
      <c r="A40" s="24" t="s">
        <v>35</v>
      </c>
      <c r="B40" s="24"/>
      <c r="C40" s="24" t="s">
        <v>50</v>
      </c>
      <c r="D40" s="23"/>
      <c r="E40" s="20"/>
      <c r="F40" s="21"/>
      <c r="G40" s="23"/>
      <c r="H40" s="23"/>
      <c r="I40" s="3" t="s">
        <v>78</v>
      </c>
      <c r="J40" s="9"/>
      <c r="K40" s="9"/>
      <c r="L40" s="10">
        <f t="shared" si="1"/>
        <v>0</v>
      </c>
      <c r="M40" s="10"/>
      <c r="N40" s="10"/>
      <c r="O40" s="10"/>
      <c r="P40" s="38">
        <f t="shared" si="2"/>
        <v>0</v>
      </c>
      <c r="Q40" s="11"/>
      <c r="R40" s="11"/>
      <c r="S40" s="12">
        <f t="shared" si="3"/>
        <v>0</v>
      </c>
      <c r="T40" s="28">
        <f t="shared" si="4"/>
        <v>0</v>
      </c>
      <c r="U40" s="9"/>
      <c r="V40" s="9"/>
      <c r="W40" s="9"/>
      <c r="X40" s="9"/>
      <c r="Y40" s="9"/>
      <c r="Z40" s="10">
        <f t="shared" si="5"/>
        <v>0</v>
      </c>
      <c r="AA40" s="30">
        <f t="shared" si="6"/>
        <v>0</v>
      </c>
      <c r="AB40" s="32">
        <f t="shared" si="0"/>
        <v>0</v>
      </c>
    </row>
    <row r="41" spans="1:28" ht="27.6" hidden="1" x14ac:dyDescent="0.3">
      <c r="A41" s="24" t="s">
        <v>35</v>
      </c>
      <c r="B41" s="24" t="s">
        <v>79</v>
      </c>
      <c r="C41" s="24" t="s">
        <v>37</v>
      </c>
      <c r="D41" s="23"/>
      <c r="E41" s="20"/>
      <c r="F41" s="21"/>
      <c r="G41" s="23"/>
      <c r="H41" s="23"/>
      <c r="I41" s="3" t="s">
        <v>80</v>
      </c>
      <c r="J41" s="9"/>
      <c r="K41" s="9"/>
      <c r="L41" s="10">
        <f t="shared" si="1"/>
        <v>0</v>
      </c>
      <c r="M41" s="10"/>
      <c r="N41" s="10"/>
      <c r="O41" s="10"/>
      <c r="P41" s="38">
        <f t="shared" si="2"/>
        <v>0</v>
      </c>
      <c r="Q41" s="11"/>
      <c r="R41" s="11"/>
      <c r="S41" s="12">
        <f t="shared" si="3"/>
        <v>0</v>
      </c>
      <c r="T41" s="28">
        <f t="shared" si="4"/>
        <v>0</v>
      </c>
      <c r="U41" s="9"/>
      <c r="V41" s="9"/>
      <c r="W41" s="9"/>
      <c r="X41" s="9"/>
      <c r="Y41" s="9"/>
      <c r="Z41" s="10">
        <f t="shared" si="5"/>
        <v>0</v>
      </c>
      <c r="AA41" s="30">
        <f t="shared" si="6"/>
        <v>0</v>
      </c>
      <c r="AB41" s="32">
        <f t="shared" si="0"/>
        <v>0</v>
      </c>
    </row>
    <row r="42" spans="1:28" ht="27.6" hidden="1" x14ac:dyDescent="0.3">
      <c r="A42" s="24" t="s">
        <v>64</v>
      </c>
      <c r="B42" s="24"/>
      <c r="C42" s="24" t="s">
        <v>65</v>
      </c>
      <c r="D42" s="23"/>
      <c r="E42" s="20"/>
      <c r="F42" s="21"/>
      <c r="G42" s="23"/>
      <c r="H42" s="23"/>
      <c r="I42" s="3" t="s">
        <v>81</v>
      </c>
      <c r="J42" s="9"/>
      <c r="K42" s="9"/>
      <c r="L42" s="10">
        <f t="shared" si="1"/>
        <v>0</v>
      </c>
      <c r="M42" s="10"/>
      <c r="N42" s="10"/>
      <c r="O42" s="10"/>
      <c r="P42" s="38">
        <f t="shared" si="2"/>
        <v>0</v>
      </c>
      <c r="Q42" s="11"/>
      <c r="R42" s="11"/>
      <c r="S42" s="12">
        <f t="shared" si="3"/>
        <v>0</v>
      </c>
      <c r="T42" s="28">
        <f t="shared" si="4"/>
        <v>0</v>
      </c>
      <c r="U42" s="9"/>
      <c r="V42" s="9"/>
      <c r="W42" s="9"/>
      <c r="X42" s="9"/>
      <c r="Y42" s="9"/>
      <c r="Z42" s="10">
        <f t="shared" si="5"/>
        <v>0</v>
      </c>
      <c r="AA42" s="30">
        <f t="shared" si="6"/>
        <v>0</v>
      </c>
      <c r="AB42" s="32">
        <f t="shared" si="0"/>
        <v>0</v>
      </c>
    </row>
    <row r="43" spans="1:28" ht="27.6" hidden="1" x14ac:dyDescent="0.3">
      <c r="A43" s="24" t="s">
        <v>35</v>
      </c>
      <c r="B43" s="24" t="s">
        <v>79</v>
      </c>
      <c r="C43" s="24" t="s">
        <v>42</v>
      </c>
      <c r="D43" s="23"/>
      <c r="E43" s="20"/>
      <c r="F43" s="21"/>
      <c r="G43" s="23"/>
      <c r="H43" s="23"/>
      <c r="I43" s="3" t="s">
        <v>82</v>
      </c>
      <c r="J43" s="9"/>
      <c r="K43" s="9"/>
      <c r="L43" s="10">
        <f t="shared" si="1"/>
        <v>0</v>
      </c>
      <c r="M43" s="10"/>
      <c r="N43" s="10"/>
      <c r="O43" s="10"/>
      <c r="P43" s="38">
        <f t="shared" si="2"/>
        <v>0</v>
      </c>
      <c r="Q43" s="11"/>
      <c r="R43" s="11"/>
      <c r="S43" s="12">
        <f t="shared" si="3"/>
        <v>0</v>
      </c>
      <c r="T43" s="28">
        <f t="shared" si="4"/>
        <v>0</v>
      </c>
      <c r="U43" s="9"/>
      <c r="V43" s="9"/>
      <c r="W43" s="9"/>
      <c r="X43" s="9"/>
      <c r="Y43" s="9"/>
      <c r="Z43" s="10">
        <f t="shared" si="5"/>
        <v>0</v>
      </c>
      <c r="AA43" s="30">
        <f t="shared" si="6"/>
        <v>0</v>
      </c>
      <c r="AB43" s="32">
        <f t="shared" si="0"/>
        <v>0</v>
      </c>
    </row>
    <row r="44" spans="1:28" ht="27.6" hidden="1" x14ac:dyDescent="0.3">
      <c r="A44" s="24" t="s">
        <v>35</v>
      </c>
      <c r="B44" s="24" t="s">
        <v>79</v>
      </c>
      <c r="C44" s="24" t="s">
        <v>44</v>
      </c>
      <c r="D44" s="23"/>
      <c r="E44" s="20"/>
      <c r="F44" s="21"/>
      <c r="G44" s="23"/>
      <c r="H44" s="23"/>
      <c r="I44" s="3" t="s">
        <v>83</v>
      </c>
      <c r="J44" s="9"/>
      <c r="K44" s="9"/>
      <c r="L44" s="10">
        <f t="shared" si="1"/>
        <v>0</v>
      </c>
      <c r="M44" s="10"/>
      <c r="N44" s="10"/>
      <c r="O44" s="10"/>
      <c r="P44" s="38">
        <f t="shared" si="2"/>
        <v>0</v>
      </c>
      <c r="Q44" s="11"/>
      <c r="R44" s="11"/>
      <c r="S44" s="12">
        <f t="shared" si="3"/>
        <v>0</v>
      </c>
      <c r="T44" s="28">
        <f t="shared" si="4"/>
        <v>0</v>
      </c>
      <c r="U44" s="9"/>
      <c r="V44" s="9"/>
      <c r="W44" s="9"/>
      <c r="X44" s="9"/>
      <c r="Y44" s="9"/>
      <c r="Z44" s="10">
        <f t="shared" si="5"/>
        <v>0</v>
      </c>
      <c r="AA44" s="30">
        <f t="shared" si="6"/>
        <v>0</v>
      </c>
      <c r="AB44" s="32">
        <f t="shared" si="0"/>
        <v>0</v>
      </c>
    </row>
    <row r="45" spans="1:28" ht="27.6" hidden="1" x14ac:dyDescent="0.3">
      <c r="A45" s="24" t="s">
        <v>84</v>
      </c>
      <c r="B45" s="24" t="s">
        <v>35</v>
      </c>
      <c r="C45" s="24" t="s">
        <v>85</v>
      </c>
      <c r="D45" s="23"/>
      <c r="E45" s="20"/>
      <c r="F45" s="21"/>
      <c r="G45" s="23"/>
      <c r="H45" s="23"/>
      <c r="I45" s="3" t="s">
        <v>86</v>
      </c>
      <c r="J45" s="9"/>
      <c r="K45" s="9"/>
      <c r="L45" s="10">
        <f t="shared" si="1"/>
        <v>0</v>
      </c>
      <c r="M45" s="10"/>
      <c r="N45" s="10"/>
      <c r="O45" s="10"/>
      <c r="P45" s="38">
        <f t="shared" si="2"/>
        <v>0</v>
      </c>
      <c r="Q45" s="11"/>
      <c r="R45" s="11"/>
      <c r="S45" s="12">
        <f t="shared" si="3"/>
        <v>0</v>
      </c>
      <c r="T45" s="28">
        <f t="shared" si="4"/>
        <v>0</v>
      </c>
      <c r="U45" s="9"/>
      <c r="V45" s="9"/>
      <c r="W45" s="9"/>
      <c r="X45" s="9"/>
      <c r="Y45" s="9"/>
      <c r="Z45" s="10">
        <f t="shared" si="5"/>
        <v>0</v>
      </c>
      <c r="AA45" s="30">
        <f t="shared" si="6"/>
        <v>0</v>
      </c>
      <c r="AB45" s="32">
        <f t="shared" si="0"/>
        <v>0</v>
      </c>
    </row>
    <row r="46" spans="1:28" ht="27.6" x14ac:dyDescent="0.3">
      <c r="A46" s="24" t="s">
        <v>79</v>
      </c>
      <c r="B46" s="24" t="s">
        <v>35</v>
      </c>
      <c r="C46" s="24" t="s">
        <v>46</v>
      </c>
      <c r="D46" s="23"/>
      <c r="E46" s="20"/>
      <c r="F46" s="21"/>
      <c r="G46" s="23"/>
      <c r="H46" s="23"/>
      <c r="I46" s="3" t="s">
        <v>87</v>
      </c>
      <c r="J46" s="9"/>
      <c r="K46" s="9"/>
      <c r="L46" s="10">
        <f t="shared" si="1"/>
        <v>0</v>
      </c>
      <c r="M46" s="10"/>
      <c r="N46" s="10"/>
      <c r="O46" s="10"/>
      <c r="P46" s="38">
        <f t="shared" si="2"/>
        <v>0</v>
      </c>
      <c r="Q46" s="11"/>
      <c r="R46" s="11"/>
      <c r="S46" s="12">
        <f t="shared" si="3"/>
        <v>0</v>
      </c>
      <c r="T46" s="28">
        <f t="shared" si="4"/>
        <v>0</v>
      </c>
      <c r="U46" s="9"/>
      <c r="V46" s="9"/>
      <c r="W46" s="9"/>
      <c r="X46" s="9"/>
      <c r="Y46" s="9"/>
      <c r="Z46" s="10">
        <f t="shared" si="5"/>
        <v>0</v>
      </c>
      <c r="AA46" s="30">
        <f t="shared" si="6"/>
        <v>0</v>
      </c>
      <c r="AB46" s="32">
        <f t="shared" si="0"/>
        <v>0</v>
      </c>
    </row>
    <row r="47" spans="1:28" ht="27.6" hidden="1" x14ac:dyDescent="0.3">
      <c r="A47" s="24" t="s">
        <v>79</v>
      </c>
      <c r="B47" s="24" t="s">
        <v>35</v>
      </c>
      <c r="C47" s="24" t="s">
        <v>48</v>
      </c>
      <c r="D47" s="23"/>
      <c r="E47" s="20"/>
      <c r="F47" s="21"/>
      <c r="G47" s="23"/>
      <c r="H47" s="23"/>
      <c r="I47" s="3" t="s">
        <v>88</v>
      </c>
      <c r="J47" s="9"/>
      <c r="K47" s="9"/>
      <c r="L47" s="10">
        <f t="shared" si="1"/>
        <v>0</v>
      </c>
      <c r="M47" s="10"/>
      <c r="N47" s="10"/>
      <c r="O47" s="10"/>
      <c r="P47" s="38">
        <f t="shared" si="2"/>
        <v>0</v>
      </c>
      <c r="Q47" s="11"/>
      <c r="R47" s="11"/>
      <c r="S47" s="12">
        <f t="shared" si="3"/>
        <v>0</v>
      </c>
      <c r="T47" s="28">
        <f t="shared" si="4"/>
        <v>0</v>
      </c>
      <c r="U47" s="9"/>
      <c r="V47" s="9"/>
      <c r="W47" s="9"/>
      <c r="X47" s="9"/>
      <c r="Y47" s="9"/>
      <c r="Z47" s="10">
        <f t="shared" si="5"/>
        <v>0</v>
      </c>
      <c r="AA47" s="30">
        <f t="shared" si="6"/>
        <v>0</v>
      </c>
      <c r="AB47" s="32">
        <f t="shared" si="0"/>
        <v>0</v>
      </c>
    </row>
    <row r="48" spans="1:28" ht="27.6" x14ac:dyDescent="0.3">
      <c r="A48" s="24" t="s">
        <v>79</v>
      </c>
      <c r="B48" s="24" t="s">
        <v>35</v>
      </c>
      <c r="C48" s="24" t="s">
        <v>50</v>
      </c>
      <c r="D48" s="23"/>
      <c r="E48" s="20"/>
      <c r="F48" s="21"/>
      <c r="G48" s="23"/>
      <c r="H48" s="23"/>
      <c r="I48" s="3" t="s">
        <v>89</v>
      </c>
      <c r="J48" s="9"/>
      <c r="K48" s="9"/>
      <c r="L48" s="10">
        <f t="shared" si="1"/>
        <v>0</v>
      </c>
      <c r="M48" s="10"/>
      <c r="N48" s="10"/>
      <c r="O48" s="10"/>
      <c r="P48" s="38">
        <f t="shared" si="2"/>
        <v>0</v>
      </c>
      <c r="Q48" s="11"/>
      <c r="R48" s="11"/>
      <c r="S48" s="12">
        <f t="shared" si="3"/>
        <v>0</v>
      </c>
      <c r="T48" s="28">
        <f t="shared" si="4"/>
        <v>0</v>
      </c>
      <c r="U48" s="9"/>
      <c r="V48" s="9"/>
      <c r="W48" s="9"/>
      <c r="X48" s="9"/>
      <c r="Y48" s="9"/>
      <c r="Z48" s="10">
        <f t="shared" si="5"/>
        <v>0</v>
      </c>
      <c r="AA48" s="30">
        <f t="shared" si="6"/>
        <v>0</v>
      </c>
      <c r="AB48" s="32">
        <f t="shared" si="0"/>
        <v>0</v>
      </c>
    </row>
    <row r="49" spans="1:28" ht="27.6" hidden="1" x14ac:dyDescent="0.3">
      <c r="A49" s="24" t="s">
        <v>35</v>
      </c>
      <c r="B49" s="24"/>
      <c r="C49" s="24" t="s">
        <v>37</v>
      </c>
      <c r="D49" s="23"/>
      <c r="E49" s="20"/>
      <c r="F49" s="21"/>
      <c r="G49" s="23"/>
      <c r="H49" s="23"/>
      <c r="I49" s="3" t="s">
        <v>90</v>
      </c>
      <c r="J49" s="9">
        <v>60</v>
      </c>
      <c r="K49" s="9">
        <v>55</v>
      </c>
      <c r="L49" s="10">
        <f t="shared" si="1"/>
        <v>5</v>
      </c>
      <c r="M49" s="10"/>
      <c r="N49" s="10"/>
      <c r="O49" s="10"/>
      <c r="P49" s="38">
        <f t="shared" si="2"/>
        <v>91.666666666666671</v>
      </c>
      <c r="Q49" s="11">
        <v>5</v>
      </c>
      <c r="R49" s="11">
        <v>7</v>
      </c>
      <c r="S49" s="12">
        <f t="shared" si="3"/>
        <v>-2</v>
      </c>
      <c r="T49" s="28">
        <f t="shared" si="4"/>
        <v>71.428571428571431</v>
      </c>
      <c r="U49" s="9">
        <v>7</v>
      </c>
      <c r="V49" s="9">
        <v>4</v>
      </c>
      <c r="W49" s="9">
        <v>2</v>
      </c>
      <c r="X49" s="9">
        <v>6</v>
      </c>
      <c r="Y49" s="9">
        <v>5</v>
      </c>
      <c r="Z49" s="10">
        <f t="shared" si="5"/>
        <v>24</v>
      </c>
      <c r="AA49" s="30">
        <f t="shared" si="6"/>
        <v>48</v>
      </c>
      <c r="AB49" s="32">
        <f t="shared" si="0"/>
        <v>70.365079365079367</v>
      </c>
    </row>
    <row r="50" spans="1:28" ht="27.6" hidden="1" x14ac:dyDescent="0.3">
      <c r="A50" s="24" t="s">
        <v>64</v>
      </c>
      <c r="B50" s="24"/>
      <c r="C50" s="24" t="s">
        <v>65</v>
      </c>
      <c r="D50" s="23"/>
      <c r="E50" s="20"/>
      <c r="F50" s="21"/>
      <c r="G50" s="23"/>
      <c r="H50" s="23"/>
      <c r="I50" s="3" t="s">
        <v>91</v>
      </c>
      <c r="J50" s="9"/>
      <c r="K50" s="9"/>
      <c r="L50" s="10">
        <f t="shared" si="1"/>
        <v>0</v>
      </c>
      <c r="M50" s="10"/>
      <c r="N50" s="10"/>
      <c r="O50" s="10"/>
      <c r="P50" s="38">
        <f t="shared" si="2"/>
        <v>0</v>
      </c>
      <c r="Q50" s="11"/>
      <c r="R50" s="11"/>
      <c r="S50" s="12">
        <f t="shared" si="3"/>
        <v>0</v>
      </c>
      <c r="T50" s="28">
        <f t="shared" si="4"/>
        <v>0</v>
      </c>
      <c r="U50" s="9"/>
      <c r="V50" s="9"/>
      <c r="W50" s="9"/>
      <c r="X50" s="9"/>
      <c r="Y50" s="9"/>
      <c r="Z50" s="10">
        <f t="shared" si="5"/>
        <v>0</v>
      </c>
      <c r="AA50" s="30">
        <f t="shared" si="6"/>
        <v>0</v>
      </c>
      <c r="AB50" s="32">
        <f t="shared" si="0"/>
        <v>0</v>
      </c>
    </row>
    <row r="51" spans="1:28" ht="27.6" hidden="1" x14ac:dyDescent="0.3">
      <c r="A51" s="24" t="s">
        <v>35</v>
      </c>
      <c r="B51" s="24"/>
      <c r="C51" s="24" t="s">
        <v>42</v>
      </c>
      <c r="D51" s="23"/>
      <c r="E51" s="20"/>
      <c r="F51" s="21"/>
      <c r="G51" s="23"/>
      <c r="H51" s="23"/>
      <c r="I51" s="3" t="s">
        <v>92</v>
      </c>
      <c r="J51" s="9"/>
      <c r="K51" s="9"/>
      <c r="L51" s="10">
        <f t="shared" si="1"/>
        <v>0</v>
      </c>
      <c r="M51" s="10"/>
      <c r="N51" s="10"/>
      <c r="O51" s="10"/>
      <c r="P51" s="38">
        <f t="shared" si="2"/>
        <v>0</v>
      </c>
      <c r="Q51" s="11"/>
      <c r="R51" s="11"/>
      <c r="S51" s="12">
        <f t="shared" si="3"/>
        <v>0</v>
      </c>
      <c r="T51" s="28">
        <f t="shared" si="4"/>
        <v>0</v>
      </c>
      <c r="U51" s="9"/>
      <c r="V51" s="9"/>
      <c r="W51" s="9"/>
      <c r="X51" s="9"/>
      <c r="Y51" s="9"/>
      <c r="Z51" s="10">
        <f t="shared" si="5"/>
        <v>0</v>
      </c>
      <c r="AA51" s="30">
        <f t="shared" si="6"/>
        <v>0</v>
      </c>
      <c r="AB51" s="32">
        <f t="shared" si="0"/>
        <v>0</v>
      </c>
    </row>
    <row r="52" spans="1:28" ht="27.6" hidden="1" x14ac:dyDescent="0.3">
      <c r="A52" s="24" t="s">
        <v>35</v>
      </c>
      <c r="B52" s="24"/>
      <c r="C52" s="24" t="s">
        <v>44</v>
      </c>
      <c r="D52" s="23"/>
      <c r="E52" s="20"/>
      <c r="F52" s="21"/>
      <c r="G52" s="23"/>
      <c r="H52" s="23"/>
      <c r="I52" s="3" t="s">
        <v>93</v>
      </c>
      <c r="J52" s="9"/>
      <c r="K52" s="9"/>
      <c r="L52" s="10">
        <f t="shared" si="1"/>
        <v>0</v>
      </c>
      <c r="M52" s="10"/>
      <c r="N52" s="10"/>
      <c r="O52" s="10"/>
      <c r="P52" s="38">
        <f t="shared" si="2"/>
        <v>0</v>
      </c>
      <c r="Q52" s="11"/>
      <c r="R52" s="11"/>
      <c r="S52" s="12">
        <f t="shared" si="3"/>
        <v>0</v>
      </c>
      <c r="T52" s="28">
        <f t="shared" si="4"/>
        <v>0</v>
      </c>
      <c r="U52" s="9"/>
      <c r="V52" s="9"/>
      <c r="W52" s="9"/>
      <c r="X52" s="9"/>
      <c r="Y52" s="9"/>
      <c r="Z52" s="10">
        <f t="shared" si="5"/>
        <v>0</v>
      </c>
      <c r="AA52" s="30">
        <f t="shared" si="6"/>
        <v>0</v>
      </c>
      <c r="AB52" s="32">
        <f t="shared" si="0"/>
        <v>0</v>
      </c>
    </row>
    <row r="53" spans="1:28" ht="27.6" hidden="1" x14ac:dyDescent="0.3">
      <c r="A53" s="24" t="s">
        <v>64</v>
      </c>
      <c r="B53" s="24"/>
      <c r="C53" s="24" t="s">
        <v>65</v>
      </c>
      <c r="D53" s="23"/>
      <c r="E53" s="20"/>
      <c r="F53" s="21"/>
      <c r="G53" s="23"/>
      <c r="H53" s="23"/>
      <c r="I53" s="3" t="s">
        <v>94</v>
      </c>
      <c r="J53" s="9"/>
      <c r="K53" s="9"/>
      <c r="L53" s="10">
        <f t="shared" si="1"/>
        <v>0</v>
      </c>
      <c r="M53" s="10"/>
      <c r="N53" s="10"/>
      <c r="O53" s="10"/>
      <c r="P53" s="38">
        <f t="shared" si="2"/>
        <v>0</v>
      </c>
      <c r="Q53" s="11"/>
      <c r="R53" s="11"/>
      <c r="S53" s="12">
        <f t="shared" si="3"/>
        <v>0</v>
      </c>
      <c r="T53" s="28">
        <f t="shared" si="4"/>
        <v>0</v>
      </c>
      <c r="U53" s="9"/>
      <c r="V53" s="9"/>
      <c r="W53" s="9"/>
      <c r="X53" s="9"/>
      <c r="Y53" s="9"/>
      <c r="Z53" s="10">
        <f t="shared" si="5"/>
        <v>0</v>
      </c>
      <c r="AA53" s="30">
        <f t="shared" si="6"/>
        <v>0</v>
      </c>
      <c r="AB53" s="32">
        <f t="shared" si="0"/>
        <v>0</v>
      </c>
    </row>
    <row r="54" spans="1:28" ht="41.4" hidden="1" x14ac:dyDescent="0.3">
      <c r="A54" s="24" t="s">
        <v>64</v>
      </c>
      <c r="B54" s="24"/>
      <c r="C54" s="24" t="s">
        <v>95</v>
      </c>
      <c r="D54" s="23"/>
      <c r="E54" s="20"/>
      <c r="F54" s="21"/>
      <c r="G54" s="23"/>
      <c r="H54" s="23"/>
      <c r="I54" s="3" t="s">
        <v>96</v>
      </c>
      <c r="J54" s="9"/>
      <c r="K54" s="9"/>
      <c r="L54" s="10">
        <f t="shared" si="1"/>
        <v>0</v>
      </c>
      <c r="M54" s="10"/>
      <c r="N54" s="10"/>
      <c r="O54" s="10"/>
      <c r="P54" s="38">
        <f t="shared" si="2"/>
        <v>0</v>
      </c>
      <c r="Q54" s="11"/>
      <c r="R54" s="11"/>
      <c r="S54" s="12">
        <f t="shared" si="3"/>
        <v>0</v>
      </c>
      <c r="T54" s="28">
        <f t="shared" si="4"/>
        <v>0</v>
      </c>
      <c r="U54" s="9"/>
      <c r="V54" s="9"/>
      <c r="W54" s="9"/>
      <c r="X54" s="9"/>
      <c r="Y54" s="9"/>
      <c r="Z54" s="10">
        <f t="shared" si="5"/>
        <v>0</v>
      </c>
      <c r="AA54" s="30">
        <f t="shared" si="6"/>
        <v>0</v>
      </c>
      <c r="AB54" s="32">
        <f t="shared" si="0"/>
        <v>0</v>
      </c>
    </row>
    <row r="55" spans="1:28" ht="41.4" hidden="1" x14ac:dyDescent="0.3">
      <c r="A55" s="24" t="s">
        <v>64</v>
      </c>
      <c r="B55" s="24" t="s">
        <v>35</v>
      </c>
      <c r="C55" s="24" t="s">
        <v>37</v>
      </c>
      <c r="D55" s="23"/>
      <c r="E55" s="20"/>
      <c r="F55" s="21"/>
      <c r="G55" s="23"/>
      <c r="H55" s="23"/>
      <c r="I55" s="3" t="s">
        <v>97</v>
      </c>
      <c r="J55" s="9"/>
      <c r="K55" s="9"/>
      <c r="L55" s="10">
        <f t="shared" si="1"/>
        <v>0</v>
      </c>
      <c r="M55" s="10"/>
      <c r="N55" s="10"/>
      <c r="O55" s="10"/>
      <c r="P55" s="38">
        <f t="shared" si="2"/>
        <v>0</v>
      </c>
      <c r="Q55" s="11"/>
      <c r="R55" s="11"/>
      <c r="S55" s="12">
        <f t="shared" si="3"/>
        <v>0</v>
      </c>
      <c r="T55" s="28">
        <f t="shared" si="4"/>
        <v>0</v>
      </c>
      <c r="U55" s="9"/>
      <c r="V55" s="9"/>
      <c r="W55" s="9"/>
      <c r="X55" s="9"/>
      <c r="Y55" s="9"/>
      <c r="Z55" s="10">
        <f t="shared" si="5"/>
        <v>0</v>
      </c>
      <c r="AA55" s="30">
        <f t="shared" si="6"/>
        <v>0</v>
      </c>
      <c r="AB55" s="32">
        <f t="shared" si="0"/>
        <v>0</v>
      </c>
    </row>
    <row r="56" spans="1:28" ht="41.4" hidden="1" x14ac:dyDescent="0.3">
      <c r="A56" s="24" t="s">
        <v>64</v>
      </c>
      <c r="B56" s="24" t="s">
        <v>35</v>
      </c>
      <c r="C56" s="24" t="s">
        <v>42</v>
      </c>
      <c r="D56" s="23"/>
      <c r="E56" s="20"/>
      <c r="F56" s="21"/>
      <c r="G56" s="23"/>
      <c r="H56" s="23"/>
      <c r="I56" s="3" t="s">
        <v>98</v>
      </c>
      <c r="J56" s="9"/>
      <c r="K56" s="9"/>
      <c r="L56" s="10">
        <f t="shared" si="1"/>
        <v>0</v>
      </c>
      <c r="M56" s="10"/>
      <c r="N56" s="10"/>
      <c r="O56" s="10"/>
      <c r="P56" s="38">
        <f t="shared" si="2"/>
        <v>0</v>
      </c>
      <c r="Q56" s="11"/>
      <c r="R56" s="11"/>
      <c r="S56" s="12">
        <f t="shared" si="3"/>
        <v>0</v>
      </c>
      <c r="T56" s="28">
        <f t="shared" si="4"/>
        <v>0</v>
      </c>
      <c r="U56" s="9"/>
      <c r="V56" s="9"/>
      <c r="W56" s="9"/>
      <c r="X56" s="9"/>
      <c r="Y56" s="9"/>
      <c r="Z56" s="10">
        <f t="shared" si="5"/>
        <v>0</v>
      </c>
      <c r="AA56" s="30">
        <f t="shared" si="6"/>
        <v>0</v>
      </c>
      <c r="AB56" s="32">
        <f t="shared" si="0"/>
        <v>0</v>
      </c>
    </row>
    <row r="57" spans="1:28" ht="41.4" hidden="1" x14ac:dyDescent="0.3">
      <c r="A57" s="24" t="s">
        <v>64</v>
      </c>
      <c r="B57" s="24" t="s">
        <v>35</v>
      </c>
      <c r="C57" s="24" t="s">
        <v>44</v>
      </c>
      <c r="D57" s="23"/>
      <c r="E57" s="20"/>
      <c r="F57" s="21"/>
      <c r="G57" s="23"/>
      <c r="H57" s="23"/>
      <c r="I57" s="3" t="s">
        <v>99</v>
      </c>
      <c r="J57" s="9"/>
      <c r="K57" s="9"/>
      <c r="L57" s="10">
        <f t="shared" si="1"/>
        <v>0</v>
      </c>
      <c r="M57" s="10"/>
      <c r="N57" s="10"/>
      <c r="O57" s="10"/>
      <c r="P57" s="38">
        <f t="shared" si="2"/>
        <v>0</v>
      </c>
      <c r="Q57" s="11"/>
      <c r="R57" s="11"/>
      <c r="S57" s="12">
        <f t="shared" si="3"/>
        <v>0</v>
      </c>
      <c r="T57" s="28">
        <f t="shared" si="4"/>
        <v>0</v>
      </c>
      <c r="U57" s="9"/>
      <c r="V57" s="9"/>
      <c r="W57" s="9"/>
      <c r="X57" s="9"/>
      <c r="Y57" s="9"/>
      <c r="Z57" s="10">
        <f t="shared" si="5"/>
        <v>0</v>
      </c>
      <c r="AA57" s="30">
        <f t="shared" si="6"/>
        <v>0</v>
      </c>
      <c r="AB57" s="32">
        <f t="shared" si="0"/>
        <v>0</v>
      </c>
    </row>
    <row r="58" spans="1:28" ht="27.6" hidden="1" x14ac:dyDescent="0.3">
      <c r="A58" s="24" t="s">
        <v>64</v>
      </c>
      <c r="B58" s="24"/>
      <c r="C58" s="24" t="s">
        <v>65</v>
      </c>
      <c r="D58" s="23"/>
      <c r="E58" s="20"/>
      <c r="F58" s="21"/>
      <c r="G58" s="23"/>
      <c r="H58" s="23"/>
      <c r="I58" s="3" t="s">
        <v>100</v>
      </c>
      <c r="J58" s="9"/>
      <c r="K58" s="9"/>
      <c r="L58" s="10">
        <f t="shared" si="1"/>
        <v>0</v>
      </c>
      <c r="M58" s="10"/>
      <c r="N58" s="10"/>
      <c r="O58" s="10"/>
      <c r="P58" s="38">
        <f t="shared" si="2"/>
        <v>0</v>
      </c>
      <c r="Q58" s="11"/>
      <c r="R58" s="11"/>
      <c r="S58" s="12">
        <f t="shared" si="3"/>
        <v>0</v>
      </c>
      <c r="T58" s="28">
        <f t="shared" si="4"/>
        <v>0</v>
      </c>
      <c r="U58" s="9"/>
      <c r="V58" s="9"/>
      <c r="W58" s="9"/>
      <c r="X58" s="9"/>
      <c r="Y58" s="9"/>
      <c r="Z58" s="10">
        <f t="shared" si="5"/>
        <v>0</v>
      </c>
      <c r="AA58" s="30">
        <f t="shared" si="6"/>
        <v>0</v>
      </c>
      <c r="AB58" s="32">
        <f t="shared" si="0"/>
        <v>0</v>
      </c>
    </row>
    <row r="59" spans="1:28" ht="27.6" hidden="1" x14ac:dyDescent="0.3">
      <c r="A59" s="24" t="s">
        <v>64</v>
      </c>
      <c r="B59" s="24" t="s">
        <v>36</v>
      </c>
      <c r="C59" s="24" t="s">
        <v>101</v>
      </c>
      <c r="D59" s="23"/>
      <c r="E59" s="20"/>
      <c r="F59" s="21"/>
      <c r="G59" s="23"/>
      <c r="H59" s="23"/>
      <c r="I59" s="3" t="s">
        <v>102</v>
      </c>
      <c r="J59" s="9"/>
      <c r="K59" s="9"/>
      <c r="L59" s="10">
        <f t="shared" si="1"/>
        <v>0</v>
      </c>
      <c r="M59" s="10"/>
      <c r="N59" s="10"/>
      <c r="O59" s="10"/>
      <c r="P59" s="38">
        <f t="shared" si="2"/>
        <v>0</v>
      </c>
      <c r="Q59" s="11"/>
      <c r="R59" s="11"/>
      <c r="S59" s="12">
        <f t="shared" si="3"/>
        <v>0</v>
      </c>
      <c r="T59" s="28">
        <f t="shared" si="4"/>
        <v>0</v>
      </c>
      <c r="U59" s="9"/>
      <c r="V59" s="9"/>
      <c r="W59" s="9"/>
      <c r="X59" s="9"/>
      <c r="Y59" s="9"/>
      <c r="Z59" s="10">
        <f t="shared" si="5"/>
        <v>0</v>
      </c>
      <c r="AA59" s="30">
        <f t="shared" si="6"/>
        <v>0</v>
      </c>
      <c r="AB59" s="32">
        <f t="shared" si="0"/>
        <v>0</v>
      </c>
    </row>
    <row r="60" spans="1:28" ht="27.6" hidden="1" x14ac:dyDescent="0.3">
      <c r="A60" s="24" t="s">
        <v>64</v>
      </c>
      <c r="B60" s="24" t="s">
        <v>103</v>
      </c>
      <c r="C60" s="24" t="s">
        <v>104</v>
      </c>
      <c r="D60" s="23"/>
      <c r="E60" s="20"/>
      <c r="F60" s="21"/>
      <c r="G60" s="23"/>
      <c r="H60" s="23"/>
      <c r="I60" s="3" t="s">
        <v>102</v>
      </c>
      <c r="J60" s="9"/>
      <c r="K60" s="9"/>
      <c r="L60" s="10">
        <f t="shared" si="1"/>
        <v>0</v>
      </c>
      <c r="M60" s="10"/>
      <c r="N60" s="10"/>
      <c r="O60" s="10"/>
      <c r="P60" s="38">
        <f t="shared" si="2"/>
        <v>0</v>
      </c>
      <c r="Q60" s="11"/>
      <c r="R60" s="11"/>
      <c r="S60" s="12">
        <f t="shared" si="3"/>
        <v>0</v>
      </c>
      <c r="T60" s="28">
        <f t="shared" si="4"/>
        <v>0</v>
      </c>
      <c r="U60" s="9"/>
      <c r="V60" s="9"/>
      <c r="W60" s="9"/>
      <c r="X60" s="9"/>
      <c r="Y60" s="9"/>
      <c r="Z60" s="10">
        <f t="shared" si="5"/>
        <v>0</v>
      </c>
      <c r="AA60" s="30">
        <f t="shared" si="6"/>
        <v>0</v>
      </c>
      <c r="AB60" s="32">
        <f t="shared" si="0"/>
        <v>0</v>
      </c>
    </row>
    <row r="61" spans="1:28" ht="27.6" hidden="1" x14ac:dyDescent="0.3">
      <c r="A61" s="24" t="s">
        <v>64</v>
      </c>
      <c r="B61" s="24" t="s">
        <v>105</v>
      </c>
      <c r="C61" s="24" t="s">
        <v>106</v>
      </c>
      <c r="D61" s="23"/>
      <c r="E61" s="20"/>
      <c r="F61" s="21"/>
      <c r="G61" s="23"/>
      <c r="H61" s="23"/>
      <c r="I61" s="3" t="s">
        <v>102</v>
      </c>
      <c r="J61" s="9"/>
      <c r="K61" s="9"/>
      <c r="L61" s="10">
        <f t="shared" si="1"/>
        <v>0</v>
      </c>
      <c r="M61" s="10"/>
      <c r="N61" s="10"/>
      <c r="O61" s="10"/>
      <c r="P61" s="38">
        <f t="shared" si="2"/>
        <v>0</v>
      </c>
      <c r="Q61" s="11"/>
      <c r="R61" s="11"/>
      <c r="S61" s="12">
        <f t="shared" si="3"/>
        <v>0</v>
      </c>
      <c r="T61" s="28">
        <f t="shared" si="4"/>
        <v>0</v>
      </c>
      <c r="U61" s="9"/>
      <c r="V61" s="9"/>
      <c r="W61" s="9"/>
      <c r="X61" s="9"/>
      <c r="Y61" s="9"/>
      <c r="Z61" s="10">
        <f t="shared" si="5"/>
        <v>0</v>
      </c>
      <c r="AA61" s="30">
        <f t="shared" si="6"/>
        <v>0</v>
      </c>
      <c r="AB61" s="32">
        <f t="shared" si="0"/>
        <v>0</v>
      </c>
    </row>
    <row r="62" spans="1:28" ht="27.6" x14ac:dyDescent="0.3">
      <c r="A62" s="24" t="s">
        <v>35</v>
      </c>
      <c r="B62" s="24"/>
      <c r="C62" s="24" t="s">
        <v>46</v>
      </c>
      <c r="D62" s="23"/>
      <c r="E62" s="20"/>
      <c r="F62" s="21"/>
      <c r="G62" s="23"/>
      <c r="H62" s="23"/>
      <c r="I62" s="3" t="s">
        <v>107</v>
      </c>
      <c r="J62" s="9"/>
      <c r="K62" s="9"/>
      <c r="L62" s="10">
        <f t="shared" si="1"/>
        <v>0</v>
      </c>
      <c r="M62" s="10"/>
      <c r="N62" s="10"/>
      <c r="O62" s="10"/>
      <c r="P62" s="38">
        <f t="shared" si="2"/>
        <v>0</v>
      </c>
      <c r="Q62" s="11"/>
      <c r="R62" s="11"/>
      <c r="S62" s="12">
        <f t="shared" si="3"/>
        <v>0</v>
      </c>
      <c r="T62" s="28">
        <f t="shared" si="4"/>
        <v>0</v>
      </c>
      <c r="U62" s="9"/>
      <c r="V62" s="9"/>
      <c r="W62" s="9"/>
      <c r="X62" s="9"/>
      <c r="Y62" s="9"/>
      <c r="Z62" s="10">
        <f t="shared" si="5"/>
        <v>0</v>
      </c>
      <c r="AA62" s="30">
        <f t="shared" si="6"/>
        <v>0</v>
      </c>
      <c r="AB62" s="32">
        <f t="shared" si="0"/>
        <v>0</v>
      </c>
    </row>
    <row r="63" spans="1:28" ht="27.6" hidden="1" x14ac:dyDescent="0.3">
      <c r="A63" s="24" t="s">
        <v>35</v>
      </c>
      <c r="B63" s="24"/>
      <c r="C63" s="24" t="s">
        <v>48</v>
      </c>
      <c r="D63" s="23"/>
      <c r="E63" s="20"/>
      <c r="F63" s="21"/>
      <c r="G63" s="23"/>
      <c r="H63" s="23"/>
      <c r="I63" s="3" t="s">
        <v>108</v>
      </c>
      <c r="J63" s="9"/>
      <c r="K63" s="9"/>
      <c r="L63" s="10">
        <f t="shared" si="1"/>
        <v>0</v>
      </c>
      <c r="M63" s="10"/>
      <c r="N63" s="10"/>
      <c r="O63" s="10"/>
      <c r="P63" s="38">
        <f t="shared" si="2"/>
        <v>0</v>
      </c>
      <c r="Q63" s="11"/>
      <c r="R63" s="11"/>
      <c r="S63" s="12">
        <f t="shared" si="3"/>
        <v>0</v>
      </c>
      <c r="T63" s="28">
        <f t="shared" si="4"/>
        <v>0</v>
      </c>
      <c r="U63" s="9"/>
      <c r="V63" s="9"/>
      <c r="W63" s="9"/>
      <c r="X63" s="9"/>
      <c r="Y63" s="9"/>
      <c r="Z63" s="10">
        <f t="shared" si="5"/>
        <v>0</v>
      </c>
      <c r="AA63" s="30">
        <f t="shared" si="6"/>
        <v>0</v>
      </c>
      <c r="AB63" s="32">
        <f t="shared" si="0"/>
        <v>0</v>
      </c>
    </row>
    <row r="64" spans="1:28" ht="27.6" x14ac:dyDescent="0.3">
      <c r="A64" s="24" t="s">
        <v>35</v>
      </c>
      <c r="B64" s="24"/>
      <c r="C64" s="24" t="s">
        <v>50</v>
      </c>
      <c r="D64" s="23"/>
      <c r="E64" s="20"/>
      <c r="F64" s="21"/>
      <c r="G64" s="23"/>
      <c r="H64" s="23"/>
      <c r="I64" s="3" t="s">
        <v>109</v>
      </c>
      <c r="J64" s="9"/>
      <c r="K64" s="9"/>
      <c r="L64" s="10">
        <f t="shared" si="1"/>
        <v>0</v>
      </c>
      <c r="M64" s="10"/>
      <c r="N64" s="10"/>
      <c r="O64" s="10"/>
      <c r="P64" s="38">
        <f t="shared" si="2"/>
        <v>0</v>
      </c>
      <c r="Q64" s="11"/>
      <c r="R64" s="11"/>
      <c r="S64" s="12">
        <f t="shared" si="3"/>
        <v>0</v>
      </c>
      <c r="T64" s="28">
        <f t="shared" si="4"/>
        <v>0</v>
      </c>
      <c r="U64" s="9"/>
      <c r="V64" s="9"/>
      <c r="W64" s="9"/>
      <c r="X64" s="9"/>
      <c r="Y64" s="9"/>
      <c r="Z64" s="10">
        <f t="shared" si="5"/>
        <v>0</v>
      </c>
      <c r="AA64" s="30">
        <f t="shared" si="6"/>
        <v>0</v>
      </c>
      <c r="AB64" s="32">
        <f t="shared" si="0"/>
        <v>0</v>
      </c>
    </row>
    <row r="65" spans="1:28" ht="27.6" hidden="1" x14ac:dyDescent="0.3">
      <c r="A65" s="24" t="s">
        <v>35</v>
      </c>
      <c r="B65" s="24" t="s">
        <v>64</v>
      </c>
      <c r="C65" s="24" t="s">
        <v>37</v>
      </c>
      <c r="D65" s="23"/>
      <c r="E65" s="20"/>
      <c r="F65" s="21"/>
      <c r="G65" s="23"/>
      <c r="H65" s="23"/>
      <c r="I65" s="3" t="s">
        <v>110</v>
      </c>
      <c r="J65" s="9"/>
      <c r="K65" s="9"/>
      <c r="L65" s="10">
        <f t="shared" si="1"/>
        <v>0</v>
      </c>
      <c r="M65" s="10"/>
      <c r="N65" s="10"/>
      <c r="O65" s="10"/>
      <c r="P65" s="38">
        <f t="shared" si="2"/>
        <v>0</v>
      </c>
      <c r="Q65" s="11"/>
      <c r="R65" s="11"/>
      <c r="S65" s="12">
        <f t="shared" si="3"/>
        <v>0</v>
      </c>
      <c r="T65" s="28">
        <f t="shared" si="4"/>
        <v>0</v>
      </c>
      <c r="U65" s="9"/>
      <c r="V65" s="9"/>
      <c r="W65" s="9"/>
      <c r="X65" s="9"/>
      <c r="Y65" s="9"/>
      <c r="Z65" s="10">
        <f t="shared" si="5"/>
        <v>0</v>
      </c>
      <c r="AA65" s="30">
        <f t="shared" si="6"/>
        <v>0</v>
      </c>
      <c r="AB65" s="32">
        <f t="shared" si="0"/>
        <v>0</v>
      </c>
    </row>
    <row r="66" spans="1:28" ht="27.6" hidden="1" x14ac:dyDescent="0.3">
      <c r="A66" s="24" t="s">
        <v>35</v>
      </c>
      <c r="B66" s="24" t="s">
        <v>64</v>
      </c>
      <c r="C66" s="24" t="s">
        <v>42</v>
      </c>
      <c r="D66" s="23"/>
      <c r="E66" s="20"/>
      <c r="F66" s="21"/>
      <c r="G66" s="23"/>
      <c r="H66" s="23"/>
      <c r="I66" s="3" t="s">
        <v>111</v>
      </c>
      <c r="J66" s="9"/>
      <c r="K66" s="9"/>
      <c r="L66" s="10">
        <f t="shared" si="1"/>
        <v>0</v>
      </c>
      <c r="M66" s="10"/>
      <c r="N66" s="10"/>
      <c r="O66" s="10"/>
      <c r="P66" s="38">
        <f t="shared" si="2"/>
        <v>0</v>
      </c>
      <c r="Q66" s="11"/>
      <c r="R66" s="11"/>
      <c r="S66" s="12">
        <f t="shared" si="3"/>
        <v>0</v>
      </c>
      <c r="T66" s="28">
        <f t="shared" si="4"/>
        <v>0</v>
      </c>
      <c r="U66" s="9"/>
      <c r="V66" s="9"/>
      <c r="W66" s="9"/>
      <c r="X66" s="9"/>
      <c r="Y66" s="9"/>
      <c r="Z66" s="10">
        <f t="shared" si="5"/>
        <v>0</v>
      </c>
      <c r="AA66" s="30">
        <f t="shared" si="6"/>
        <v>0</v>
      </c>
      <c r="AB66" s="32">
        <f t="shared" si="0"/>
        <v>0</v>
      </c>
    </row>
    <row r="67" spans="1:28" ht="27.6" hidden="1" x14ac:dyDescent="0.3">
      <c r="A67" s="24" t="s">
        <v>35</v>
      </c>
      <c r="B67" s="24" t="s">
        <v>64</v>
      </c>
      <c r="C67" s="24" t="s">
        <v>44</v>
      </c>
      <c r="D67" s="23"/>
      <c r="E67" s="20"/>
      <c r="F67" s="21"/>
      <c r="G67" s="23"/>
      <c r="H67" s="23"/>
      <c r="I67" s="3" t="s">
        <v>112</v>
      </c>
      <c r="J67" s="9"/>
      <c r="K67" s="9"/>
      <c r="L67" s="10">
        <f t="shared" si="1"/>
        <v>0</v>
      </c>
      <c r="M67" s="10"/>
      <c r="N67" s="10"/>
      <c r="O67" s="10"/>
      <c r="P67" s="38">
        <f t="shared" si="2"/>
        <v>0</v>
      </c>
      <c r="Q67" s="11"/>
      <c r="R67" s="11"/>
      <c r="S67" s="12">
        <f t="shared" si="3"/>
        <v>0</v>
      </c>
      <c r="T67" s="28">
        <f t="shared" si="4"/>
        <v>0</v>
      </c>
      <c r="U67" s="9"/>
      <c r="V67" s="9"/>
      <c r="W67" s="9"/>
      <c r="X67" s="9"/>
      <c r="Y67" s="9"/>
      <c r="Z67" s="10">
        <f t="shared" si="5"/>
        <v>0</v>
      </c>
      <c r="AA67" s="30">
        <f t="shared" si="6"/>
        <v>0</v>
      </c>
      <c r="AB67" s="32">
        <f t="shared" si="0"/>
        <v>0</v>
      </c>
    </row>
    <row r="68" spans="1:28" ht="27.6" x14ac:dyDescent="0.3">
      <c r="A68" s="24" t="s">
        <v>35</v>
      </c>
      <c r="B68" s="24" t="s">
        <v>64</v>
      </c>
      <c r="C68" s="24" t="s">
        <v>46</v>
      </c>
      <c r="D68" s="23"/>
      <c r="E68" s="20"/>
      <c r="F68" s="21"/>
      <c r="G68" s="23"/>
      <c r="H68" s="23"/>
      <c r="I68" s="3" t="s">
        <v>113</v>
      </c>
      <c r="J68" s="9"/>
      <c r="K68" s="9"/>
      <c r="L68" s="10">
        <f t="shared" si="1"/>
        <v>0</v>
      </c>
      <c r="M68" s="10"/>
      <c r="N68" s="10"/>
      <c r="O68" s="10"/>
      <c r="P68" s="38">
        <f t="shared" si="2"/>
        <v>0</v>
      </c>
      <c r="Q68" s="11"/>
      <c r="R68" s="11"/>
      <c r="S68" s="12">
        <f t="shared" si="3"/>
        <v>0</v>
      </c>
      <c r="T68" s="28">
        <f t="shared" si="4"/>
        <v>0</v>
      </c>
      <c r="U68" s="9"/>
      <c r="V68" s="9"/>
      <c r="W68" s="9"/>
      <c r="X68" s="9"/>
      <c r="Y68" s="9"/>
      <c r="Z68" s="10">
        <f t="shared" si="5"/>
        <v>0</v>
      </c>
      <c r="AA68" s="30">
        <f t="shared" si="6"/>
        <v>0</v>
      </c>
      <c r="AB68" s="32">
        <f t="shared" si="0"/>
        <v>0</v>
      </c>
    </row>
    <row r="69" spans="1:28" ht="27.6" hidden="1" x14ac:dyDescent="0.3">
      <c r="A69" s="24" t="s">
        <v>35</v>
      </c>
      <c r="B69" s="24" t="s">
        <v>64</v>
      </c>
      <c r="C69" s="24" t="s">
        <v>48</v>
      </c>
      <c r="D69" s="23"/>
      <c r="E69" s="20"/>
      <c r="F69" s="21"/>
      <c r="G69" s="23"/>
      <c r="H69" s="23"/>
      <c r="I69" s="3" t="s">
        <v>114</v>
      </c>
      <c r="J69" s="9"/>
      <c r="K69" s="9"/>
      <c r="L69" s="10">
        <f t="shared" si="1"/>
        <v>0</v>
      </c>
      <c r="M69" s="10"/>
      <c r="N69" s="10"/>
      <c r="O69" s="10"/>
      <c r="P69" s="38">
        <f t="shared" si="2"/>
        <v>0</v>
      </c>
      <c r="Q69" s="11"/>
      <c r="R69" s="11"/>
      <c r="S69" s="12">
        <f t="shared" si="3"/>
        <v>0</v>
      </c>
      <c r="T69" s="28">
        <f t="shared" si="4"/>
        <v>0</v>
      </c>
      <c r="U69" s="9"/>
      <c r="V69" s="9"/>
      <c r="W69" s="9"/>
      <c r="X69" s="9"/>
      <c r="Y69" s="9"/>
      <c r="Z69" s="10">
        <f t="shared" si="5"/>
        <v>0</v>
      </c>
      <c r="AA69" s="30">
        <f t="shared" si="6"/>
        <v>0</v>
      </c>
      <c r="AB69" s="32">
        <f t="shared" si="0"/>
        <v>0</v>
      </c>
    </row>
    <row r="70" spans="1:28" ht="27.6" x14ac:dyDescent="0.3">
      <c r="A70" s="24" t="s">
        <v>35</v>
      </c>
      <c r="B70" s="24" t="s">
        <v>64</v>
      </c>
      <c r="C70" s="24" t="s">
        <v>50</v>
      </c>
      <c r="D70" s="23"/>
      <c r="E70" s="20"/>
      <c r="F70" s="21"/>
      <c r="G70" s="23"/>
      <c r="H70" s="23"/>
      <c r="I70" s="3" t="s">
        <v>115</v>
      </c>
      <c r="J70" s="9"/>
      <c r="K70" s="9"/>
      <c r="L70" s="10">
        <f t="shared" si="1"/>
        <v>0</v>
      </c>
      <c r="M70" s="10"/>
      <c r="N70" s="10"/>
      <c r="O70" s="10"/>
      <c r="P70" s="38">
        <f t="shared" si="2"/>
        <v>0</v>
      </c>
      <c r="Q70" s="11"/>
      <c r="R70" s="11"/>
      <c r="S70" s="12">
        <f t="shared" si="3"/>
        <v>0</v>
      </c>
      <c r="T70" s="28">
        <f t="shared" si="4"/>
        <v>0</v>
      </c>
      <c r="U70" s="9"/>
      <c r="V70" s="9"/>
      <c r="W70" s="9"/>
      <c r="X70" s="9"/>
      <c r="Y70" s="9"/>
      <c r="Z70" s="10">
        <f t="shared" si="5"/>
        <v>0</v>
      </c>
      <c r="AA70" s="30">
        <f t="shared" si="6"/>
        <v>0</v>
      </c>
      <c r="AB70" s="32">
        <f t="shared" si="0"/>
        <v>0</v>
      </c>
    </row>
    <row r="71" spans="1:28" ht="27.6" hidden="1" x14ac:dyDescent="0.3">
      <c r="A71" s="24" t="s">
        <v>36</v>
      </c>
      <c r="B71" s="24" t="s">
        <v>35</v>
      </c>
      <c r="C71" s="24" t="s">
        <v>37</v>
      </c>
      <c r="D71" s="23"/>
      <c r="E71" s="20"/>
      <c r="F71" s="21"/>
      <c r="G71" s="23"/>
      <c r="H71" s="23"/>
      <c r="I71" s="3" t="s">
        <v>116</v>
      </c>
      <c r="J71" s="9"/>
      <c r="K71" s="9"/>
      <c r="L71" s="10">
        <f t="shared" si="1"/>
        <v>0</v>
      </c>
      <c r="M71" s="10"/>
      <c r="N71" s="10"/>
      <c r="O71" s="10"/>
      <c r="P71" s="38">
        <f t="shared" si="2"/>
        <v>0</v>
      </c>
      <c r="Q71" s="11"/>
      <c r="R71" s="11"/>
      <c r="S71" s="12">
        <f t="shared" si="3"/>
        <v>0</v>
      </c>
      <c r="T71" s="28">
        <f t="shared" si="4"/>
        <v>0</v>
      </c>
      <c r="U71" s="9"/>
      <c r="V71" s="9"/>
      <c r="W71" s="9"/>
      <c r="X71" s="9"/>
      <c r="Y71" s="9"/>
      <c r="Z71" s="10">
        <f t="shared" si="5"/>
        <v>0</v>
      </c>
      <c r="AA71" s="30">
        <f t="shared" si="6"/>
        <v>0</v>
      </c>
      <c r="AB71" s="32">
        <f t="shared" si="0"/>
        <v>0</v>
      </c>
    </row>
    <row r="72" spans="1:28" ht="27.6" hidden="1" x14ac:dyDescent="0.3">
      <c r="A72" s="24" t="s">
        <v>36</v>
      </c>
      <c r="B72" s="24" t="s">
        <v>35</v>
      </c>
      <c r="C72" s="24" t="s">
        <v>42</v>
      </c>
      <c r="D72" s="23"/>
      <c r="E72" s="20"/>
      <c r="F72" s="21"/>
      <c r="G72" s="23"/>
      <c r="H72" s="23"/>
      <c r="I72" s="3" t="s">
        <v>117</v>
      </c>
      <c r="J72" s="9"/>
      <c r="K72" s="9"/>
      <c r="L72" s="10">
        <f t="shared" si="1"/>
        <v>0</v>
      </c>
      <c r="M72" s="10"/>
      <c r="N72" s="10"/>
      <c r="O72" s="10"/>
      <c r="P72" s="38">
        <f t="shared" si="2"/>
        <v>0</v>
      </c>
      <c r="Q72" s="11"/>
      <c r="R72" s="11"/>
      <c r="S72" s="12">
        <f t="shared" si="3"/>
        <v>0</v>
      </c>
      <c r="T72" s="28">
        <f t="shared" si="4"/>
        <v>0</v>
      </c>
      <c r="U72" s="9"/>
      <c r="V72" s="9"/>
      <c r="W72" s="9"/>
      <c r="X72" s="9"/>
      <c r="Y72" s="9"/>
      <c r="Z72" s="10">
        <f t="shared" si="5"/>
        <v>0</v>
      </c>
      <c r="AA72" s="30">
        <f t="shared" si="6"/>
        <v>0</v>
      </c>
      <c r="AB72" s="32">
        <f t="shared" si="0"/>
        <v>0</v>
      </c>
    </row>
    <row r="73" spans="1:28" ht="27.6" hidden="1" x14ac:dyDescent="0.3">
      <c r="A73" s="24" t="s">
        <v>36</v>
      </c>
      <c r="B73" s="24" t="s">
        <v>35</v>
      </c>
      <c r="C73" s="24" t="s">
        <v>44</v>
      </c>
      <c r="D73" s="23"/>
      <c r="E73" s="20"/>
      <c r="F73" s="21"/>
      <c r="G73" s="23"/>
      <c r="H73" s="23"/>
      <c r="I73" s="3" t="s">
        <v>118</v>
      </c>
      <c r="J73" s="9"/>
      <c r="K73" s="9"/>
      <c r="L73" s="10">
        <f t="shared" si="1"/>
        <v>0</v>
      </c>
      <c r="M73" s="10"/>
      <c r="N73" s="10"/>
      <c r="O73" s="10"/>
      <c r="P73" s="38">
        <f t="shared" si="2"/>
        <v>0</v>
      </c>
      <c r="Q73" s="11"/>
      <c r="R73" s="11"/>
      <c r="S73" s="12">
        <f t="shared" si="3"/>
        <v>0</v>
      </c>
      <c r="T73" s="28">
        <f t="shared" si="4"/>
        <v>0</v>
      </c>
      <c r="U73" s="9"/>
      <c r="V73" s="9"/>
      <c r="W73" s="9"/>
      <c r="X73" s="9"/>
      <c r="Y73" s="9"/>
      <c r="Z73" s="10">
        <f t="shared" si="5"/>
        <v>0</v>
      </c>
      <c r="AA73" s="30">
        <f t="shared" si="6"/>
        <v>0</v>
      </c>
      <c r="AB73" s="32">
        <f t="shared" si="0"/>
        <v>0</v>
      </c>
    </row>
    <row r="74" spans="1:28" ht="27.6" hidden="1" x14ac:dyDescent="0.3">
      <c r="A74" s="24" t="s">
        <v>36</v>
      </c>
      <c r="B74" s="24" t="s">
        <v>64</v>
      </c>
      <c r="C74" s="24" t="s">
        <v>65</v>
      </c>
      <c r="D74" s="23"/>
      <c r="E74" s="20"/>
      <c r="F74" s="21"/>
      <c r="G74" s="23"/>
      <c r="H74" s="23"/>
      <c r="I74" s="3" t="s">
        <v>119</v>
      </c>
      <c r="J74" s="9"/>
      <c r="K74" s="9"/>
      <c r="L74" s="10">
        <f t="shared" si="1"/>
        <v>0</v>
      </c>
      <c r="M74" s="10"/>
      <c r="N74" s="10"/>
      <c r="O74" s="10"/>
      <c r="P74" s="38">
        <f t="shared" si="2"/>
        <v>0</v>
      </c>
      <c r="Q74" s="11"/>
      <c r="R74" s="11"/>
      <c r="S74" s="12">
        <f t="shared" si="3"/>
        <v>0</v>
      </c>
      <c r="T74" s="28">
        <f t="shared" si="4"/>
        <v>0</v>
      </c>
      <c r="U74" s="9"/>
      <c r="V74" s="9"/>
      <c r="W74" s="9"/>
      <c r="X74" s="9"/>
      <c r="Y74" s="9"/>
      <c r="Z74" s="10">
        <f t="shared" si="5"/>
        <v>0</v>
      </c>
      <c r="AA74" s="30">
        <f t="shared" si="6"/>
        <v>0</v>
      </c>
      <c r="AB74" s="32">
        <f t="shared" ref="AB74:AB137" si="7">+(T74+P74+AA74)/3</f>
        <v>0</v>
      </c>
    </row>
    <row r="75" spans="1:28" ht="27.6" x14ac:dyDescent="0.3">
      <c r="A75" s="24" t="s">
        <v>35</v>
      </c>
      <c r="B75" s="24" t="s">
        <v>35</v>
      </c>
      <c r="C75" s="24" t="s">
        <v>46</v>
      </c>
      <c r="D75" s="23"/>
      <c r="E75" s="20"/>
      <c r="F75" s="21"/>
      <c r="G75" s="23"/>
      <c r="H75" s="23"/>
      <c r="I75" s="3" t="s">
        <v>120</v>
      </c>
      <c r="J75" s="9"/>
      <c r="K75" s="9"/>
      <c r="L75" s="10">
        <f t="shared" ref="L75:L138" si="8">+J75-K75</f>
        <v>0</v>
      </c>
      <c r="M75" s="10"/>
      <c r="N75" s="10"/>
      <c r="O75" s="10"/>
      <c r="P75" s="38">
        <f t="shared" ref="P75:P138" si="9">IFERROR(IF(7&lt;&gt;0, K75*100/J75, IF(J75=K75, K75*100/J75, 0)), 0)</f>
        <v>0</v>
      </c>
      <c r="Q75" s="11"/>
      <c r="R75" s="11"/>
      <c r="S75" s="12">
        <f t="shared" ref="S75:S138" si="10">+Q75-R75</f>
        <v>0</v>
      </c>
      <c r="T75" s="28">
        <f t="shared" ref="T75:T138" si="11">IFERROR(IF(S75&lt;&gt;0, Q75*100/R75, IF(Q75=R75, Q75*100/R75, 0)), 0)</f>
        <v>0</v>
      </c>
      <c r="U75" s="9"/>
      <c r="V75" s="9"/>
      <c r="W75" s="9"/>
      <c r="X75" s="9"/>
      <c r="Y75" s="9"/>
      <c r="Z75" s="10">
        <f t="shared" ref="Z75:Z138" si="12">SUM(U75:Y75)</f>
        <v>0</v>
      </c>
      <c r="AA75" s="30">
        <f t="shared" ref="AA75:AA138" si="13">+Z75*100/50</f>
        <v>0</v>
      </c>
      <c r="AB75" s="32">
        <f t="shared" si="7"/>
        <v>0</v>
      </c>
    </row>
    <row r="76" spans="1:28" ht="27.6" hidden="1" x14ac:dyDescent="0.3">
      <c r="A76" s="24" t="s">
        <v>36</v>
      </c>
      <c r="B76" s="24"/>
      <c r="C76" s="24" t="s">
        <v>101</v>
      </c>
      <c r="D76" s="23"/>
      <c r="E76" s="20"/>
      <c r="F76" s="21"/>
      <c r="G76" s="23"/>
      <c r="H76" s="23"/>
      <c r="I76" s="3" t="s">
        <v>121</v>
      </c>
      <c r="J76" s="9"/>
      <c r="K76" s="9"/>
      <c r="L76" s="10">
        <f t="shared" si="8"/>
        <v>0</v>
      </c>
      <c r="M76" s="10"/>
      <c r="N76" s="10"/>
      <c r="O76" s="10"/>
      <c r="P76" s="38">
        <f t="shared" si="9"/>
        <v>0</v>
      </c>
      <c r="Q76" s="11"/>
      <c r="R76" s="11"/>
      <c r="S76" s="12">
        <f t="shared" si="10"/>
        <v>0</v>
      </c>
      <c r="T76" s="28">
        <f t="shared" si="11"/>
        <v>0</v>
      </c>
      <c r="U76" s="9"/>
      <c r="V76" s="9"/>
      <c r="W76" s="9"/>
      <c r="X76" s="9"/>
      <c r="Y76" s="9"/>
      <c r="Z76" s="10">
        <f t="shared" si="12"/>
        <v>0</v>
      </c>
      <c r="AA76" s="30">
        <f t="shared" si="13"/>
        <v>0</v>
      </c>
      <c r="AB76" s="32">
        <f t="shared" si="7"/>
        <v>0</v>
      </c>
    </row>
    <row r="77" spans="1:28" ht="27.6" hidden="1" x14ac:dyDescent="0.3">
      <c r="A77" s="24" t="s">
        <v>36</v>
      </c>
      <c r="B77" s="24"/>
      <c r="C77" s="24" t="s">
        <v>101</v>
      </c>
      <c r="D77" s="23"/>
      <c r="E77" s="20"/>
      <c r="F77" s="21"/>
      <c r="G77" s="23"/>
      <c r="H77" s="23"/>
      <c r="I77" s="3" t="s">
        <v>122</v>
      </c>
      <c r="J77" s="9"/>
      <c r="K77" s="9"/>
      <c r="L77" s="10">
        <f t="shared" si="8"/>
        <v>0</v>
      </c>
      <c r="M77" s="10"/>
      <c r="N77" s="10"/>
      <c r="O77" s="10"/>
      <c r="P77" s="38">
        <f t="shared" si="9"/>
        <v>0</v>
      </c>
      <c r="Q77" s="11"/>
      <c r="R77" s="11"/>
      <c r="S77" s="12">
        <f t="shared" si="10"/>
        <v>0</v>
      </c>
      <c r="T77" s="28">
        <f t="shared" si="11"/>
        <v>0</v>
      </c>
      <c r="U77" s="9"/>
      <c r="V77" s="9"/>
      <c r="W77" s="9"/>
      <c r="X77" s="9"/>
      <c r="Y77" s="9"/>
      <c r="Z77" s="10">
        <f t="shared" si="12"/>
        <v>0</v>
      </c>
      <c r="AA77" s="30">
        <f t="shared" si="13"/>
        <v>0</v>
      </c>
      <c r="AB77" s="32">
        <f t="shared" si="7"/>
        <v>0</v>
      </c>
    </row>
    <row r="78" spans="1:28" ht="27.6" hidden="1" x14ac:dyDescent="0.3">
      <c r="A78" s="24" t="s">
        <v>36</v>
      </c>
      <c r="B78" s="24" t="s">
        <v>35</v>
      </c>
      <c r="C78" s="24" t="s">
        <v>37</v>
      </c>
      <c r="D78" s="23"/>
      <c r="E78" s="20"/>
      <c r="F78" s="21"/>
      <c r="G78" s="23"/>
      <c r="H78" s="23"/>
      <c r="I78" s="3" t="s">
        <v>123</v>
      </c>
      <c r="J78" s="9"/>
      <c r="K78" s="9"/>
      <c r="L78" s="10">
        <f t="shared" si="8"/>
        <v>0</v>
      </c>
      <c r="M78" s="10"/>
      <c r="N78" s="10"/>
      <c r="O78" s="10"/>
      <c r="P78" s="38">
        <f t="shared" si="9"/>
        <v>0</v>
      </c>
      <c r="Q78" s="11"/>
      <c r="R78" s="11"/>
      <c r="S78" s="12">
        <f t="shared" si="10"/>
        <v>0</v>
      </c>
      <c r="T78" s="28">
        <f t="shared" si="11"/>
        <v>0</v>
      </c>
      <c r="U78" s="9"/>
      <c r="V78" s="9"/>
      <c r="W78" s="9"/>
      <c r="X78" s="9"/>
      <c r="Y78" s="9"/>
      <c r="Z78" s="10">
        <f t="shared" si="12"/>
        <v>0</v>
      </c>
      <c r="AA78" s="30">
        <f t="shared" si="13"/>
        <v>0</v>
      </c>
      <c r="AB78" s="32">
        <f t="shared" si="7"/>
        <v>0</v>
      </c>
    </row>
    <row r="79" spans="1:28" ht="27.6" hidden="1" x14ac:dyDescent="0.3">
      <c r="A79" s="24" t="s">
        <v>36</v>
      </c>
      <c r="B79" s="24" t="s">
        <v>35</v>
      </c>
      <c r="C79" s="24" t="s">
        <v>42</v>
      </c>
      <c r="D79" s="23"/>
      <c r="E79" s="20"/>
      <c r="F79" s="21"/>
      <c r="G79" s="23"/>
      <c r="H79" s="23"/>
      <c r="I79" s="3" t="s">
        <v>124</v>
      </c>
      <c r="J79" s="9"/>
      <c r="K79" s="9"/>
      <c r="L79" s="10">
        <f t="shared" si="8"/>
        <v>0</v>
      </c>
      <c r="M79" s="10"/>
      <c r="N79" s="10"/>
      <c r="O79" s="10"/>
      <c r="P79" s="38">
        <f t="shared" si="9"/>
        <v>0</v>
      </c>
      <c r="Q79" s="11"/>
      <c r="R79" s="11"/>
      <c r="S79" s="12">
        <f t="shared" si="10"/>
        <v>0</v>
      </c>
      <c r="T79" s="28">
        <f t="shared" si="11"/>
        <v>0</v>
      </c>
      <c r="U79" s="9"/>
      <c r="V79" s="9"/>
      <c r="W79" s="9"/>
      <c r="X79" s="9"/>
      <c r="Y79" s="9"/>
      <c r="Z79" s="10">
        <f t="shared" si="12"/>
        <v>0</v>
      </c>
      <c r="AA79" s="30">
        <f t="shared" si="13"/>
        <v>0</v>
      </c>
      <c r="AB79" s="32">
        <f t="shared" si="7"/>
        <v>0</v>
      </c>
    </row>
    <row r="80" spans="1:28" ht="27.6" hidden="1" x14ac:dyDescent="0.3">
      <c r="A80" s="24" t="s">
        <v>36</v>
      </c>
      <c r="B80" s="24" t="s">
        <v>35</v>
      </c>
      <c r="C80" s="24" t="s">
        <v>44</v>
      </c>
      <c r="D80" s="23"/>
      <c r="E80" s="20"/>
      <c r="F80" s="21"/>
      <c r="G80" s="23"/>
      <c r="H80" s="23"/>
      <c r="I80" s="3" t="s">
        <v>125</v>
      </c>
      <c r="J80" s="9"/>
      <c r="K80" s="9"/>
      <c r="L80" s="10">
        <f t="shared" si="8"/>
        <v>0</v>
      </c>
      <c r="M80" s="10"/>
      <c r="N80" s="10"/>
      <c r="O80" s="10"/>
      <c r="P80" s="38">
        <f t="shared" si="9"/>
        <v>0</v>
      </c>
      <c r="Q80" s="11"/>
      <c r="R80" s="11"/>
      <c r="S80" s="12">
        <f t="shared" si="10"/>
        <v>0</v>
      </c>
      <c r="T80" s="28">
        <f t="shared" si="11"/>
        <v>0</v>
      </c>
      <c r="U80" s="9"/>
      <c r="V80" s="9"/>
      <c r="W80" s="9"/>
      <c r="X80" s="9"/>
      <c r="Y80" s="9"/>
      <c r="Z80" s="10">
        <f t="shared" si="12"/>
        <v>0</v>
      </c>
      <c r="AA80" s="30">
        <f t="shared" si="13"/>
        <v>0</v>
      </c>
      <c r="AB80" s="32">
        <f t="shared" si="7"/>
        <v>0</v>
      </c>
    </row>
    <row r="81" spans="1:28" ht="27.6" x14ac:dyDescent="0.3">
      <c r="A81" s="24" t="s">
        <v>36</v>
      </c>
      <c r="B81" s="24" t="s">
        <v>35</v>
      </c>
      <c r="C81" s="24" t="s">
        <v>46</v>
      </c>
      <c r="D81" s="23"/>
      <c r="E81" s="20"/>
      <c r="F81" s="21"/>
      <c r="G81" s="23"/>
      <c r="H81" s="23"/>
      <c r="I81" s="3" t="s">
        <v>126</v>
      </c>
      <c r="J81" s="9"/>
      <c r="K81" s="9"/>
      <c r="L81" s="10">
        <f t="shared" si="8"/>
        <v>0</v>
      </c>
      <c r="M81" s="10"/>
      <c r="N81" s="10"/>
      <c r="O81" s="10"/>
      <c r="P81" s="38">
        <f t="shared" si="9"/>
        <v>0</v>
      </c>
      <c r="Q81" s="11"/>
      <c r="R81" s="11"/>
      <c r="S81" s="12">
        <f t="shared" si="10"/>
        <v>0</v>
      </c>
      <c r="T81" s="28">
        <f t="shared" si="11"/>
        <v>0</v>
      </c>
      <c r="U81" s="9"/>
      <c r="V81" s="9"/>
      <c r="W81" s="9"/>
      <c r="X81" s="9"/>
      <c r="Y81" s="9"/>
      <c r="Z81" s="10">
        <f t="shared" si="12"/>
        <v>0</v>
      </c>
      <c r="AA81" s="30">
        <f t="shared" si="13"/>
        <v>0</v>
      </c>
      <c r="AB81" s="32">
        <f t="shared" si="7"/>
        <v>0</v>
      </c>
    </row>
    <row r="82" spans="1:28" ht="27.6" hidden="1" x14ac:dyDescent="0.3">
      <c r="A82" s="24" t="s">
        <v>36</v>
      </c>
      <c r="B82" s="24" t="s">
        <v>35</v>
      </c>
      <c r="C82" s="24" t="s">
        <v>48</v>
      </c>
      <c r="D82" s="23"/>
      <c r="E82" s="20"/>
      <c r="F82" s="21"/>
      <c r="G82" s="23"/>
      <c r="H82" s="23"/>
      <c r="I82" s="3" t="s">
        <v>127</v>
      </c>
      <c r="J82" s="9"/>
      <c r="K82" s="9"/>
      <c r="L82" s="10">
        <f t="shared" si="8"/>
        <v>0</v>
      </c>
      <c r="M82" s="10"/>
      <c r="N82" s="10"/>
      <c r="O82" s="10"/>
      <c r="P82" s="38">
        <f t="shared" si="9"/>
        <v>0</v>
      </c>
      <c r="Q82" s="11"/>
      <c r="R82" s="11"/>
      <c r="S82" s="12">
        <f t="shared" si="10"/>
        <v>0</v>
      </c>
      <c r="T82" s="28">
        <f t="shared" si="11"/>
        <v>0</v>
      </c>
      <c r="U82" s="9"/>
      <c r="V82" s="9"/>
      <c r="W82" s="9"/>
      <c r="X82" s="9"/>
      <c r="Y82" s="9"/>
      <c r="Z82" s="10">
        <f t="shared" si="12"/>
        <v>0</v>
      </c>
      <c r="AA82" s="30">
        <f t="shared" si="13"/>
        <v>0</v>
      </c>
      <c r="AB82" s="32">
        <f t="shared" si="7"/>
        <v>0</v>
      </c>
    </row>
    <row r="83" spans="1:28" ht="27.6" x14ac:dyDescent="0.3">
      <c r="A83" s="24" t="s">
        <v>36</v>
      </c>
      <c r="B83" s="24" t="s">
        <v>35</v>
      </c>
      <c r="C83" s="24" t="s">
        <v>50</v>
      </c>
      <c r="D83" s="23"/>
      <c r="E83" s="20"/>
      <c r="F83" s="21"/>
      <c r="G83" s="23"/>
      <c r="H83" s="23"/>
      <c r="I83" s="3" t="s">
        <v>128</v>
      </c>
      <c r="J83" s="9"/>
      <c r="K83" s="9"/>
      <c r="L83" s="10">
        <f t="shared" si="8"/>
        <v>0</v>
      </c>
      <c r="M83" s="10"/>
      <c r="N83" s="10"/>
      <c r="O83" s="10"/>
      <c r="P83" s="38">
        <f t="shared" si="9"/>
        <v>0</v>
      </c>
      <c r="Q83" s="11"/>
      <c r="R83" s="11"/>
      <c r="S83" s="12">
        <f t="shared" si="10"/>
        <v>0</v>
      </c>
      <c r="T83" s="28">
        <f t="shared" si="11"/>
        <v>0</v>
      </c>
      <c r="U83" s="9"/>
      <c r="V83" s="9"/>
      <c r="W83" s="9"/>
      <c r="X83" s="9"/>
      <c r="Y83" s="9"/>
      <c r="Z83" s="10">
        <f t="shared" si="12"/>
        <v>0</v>
      </c>
      <c r="AA83" s="30">
        <f t="shared" si="13"/>
        <v>0</v>
      </c>
      <c r="AB83" s="32">
        <f t="shared" si="7"/>
        <v>0</v>
      </c>
    </row>
    <row r="84" spans="1:28" ht="41.4" x14ac:dyDescent="0.3">
      <c r="A84" s="24" t="s">
        <v>36</v>
      </c>
      <c r="B84" s="24" t="s">
        <v>35</v>
      </c>
      <c r="C84" s="24" t="s">
        <v>46</v>
      </c>
      <c r="D84" s="23"/>
      <c r="E84" s="20"/>
      <c r="F84" s="21"/>
      <c r="G84" s="23"/>
      <c r="H84" s="23"/>
      <c r="I84" s="3" t="s">
        <v>129</v>
      </c>
      <c r="J84" s="9"/>
      <c r="K84" s="9"/>
      <c r="L84" s="10">
        <f t="shared" si="8"/>
        <v>0</v>
      </c>
      <c r="M84" s="10"/>
      <c r="N84" s="10"/>
      <c r="O84" s="10"/>
      <c r="P84" s="38">
        <f t="shared" si="9"/>
        <v>0</v>
      </c>
      <c r="Q84" s="11"/>
      <c r="R84" s="11"/>
      <c r="S84" s="12">
        <f t="shared" si="10"/>
        <v>0</v>
      </c>
      <c r="T84" s="28">
        <f t="shared" si="11"/>
        <v>0</v>
      </c>
      <c r="U84" s="9"/>
      <c r="V84" s="9"/>
      <c r="W84" s="9"/>
      <c r="X84" s="9"/>
      <c r="Y84" s="9"/>
      <c r="Z84" s="10">
        <f t="shared" si="12"/>
        <v>0</v>
      </c>
      <c r="AA84" s="30">
        <f t="shared" si="13"/>
        <v>0</v>
      </c>
      <c r="AB84" s="32">
        <f t="shared" si="7"/>
        <v>0</v>
      </c>
    </row>
    <row r="85" spans="1:28" ht="41.4" hidden="1" x14ac:dyDescent="0.3">
      <c r="A85" s="24" t="s">
        <v>36</v>
      </c>
      <c r="B85" s="24" t="s">
        <v>35</v>
      </c>
      <c r="C85" s="24" t="s">
        <v>48</v>
      </c>
      <c r="D85" s="23"/>
      <c r="E85" s="20"/>
      <c r="F85" s="21"/>
      <c r="G85" s="23"/>
      <c r="H85" s="23"/>
      <c r="I85" s="3" t="s">
        <v>130</v>
      </c>
      <c r="J85" s="9"/>
      <c r="K85" s="9"/>
      <c r="L85" s="10">
        <f t="shared" si="8"/>
        <v>0</v>
      </c>
      <c r="M85" s="10"/>
      <c r="N85" s="10"/>
      <c r="O85" s="10"/>
      <c r="P85" s="38">
        <f t="shared" si="9"/>
        <v>0</v>
      </c>
      <c r="Q85" s="11"/>
      <c r="R85" s="11"/>
      <c r="S85" s="12">
        <f t="shared" si="10"/>
        <v>0</v>
      </c>
      <c r="T85" s="28">
        <f t="shared" si="11"/>
        <v>0</v>
      </c>
      <c r="U85" s="9"/>
      <c r="V85" s="9"/>
      <c r="W85" s="9"/>
      <c r="X85" s="9"/>
      <c r="Y85" s="9"/>
      <c r="Z85" s="10">
        <f t="shared" si="12"/>
        <v>0</v>
      </c>
      <c r="AA85" s="30">
        <f t="shared" si="13"/>
        <v>0</v>
      </c>
      <c r="AB85" s="32">
        <f t="shared" si="7"/>
        <v>0</v>
      </c>
    </row>
    <row r="86" spans="1:28" ht="41.4" x14ac:dyDescent="0.3">
      <c r="A86" s="24" t="s">
        <v>36</v>
      </c>
      <c r="B86" s="24" t="s">
        <v>35</v>
      </c>
      <c r="C86" s="24" t="s">
        <v>50</v>
      </c>
      <c r="D86" s="23"/>
      <c r="E86" s="20"/>
      <c r="F86" s="21"/>
      <c r="G86" s="23"/>
      <c r="H86" s="23"/>
      <c r="I86" s="3" t="s">
        <v>131</v>
      </c>
      <c r="J86" s="9"/>
      <c r="K86" s="9"/>
      <c r="L86" s="10">
        <f t="shared" si="8"/>
        <v>0</v>
      </c>
      <c r="M86" s="10"/>
      <c r="N86" s="10"/>
      <c r="O86" s="10"/>
      <c r="P86" s="38">
        <f t="shared" si="9"/>
        <v>0</v>
      </c>
      <c r="Q86" s="11"/>
      <c r="R86" s="11"/>
      <c r="S86" s="12">
        <f t="shared" si="10"/>
        <v>0</v>
      </c>
      <c r="T86" s="28">
        <f t="shared" si="11"/>
        <v>0</v>
      </c>
      <c r="U86" s="9"/>
      <c r="V86" s="9"/>
      <c r="W86" s="9"/>
      <c r="X86" s="9"/>
      <c r="Y86" s="9"/>
      <c r="Z86" s="10">
        <f t="shared" si="12"/>
        <v>0</v>
      </c>
      <c r="AA86" s="30">
        <f t="shared" si="13"/>
        <v>0</v>
      </c>
      <c r="AB86" s="32">
        <f t="shared" si="7"/>
        <v>0</v>
      </c>
    </row>
    <row r="87" spans="1:28" ht="27.6" hidden="1" x14ac:dyDescent="0.3">
      <c r="A87" s="24" t="s">
        <v>36</v>
      </c>
      <c r="B87" s="24"/>
      <c r="C87" s="24" t="s">
        <v>101</v>
      </c>
      <c r="D87" s="23"/>
      <c r="E87" s="20"/>
      <c r="F87" s="21"/>
      <c r="G87" s="23"/>
      <c r="H87" s="23"/>
      <c r="I87" s="3" t="s">
        <v>132</v>
      </c>
      <c r="J87" s="9"/>
      <c r="K87" s="9"/>
      <c r="L87" s="10">
        <f t="shared" si="8"/>
        <v>0</v>
      </c>
      <c r="M87" s="10"/>
      <c r="N87" s="10"/>
      <c r="O87" s="10"/>
      <c r="P87" s="38">
        <f t="shared" si="9"/>
        <v>0</v>
      </c>
      <c r="Q87" s="11"/>
      <c r="R87" s="11"/>
      <c r="S87" s="12">
        <f t="shared" si="10"/>
        <v>0</v>
      </c>
      <c r="T87" s="28">
        <f t="shared" si="11"/>
        <v>0</v>
      </c>
      <c r="U87" s="9"/>
      <c r="V87" s="9"/>
      <c r="W87" s="9"/>
      <c r="X87" s="9"/>
      <c r="Y87" s="9"/>
      <c r="Z87" s="10">
        <f t="shared" si="12"/>
        <v>0</v>
      </c>
      <c r="AA87" s="30">
        <f t="shared" si="13"/>
        <v>0</v>
      </c>
      <c r="AB87" s="32">
        <f t="shared" si="7"/>
        <v>0</v>
      </c>
    </row>
    <row r="88" spans="1:28" ht="41.4" hidden="1" x14ac:dyDescent="0.3">
      <c r="A88" s="24" t="s">
        <v>36</v>
      </c>
      <c r="B88" s="24"/>
      <c r="C88" s="24" t="s">
        <v>101</v>
      </c>
      <c r="D88" s="23"/>
      <c r="E88" s="20"/>
      <c r="F88" s="21"/>
      <c r="G88" s="23"/>
      <c r="H88" s="23"/>
      <c r="I88" s="3" t="s">
        <v>133</v>
      </c>
      <c r="J88" s="9"/>
      <c r="K88" s="9"/>
      <c r="L88" s="10">
        <f t="shared" si="8"/>
        <v>0</v>
      </c>
      <c r="M88" s="10"/>
      <c r="N88" s="10"/>
      <c r="O88" s="10"/>
      <c r="P88" s="38">
        <f t="shared" si="9"/>
        <v>0</v>
      </c>
      <c r="Q88" s="11"/>
      <c r="R88" s="11"/>
      <c r="S88" s="12">
        <f t="shared" si="10"/>
        <v>0</v>
      </c>
      <c r="T88" s="28">
        <f t="shared" si="11"/>
        <v>0</v>
      </c>
      <c r="U88" s="9"/>
      <c r="V88" s="9"/>
      <c r="W88" s="9"/>
      <c r="X88" s="9"/>
      <c r="Y88" s="9"/>
      <c r="Z88" s="10">
        <f t="shared" si="12"/>
        <v>0</v>
      </c>
      <c r="AA88" s="30">
        <f t="shared" si="13"/>
        <v>0</v>
      </c>
      <c r="AB88" s="32">
        <f t="shared" si="7"/>
        <v>0</v>
      </c>
    </row>
    <row r="89" spans="1:28" ht="27.6" hidden="1" x14ac:dyDescent="0.3">
      <c r="A89" s="24" t="s">
        <v>36</v>
      </c>
      <c r="B89" s="24" t="s">
        <v>35</v>
      </c>
      <c r="C89" s="24" t="s">
        <v>37</v>
      </c>
      <c r="D89" s="23"/>
      <c r="E89" s="20"/>
      <c r="F89" s="21"/>
      <c r="G89" s="23"/>
      <c r="H89" s="23"/>
      <c r="I89" s="3" t="s">
        <v>134</v>
      </c>
      <c r="J89" s="9"/>
      <c r="K89" s="9"/>
      <c r="L89" s="10">
        <f t="shared" si="8"/>
        <v>0</v>
      </c>
      <c r="M89" s="10"/>
      <c r="N89" s="10"/>
      <c r="O89" s="10"/>
      <c r="P89" s="38">
        <f t="shared" si="9"/>
        <v>0</v>
      </c>
      <c r="Q89" s="11"/>
      <c r="R89" s="11"/>
      <c r="S89" s="12">
        <f t="shared" si="10"/>
        <v>0</v>
      </c>
      <c r="T89" s="28">
        <f t="shared" si="11"/>
        <v>0</v>
      </c>
      <c r="U89" s="9"/>
      <c r="V89" s="9"/>
      <c r="W89" s="9"/>
      <c r="X89" s="9"/>
      <c r="Y89" s="9"/>
      <c r="Z89" s="10">
        <f t="shared" si="12"/>
        <v>0</v>
      </c>
      <c r="AA89" s="30">
        <f t="shared" si="13"/>
        <v>0</v>
      </c>
      <c r="AB89" s="32">
        <f t="shared" si="7"/>
        <v>0</v>
      </c>
    </row>
    <row r="90" spans="1:28" ht="27.6" hidden="1" x14ac:dyDescent="0.3">
      <c r="A90" s="24" t="s">
        <v>36</v>
      </c>
      <c r="B90" s="24" t="s">
        <v>35</v>
      </c>
      <c r="C90" s="24" t="s">
        <v>42</v>
      </c>
      <c r="D90" s="23"/>
      <c r="E90" s="20"/>
      <c r="F90" s="21"/>
      <c r="G90" s="23"/>
      <c r="H90" s="23"/>
      <c r="I90" s="3" t="s">
        <v>135</v>
      </c>
      <c r="J90" s="9"/>
      <c r="K90" s="9"/>
      <c r="L90" s="10">
        <f t="shared" si="8"/>
        <v>0</v>
      </c>
      <c r="M90" s="10"/>
      <c r="N90" s="10"/>
      <c r="O90" s="10"/>
      <c r="P90" s="38">
        <f t="shared" si="9"/>
        <v>0</v>
      </c>
      <c r="Q90" s="11"/>
      <c r="R90" s="11"/>
      <c r="S90" s="12">
        <f t="shared" si="10"/>
        <v>0</v>
      </c>
      <c r="T90" s="28">
        <f t="shared" si="11"/>
        <v>0</v>
      </c>
      <c r="U90" s="9"/>
      <c r="V90" s="9"/>
      <c r="W90" s="9"/>
      <c r="X90" s="9"/>
      <c r="Y90" s="9"/>
      <c r="Z90" s="10">
        <f t="shared" si="12"/>
        <v>0</v>
      </c>
      <c r="AA90" s="30">
        <f t="shared" si="13"/>
        <v>0</v>
      </c>
      <c r="AB90" s="32">
        <f t="shared" si="7"/>
        <v>0</v>
      </c>
    </row>
    <row r="91" spans="1:28" ht="27.6" hidden="1" x14ac:dyDescent="0.3">
      <c r="A91" s="24" t="s">
        <v>36</v>
      </c>
      <c r="B91" s="24" t="s">
        <v>35</v>
      </c>
      <c r="C91" s="24" t="s">
        <v>44</v>
      </c>
      <c r="D91" s="23"/>
      <c r="E91" s="20"/>
      <c r="F91" s="21"/>
      <c r="G91" s="23"/>
      <c r="H91" s="23"/>
      <c r="I91" s="3" t="s">
        <v>136</v>
      </c>
      <c r="J91" s="9"/>
      <c r="K91" s="9"/>
      <c r="L91" s="10">
        <f t="shared" si="8"/>
        <v>0</v>
      </c>
      <c r="M91" s="10"/>
      <c r="N91" s="10"/>
      <c r="O91" s="10"/>
      <c r="P91" s="38">
        <f t="shared" si="9"/>
        <v>0</v>
      </c>
      <c r="Q91" s="11"/>
      <c r="R91" s="11"/>
      <c r="S91" s="12">
        <f t="shared" si="10"/>
        <v>0</v>
      </c>
      <c r="T91" s="28">
        <f t="shared" si="11"/>
        <v>0</v>
      </c>
      <c r="U91" s="9"/>
      <c r="V91" s="9"/>
      <c r="W91" s="9"/>
      <c r="X91" s="9"/>
      <c r="Y91" s="9"/>
      <c r="Z91" s="10">
        <f t="shared" si="12"/>
        <v>0</v>
      </c>
      <c r="AA91" s="30">
        <f t="shared" si="13"/>
        <v>0</v>
      </c>
      <c r="AB91" s="32">
        <f t="shared" si="7"/>
        <v>0</v>
      </c>
    </row>
    <row r="92" spans="1:28" ht="27.6" hidden="1" x14ac:dyDescent="0.3">
      <c r="A92" s="24" t="s">
        <v>36</v>
      </c>
      <c r="B92" s="24" t="s">
        <v>64</v>
      </c>
      <c r="C92" s="24" t="s">
        <v>65</v>
      </c>
      <c r="D92" s="23"/>
      <c r="E92" s="20"/>
      <c r="F92" s="21"/>
      <c r="G92" s="23"/>
      <c r="H92" s="23"/>
      <c r="I92" s="3" t="s">
        <v>137</v>
      </c>
      <c r="J92" s="9"/>
      <c r="K92" s="9"/>
      <c r="L92" s="10">
        <f t="shared" si="8"/>
        <v>0</v>
      </c>
      <c r="M92" s="10"/>
      <c r="N92" s="10"/>
      <c r="O92" s="10"/>
      <c r="P92" s="38">
        <f t="shared" si="9"/>
        <v>0</v>
      </c>
      <c r="Q92" s="11"/>
      <c r="R92" s="11"/>
      <c r="S92" s="12">
        <f t="shared" si="10"/>
        <v>0</v>
      </c>
      <c r="T92" s="28">
        <f t="shared" si="11"/>
        <v>0</v>
      </c>
      <c r="U92" s="9"/>
      <c r="V92" s="9"/>
      <c r="W92" s="9"/>
      <c r="X92" s="9"/>
      <c r="Y92" s="9"/>
      <c r="Z92" s="10">
        <f t="shared" si="12"/>
        <v>0</v>
      </c>
      <c r="AA92" s="30">
        <f t="shared" si="13"/>
        <v>0</v>
      </c>
      <c r="AB92" s="32">
        <f t="shared" si="7"/>
        <v>0</v>
      </c>
    </row>
    <row r="93" spans="1:28" ht="27.6" hidden="1" x14ac:dyDescent="0.3">
      <c r="A93" s="24" t="s">
        <v>36</v>
      </c>
      <c r="B93" s="24" t="s">
        <v>103</v>
      </c>
      <c r="C93" s="24" t="s">
        <v>104</v>
      </c>
      <c r="D93" s="23"/>
      <c r="E93" s="20"/>
      <c r="F93" s="21"/>
      <c r="G93" s="23"/>
      <c r="H93" s="23"/>
      <c r="I93" s="3" t="s">
        <v>138</v>
      </c>
      <c r="J93" s="9"/>
      <c r="K93" s="9"/>
      <c r="L93" s="10">
        <f t="shared" si="8"/>
        <v>0</v>
      </c>
      <c r="M93" s="10"/>
      <c r="N93" s="10"/>
      <c r="O93" s="10"/>
      <c r="P93" s="38">
        <f t="shared" si="9"/>
        <v>0</v>
      </c>
      <c r="Q93" s="11"/>
      <c r="R93" s="11"/>
      <c r="S93" s="12">
        <f t="shared" si="10"/>
        <v>0</v>
      </c>
      <c r="T93" s="28">
        <f t="shared" si="11"/>
        <v>0</v>
      </c>
      <c r="U93" s="9"/>
      <c r="V93" s="9"/>
      <c r="W93" s="9"/>
      <c r="X93" s="9"/>
      <c r="Y93" s="9"/>
      <c r="Z93" s="10">
        <f t="shared" si="12"/>
        <v>0</v>
      </c>
      <c r="AA93" s="30">
        <f t="shared" si="13"/>
        <v>0</v>
      </c>
      <c r="AB93" s="32">
        <f t="shared" si="7"/>
        <v>0</v>
      </c>
    </row>
    <row r="94" spans="1:28" ht="27.6" hidden="1" x14ac:dyDescent="0.3">
      <c r="A94" s="24" t="s">
        <v>36</v>
      </c>
      <c r="B94" s="24"/>
      <c r="C94" s="24" t="s">
        <v>101</v>
      </c>
      <c r="D94" s="23"/>
      <c r="E94" s="20"/>
      <c r="F94" s="21"/>
      <c r="G94" s="23"/>
      <c r="H94" s="23"/>
      <c r="I94" s="3" t="s">
        <v>139</v>
      </c>
      <c r="J94" s="9"/>
      <c r="K94" s="9"/>
      <c r="L94" s="10">
        <f t="shared" si="8"/>
        <v>0</v>
      </c>
      <c r="M94" s="10"/>
      <c r="N94" s="10"/>
      <c r="O94" s="10"/>
      <c r="P94" s="38">
        <f t="shared" si="9"/>
        <v>0</v>
      </c>
      <c r="Q94" s="11"/>
      <c r="R94" s="11"/>
      <c r="S94" s="12">
        <f t="shared" si="10"/>
        <v>0</v>
      </c>
      <c r="T94" s="28">
        <f t="shared" si="11"/>
        <v>0</v>
      </c>
      <c r="U94" s="9"/>
      <c r="V94" s="9"/>
      <c r="W94" s="9"/>
      <c r="X94" s="9"/>
      <c r="Y94" s="9"/>
      <c r="Z94" s="10">
        <f t="shared" si="12"/>
        <v>0</v>
      </c>
      <c r="AA94" s="30">
        <f t="shared" si="13"/>
        <v>0</v>
      </c>
      <c r="AB94" s="32">
        <f t="shared" si="7"/>
        <v>0</v>
      </c>
    </row>
    <row r="95" spans="1:28" ht="27.6" hidden="1" x14ac:dyDescent="0.3">
      <c r="A95" s="24" t="s">
        <v>36</v>
      </c>
      <c r="B95" s="24" t="s">
        <v>35</v>
      </c>
      <c r="C95" s="24" t="s">
        <v>101</v>
      </c>
      <c r="D95" s="23"/>
      <c r="E95" s="20"/>
      <c r="F95" s="21"/>
      <c r="G95" s="23"/>
      <c r="H95" s="23"/>
      <c r="I95" s="3" t="s">
        <v>140</v>
      </c>
      <c r="J95" s="9"/>
      <c r="K95" s="9"/>
      <c r="L95" s="10">
        <f t="shared" si="8"/>
        <v>0</v>
      </c>
      <c r="M95" s="10"/>
      <c r="N95" s="10"/>
      <c r="O95" s="10"/>
      <c r="P95" s="38">
        <f t="shared" si="9"/>
        <v>0</v>
      </c>
      <c r="Q95" s="11"/>
      <c r="R95" s="11"/>
      <c r="S95" s="12">
        <f t="shared" si="10"/>
        <v>0</v>
      </c>
      <c r="T95" s="28">
        <f t="shared" si="11"/>
        <v>0</v>
      </c>
      <c r="U95" s="9"/>
      <c r="V95" s="9"/>
      <c r="W95" s="9"/>
      <c r="X95" s="9"/>
      <c r="Y95" s="9"/>
      <c r="Z95" s="10">
        <f t="shared" si="12"/>
        <v>0</v>
      </c>
      <c r="AA95" s="30">
        <f t="shared" si="13"/>
        <v>0</v>
      </c>
      <c r="AB95" s="32">
        <f t="shared" si="7"/>
        <v>0</v>
      </c>
    </row>
    <row r="96" spans="1:28" ht="27.6" hidden="1" x14ac:dyDescent="0.3">
      <c r="A96" s="24" t="s">
        <v>36</v>
      </c>
      <c r="B96" s="24"/>
      <c r="C96" s="24" t="s">
        <v>95</v>
      </c>
      <c r="D96" s="23"/>
      <c r="E96" s="20"/>
      <c r="F96" s="21"/>
      <c r="G96" s="23"/>
      <c r="H96" s="23"/>
      <c r="I96" s="3" t="s">
        <v>141</v>
      </c>
      <c r="J96" s="9"/>
      <c r="K96" s="9"/>
      <c r="L96" s="10">
        <f t="shared" si="8"/>
        <v>0</v>
      </c>
      <c r="M96" s="10"/>
      <c r="N96" s="10"/>
      <c r="O96" s="10"/>
      <c r="P96" s="38">
        <f t="shared" si="9"/>
        <v>0</v>
      </c>
      <c r="Q96" s="11"/>
      <c r="R96" s="11"/>
      <c r="S96" s="12">
        <f t="shared" si="10"/>
        <v>0</v>
      </c>
      <c r="T96" s="28">
        <f t="shared" si="11"/>
        <v>0</v>
      </c>
      <c r="U96" s="9"/>
      <c r="V96" s="9"/>
      <c r="W96" s="9"/>
      <c r="X96" s="9"/>
      <c r="Y96" s="9"/>
      <c r="Z96" s="10">
        <f t="shared" si="12"/>
        <v>0</v>
      </c>
      <c r="AA96" s="30">
        <f t="shared" si="13"/>
        <v>0</v>
      </c>
      <c r="AB96" s="32">
        <f t="shared" si="7"/>
        <v>0</v>
      </c>
    </row>
    <row r="97" spans="1:28" ht="27.6" hidden="1" x14ac:dyDescent="0.3">
      <c r="A97" s="24" t="s">
        <v>36</v>
      </c>
      <c r="B97" s="24"/>
      <c r="C97" s="24" t="s">
        <v>101</v>
      </c>
      <c r="D97" s="23"/>
      <c r="E97" s="20"/>
      <c r="F97" s="21"/>
      <c r="G97" s="23"/>
      <c r="H97" s="23"/>
      <c r="I97" s="3" t="s">
        <v>142</v>
      </c>
      <c r="J97" s="9"/>
      <c r="K97" s="9"/>
      <c r="L97" s="10">
        <f t="shared" si="8"/>
        <v>0</v>
      </c>
      <c r="M97" s="10"/>
      <c r="N97" s="10"/>
      <c r="O97" s="10"/>
      <c r="P97" s="38">
        <f t="shared" si="9"/>
        <v>0</v>
      </c>
      <c r="Q97" s="11"/>
      <c r="R97" s="11"/>
      <c r="S97" s="12">
        <f t="shared" si="10"/>
        <v>0</v>
      </c>
      <c r="T97" s="28">
        <f t="shared" si="11"/>
        <v>0</v>
      </c>
      <c r="U97" s="9"/>
      <c r="V97" s="9"/>
      <c r="W97" s="9"/>
      <c r="X97" s="9"/>
      <c r="Y97" s="9"/>
      <c r="Z97" s="10">
        <f t="shared" si="12"/>
        <v>0</v>
      </c>
      <c r="AA97" s="30">
        <f t="shared" si="13"/>
        <v>0</v>
      </c>
      <c r="AB97" s="32">
        <f t="shared" si="7"/>
        <v>0</v>
      </c>
    </row>
    <row r="98" spans="1:28" ht="27.6" hidden="1" x14ac:dyDescent="0.3">
      <c r="A98" s="24" t="s">
        <v>36</v>
      </c>
      <c r="B98" s="24"/>
      <c r="C98" s="24" t="s">
        <v>101</v>
      </c>
      <c r="D98" s="23"/>
      <c r="E98" s="20"/>
      <c r="F98" s="21"/>
      <c r="G98" s="23"/>
      <c r="H98" s="23"/>
      <c r="I98" s="3" t="s">
        <v>143</v>
      </c>
      <c r="J98" s="9"/>
      <c r="K98" s="9"/>
      <c r="L98" s="10">
        <f t="shared" si="8"/>
        <v>0</v>
      </c>
      <c r="M98" s="10"/>
      <c r="N98" s="10"/>
      <c r="O98" s="10"/>
      <c r="P98" s="38">
        <f t="shared" si="9"/>
        <v>0</v>
      </c>
      <c r="Q98" s="11"/>
      <c r="R98" s="11"/>
      <c r="S98" s="12">
        <f t="shared" si="10"/>
        <v>0</v>
      </c>
      <c r="T98" s="28">
        <f t="shared" si="11"/>
        <v>0</v>
      </c>
      <c r="U98" s="9"/>
      <c r="V98" s="9"/>
      <c r="W98" s="9"/>
      <c r="X98" s="9"/>
      <c r="Y98" s="9"/>
      <c r="Z98" s="10">
        <f t="shared" si="12"/>
        <v>0</v>
      </c>
      <c r="AA98" s="30">
        <f t="shared" si="13"/>
        <v>0</v>
      </c>
      <c r="AB98" s="32">
        <f t="shared" si="7"/>
        <v>0</v>
      </c>
    </row>
    <row r="99" spans="1:28" ht="41.4" hidden="1" x14ac:dyDescent="0.3">
      <c r="A99" s="24" t="s">
        <v>36</v>
      </c>
      <c r="B99" s="24"/>
      <c r="C99" s="24" t="s">
        <v>101</v>
      </c>
      <c r="D99" s="23"/>
      <c r="E99" s="20"/>
      <c r="F99" s="21"/>
      <c r="G99" s="23"/>
      <c r="H99" s="23"/>
      <c r="I99" s="3" t="s">
        <v>144</v>
      </c>
      <c r="J99" s="9"/>
      <c r="K99" s="9"/>
      <c r="L99" s="10">
        <f t="shared" si="8"/>
        <v>0</v>
      </c>
      <c r="M99" s="10"/>
      <c r="N99" s="10"/>
      <c r="O99" s="10"/>
      <c r="P99" s="38">
        <f t="shared" si="9"/>
        <v>0</v>
      </c>
      <c r="Q99" s="11"/>
      <c r="R99" s="11"/>
      <c r="S99" s="12">
        <f t="shared" si="10"/>
        <v>0</v>
      </c>
      <c r="T99" s="28">
        <f t="shared" si="11"/>
        <v>0</v>
      </c>
      <c r="U99" s="9"/>
      <c r="V99" s="9"/>
      <c r="W99" s="9"/>
      <c r="X99" s="9"/>
      <c r="Y99" s="9"/>
      <c r="Z99" s="10">
        <f t="shared" si="12"/>
        <v>0</v>
      </c>
      <c r="AA99" s="30">
        <f t="shared" si="13"/>
        <v>0</v>
      </c>
      <c r="AB99" s="32">
        <f t="shared" si="7"/>
        <v>0</v>
      </c>
    </row>
    <row r="100" spans="1:28" ht="27.6" hidden="1" x14ac:dyDescent="0.3">
      <c r="A100" s="24" t="s">
        <v>36</v>
      </c>
      <c r="B100" s="24" t="s">
        <v>35</v>
      </c>
      <c r="C100" s="24" t="s">
        <v>37</v>
      </c>
      <c r="D100" s="23"/>
      <c r="E100" s="20"/>
      <c r="F100" s="21"/>
      <c r="G100" s="23"/>
      <c r="H100" s="23"/>
      <c r="I100" s="3" t="s">
        <v>145</v>
      </c>
      <c r="J100" s="9"/>
      <c r="K100" s="9"/>
      <c r="L100" s="10">
        <f t="shared" si="8"/>
        <v>0</v>
      </c>
      <c r="M100" s="10"/>
      <c r="N100" s="10"/>
      <c r="O100" s="10"/>
      <c r="P100" s="38">
        <f t="shared" si="9"/>
        <v>0</v>
      </c>
      <c r="Q100" s="11"/>
      <c r="R100" s="11"/>
      <c r="S100" s="12">
        <f t="shared" si="10"/>
        <v>0</v>
      </c>
      <c r="T100" s="28">
        <f t="shared" si="11"/>
        <v>0</v>
      </c>
      <c r="U100" s="9"/>
      <c r="V100" s="9"/>
      <c r="W100" s="9"/>
      <c r="X100" s="9"/>
      <c r="Y100" s="9"/>
      <c r="Z100" s="10">
        <f t="shared" si="12"/>
        <v>0</v>
      </c>
      <c r="AA100" s="30">
        <f t="shared" si="13"/>
        <v>0</v>
      </c>
      <c r="AB100" s="32">
        <f t="shared" si="7"/>
        <v>0</v>
      </c>
    </row>
    <row r="101" spans="1:28" ht="27.6" hidden="1" x14ac:dyDescent="0.3">
      <c r="A101" s="24" t="s">
        <v>36</v>
      </c>
      <c r="B101" s="24" t="s">
        <v>35</v>
      </c>
      <c r="C101" s="24" t="s">
        <v>42</v>
      </c>
      <c r="D101" s="23"/>
      <c r="E101" s="20"/>
      <c r="F101" s="21"/>
      <c r="G101" s="23"/>
      <c r="H101" s="23"/>
      <c r="I101" s="3" t="s">
        <v>146</v>
      </c>
      <c r="J101" s="9"/>
      <c r="K101" s="9"/>
      <c r="L101" s="10">
        <f t="shared" si="8"/>
        <v>0</v>
      </c>
      <c r="M101" s="10"/>
      <c r="N101" s="10"/>
      <c r="O101" s="10"/>
      <c r="P101" s="38">
        <f t="shared" si="9"/>
        <v>0</v>
      </c>
      <c r="Q101" s="11"/>
      <c r="R101" s="11"/>
      <c r="S101" s="12">
        <f t="shared" si="10"/>
        <v>0</v>
      </c>
      <c r="T101" s="28">
        <f t="shared" si="11"/>
        <v>0</v>
      </c>
      <c r="U101" s="9"/>
      <c r="V101" s="9"/>
      <c r="W101" s="9"/>
      <c r="X101" s="9"/>
      <c r="Y101" s="9"/>
      <c r="Z101" s="10">
        <f t="shared" si="12"/>
        <v>0</v>
      </c>
      <c r="AA101" s="30">
        <f t="shared" si="13"/>
        <v>0</v>
      </c>
      <c r="AB101" s="32">
        <f t="shared" si="7"/>
        <v>0</v>
      </c>
    </row>
    <row r="102" spans="1:28" ht="27.6" hidden="1" x14ac:dyDescent="0.3">
      <c r="A102" s="24" t="s">
        <v>36</v>
      </c>
      <c r="B102" s="24" t="s">
        <v>35</v>
      </c>
      <c r="C102" s="24" t="s">
        <v>44</v>
      </c>
      <c r="D102" s="23"/>
      <c r="E102" s="20"/>
      <c r="F102" s="21"/>
      <c r="G102" s="23"/>
      <c r="H102" s="23"/>
      <c r="I102" s="3" t="s">
        <v>147</v>
      </c>
      <c r="J102" s="9"/>
      <c r="K102" s="9"/>
      <c r="L102" s="10">
        <f t="shared" si="8"/>
        <v>0</v>
      </c>
      <c r="M102" s="10"/>
      <c r="N102" s="10"/>
      <c r="O102" s="10"/>
      <c r="P102" s="38">
        <f t="shared" si="9"/>
        <v>0</v>
      </c>
      <c r="Q102" s="11"/>
      <c r="R102" s="11"/>
      <c r="S102" s="12">
        <f t="shared" si="10"/>
        <v>0</v>
      </c>
      <c r="T102" s="28">
        <f t="shared" si="11"/>
        <v>0</v>
      </c>
      <c r="U102" s="9"/>
      <c r="V102" s="9"/>
      <c r="W102" s="9"/>
      <c r="X102" s="9"/>
      <c r="Y102" s="9"/>
      <c r="Z102" s="10">
        <f t="shared" si="12"/>
        <v>0</v>
      </c>
      <c r="AA102" s="30">
        <f t="shared" si="13"/>
        <v>0</v>
      </c>
      <c r="AB102" s="32">
        <f t="shared" si="7"/>
        <v>0</v>
      </c>
    </row>
    <row r="103" spans="1:28" ht="27.6" hidden="1" x14ac:dyDescent="0.3">
      <c r="A103" s="24" t="s">
        <v>36</v>
      </c>
      <c r="B103" s="24" t="s">
        <v>64</v>
      </c>
      <c r="C103" s="24" t="s">
        <v>65</v>
      </c>
      <c r="D103" s="23"/>
      <c r="E103" s="20"/>
      <c r="F103" s="21"/>
      <c r="G103" s="23"/>
      <c r="H103" s="23"/>
      <c r="I103" s="3" t="s">
        <v>148</v>
      </c>
      <c r="J103" s="9"/>
      <c r="K103" s="9"/>
      <c r="L103" s="10">
        <f t="shared" si="8"/>
        <v>0</v>
      </c>
      <c r="M103" s="10"/>
      <c r="N103" s="10"/>
      <c r="O103" s="10"/>
      <c r="P103" s="38">
        <f t="shared" si="9"/>
        <v>0</v>
      </c>
      <c r="Q103" s="11"/>
      <c r="R103" s="11"/>
      <c r="S103" s="12">
        <f t="shared" si="10"/>
        <v>0</v>
      </c>
      <c r="T103" s="28">
        <f t="shared" si="11"/>
        <v>0</v>
      </c>
      <c r="U103" s="9"/>
      <c r="V103" s="9"/>
      <c r="W103" s="9"/>
      <c r="X103" s="9"/>
      <c r="Y103" s="9"/>
      <c r="Z103" s="10">
        <f t="shared" si="12"/>
        <v>0</v>
      </c>
      <c r="AA103" s="30">
        <f t="shared" si="13"/>
        <v>0</v>
      </c>
      <c r="AB103" s="32">
        <f t="shared" si="7"/>
        <v>0</v>
      </c>
    </row>
    <row r="104" spans="1:28" ht="27.6" hidden="1" x14ac:dyDescent="0.3">
      <c r="A104" s="24" t="s">
        <v>36</v>
      </c>
      <c r="B104" s="24" t="s">
        <v>103</v>
      </c>
      <c r="C104" s="24" t="s">
        <v>104</v>
      </c>
      <c r="D104" s="23"/>
      <c r="E104" s="20"/>
      <c r="F104" s="21"/>
      <c r="G104" s="23"/>
      <c r="H104" s="23"/>
      <c r="I104" s="3" t="s">
        <v>149</v>
      </c>
      <c r="J104" s="9"/>
      <c r="K104" s="9"/>
      <c r="L104" s="10">
        <f t="shared" si="8"/>
        <v>0</v>
      </c>
      <c r="M104" s="10"/>
      <c r="N104" s="10"/>
      <c r="O104" s="10"/>
      <c r="P104" s="38">
        <f t="shared" si="9"/>
        <v>0</v>
      </c>
      <c r="Q104" s="11"/>
      <c r="R104" s="11"/>
      <c r="S104" s="12">
        <f t="shared" si="10"/>
        <v>0</v>
      </c>
      <c r="T104" s="28">
        <f t="shared" si="11"/>
        <v>0</v>
      </c>
      <c r="U104" s="9"/>
      <c r="V104" s="9"/>
      <c r="W104" s="9"/>
      <c r="X104" s="9"/>
      <c r="Y104" s="9"/>
      <c r="Z104" s="10">
        <f t="shared" si="12"/>
        <v>0</v>
      </c>
      <c r="AA104" s="30">
        <f t="shared" si="13"/>
        <v>0</v>
      </c>
      <c r="AB104" s="32">
        <f t="shared" si="7"/>
        <v>0</v>
      </c>
    </row>
    <row r="105" spans="1:28" ht="27.6" hidden="1" x14ac:dyDescent="0.3">
      <c r="A105" s="24" t="s">
        <v>36</v>
      </c>
      <c r="B105" s="24"/>
      <c r="C105" s="24" t="s">
        <v>101</v>
      </c>
      <c r="D105" s="23"/>
      <c r="E105" s="20"/>
      <c r="F105" s="21"/>
      <c r="G105" s="23"/>
      <c r="H105" s="23"/>
      <c r="I105" s="3" t="s">
        <v>150</v>
      </c>
      <c r="J105" s="9"/>
      <c r="K105" s="9"/>
      <c r="L105" s="10">
        <f t="shared" si="8"/>
        <v>0</v>
      </c>
      <c r="M105" s="10"/>
      <c r="N105" s="10"/>
      <c r="O105" s="10"/>
      <c r="P105" s="38">
        <f t="shared" si="9"/>
        <v>0</v>
      </c>
      <c r="Q105" s="11"/>
      <c r="R105" s="11"/>
      <c r="S105" s="12">
        <f t="shared" si="10"/>
        <v>0</v>
      </c>
      <c r="T105" s="28">
        <f t="shared" si="11"/>
        <v>0</v>
      </c>
      <c r="U105" s="9"/>
      <c r="V105" s="9"/>
      <c r="W105" s="9"/>
      <c r="X105" s="9"/>
      <c r="Y105" s="9"/>
      <c r="Z105" s="10">
        <f t="shared" si="12"/>
        <v>0</v>
      </c>
      <c r="AA105" s="30">
        <f t="shared" si="13"/>
        <v>0</v>
      </c>
      <c r="AB105" s="32">
        <f t="shared" si="7"/>
        <v>0</v>
      </c>
    </row>
    <row r="106" spans="1:28" ht="27.6" hidden="1" x14ac:dyDescent="0.3">
      <c r="A106" s="24" t="s">
        <v>36</v>
      </c>
      <c r="B106" s="24"/>
      <c r="C106" s="24" t="s">
        <v>101</v>
      </c>
      <c r="D106" s="23"/>
      <c r="E106" s="20"/>
      <c r="F106" s="21"/>
      <c r="G106" s="23"/>
      <c r="H106" s="23"/>
      <c r="I106" s="3" t="s">
        <v>151</v>
      </c>
      <c r="J106" s="9"/>
      <c r="K106" s="9"/>
      <c r="L106" s="10">
        <f t="shared" si="8"/>
        <v>0</v>
      </c>
      <c r="M106" s="10"/>
      <c r="N106" s="10"/>
      <c r="O106" s="10"/>
      <c r="P106" s="38">
        <f t="shared" si="9"/>
        <v>0</v>
      </c>
      <c r="Q106" s="11"/>
      <c r="R106" s="11"/>
      <c r="S106" s="12">
        <f t="shared" si="10"/>
        <v>0</v>
      </c>
      <c r="T106" s="28">
        <f t="shared" si="11"/>
        <v>0</v>
      </c>
      <c r="U106" s="9"/>
      <c r="V106" s="9"/>
      <c r="W106" s="9"/>
      <c r="X106" s="9"/>
      <c r="Y106" s="9"/>
      <c r="Z106" s="10">
        <f t="shared" si="12"/>
        <v>0</v>
      </c>
      <c r="AA106" s="30">
        <f t="shared" si="13"/>
        <v>0</v>
      </c>
      <c r="AB106" s="32">
        <f t="shared" si="7"/>
        <v>0</v>
      </c>
    </row>
    <row r="107" spans="1:28" ht="27.6" hidden="1" x14ac:dyDescent="0.3">
      <c r="A107" s="24" t="s">
        <v>36</v>
      </c>
      <c r="B107" s="24"/>
      <c r="C107" s="24" t="s">
        <v>101</v>
      </c>
      <c r="D107" s="23"/>
      <c r="E107" s="20"/>
      <c r="F107" s="21"/>
      <c r="G107" s="23"/>
      <c r="H107" s="23"/>
      <c r="I107" s="3" t="s">
        <v>152</v>
      </c>
      <c r="J107" s="9"/>
      <c r="K107" s="9"/>
      <c r="L107" s="10">
        <f t="shared" si="8"/>
        <v>0</v>
      </c>
      <c r="M107" s="10"/>
      <c r="N107" s="10"/>
      <c r="O107" s="10"/>
      <c r="P107" s="38">
        <f t="shared" si="9"/>
        <v>0</v>
      </c>
      <c r="Q107" s="11"/>
      <c r="R107" s="11"/>
      <c r="S107" s="12">
        <f t="shared" si="10"/>
        <v>0</v>
      </c>
      <c r="T107" s="28">
        <f t="shared" si="11"/>
        <v>0</v>
      </c>
      <c r="U107" s="9"/>
      <c r="V107" s="9"/>
      <c r="W107" s="9"/>
      <c r="X107" s="9"/>
      <c r="Y107" s="9"/>
      <c r="Z107" s="10">
        <f t="shared" si="12"/>
        <v>0</v>
      </c>
      <c r="AA107" s="30">
        <f t="shared" si="13"/>
        <v>0</v>
      </c>
      <c r="AB107" s="32">
        <f t="shared" si="7"/>
        <v>0</v>
      </c>
    </row>
    <row r="108" spans="1:28" ht="27.6" hidden="1" x14ac:dyDescent="0.3">
      <c r="A108" s="24" t="s">
        <v>35</v>
      </c>
      <c r="B108" s="24"/>
      <c r="C108" s="24" t="s">
        <v>37</v>
      </c>
      <c r="D108" s="23"/>
      <c r="E108" s="20"/>
      <c r="F108" s="21"/>
      <c r="G108" s="23"/>
      <c r="H108" s="23"/>
      <c r="I108" s="3" t="s">
        <v>153</v>
      </c>
      <c r="J108" s="9"/>
      <c r="K108" s="9"/>
      <c r="L108" s="10">
        <f t="shared" si="8"/>
        <v>0</v>
      </c>
      <c r="M108" s="10"/>
      <c r="N108" s="10"/>
      <c r="O108" s="10"/>
      <c r="P108" s="38">
        <f t="shared" si="9"/>
        <v>0</v>
      </c>
      <c r="Q108" s="11"/>
      <c r="R108" s="11"/>
      <c r="S108" s="12">
        <f t="shared" si="10"/>
        <v>0</v>
      </c>
      <c r="T108" s="28">
        <f t="shared" si="11"/>
        <v>0</v>
      </c>
      <c r="U108" s="9"/>
      <c r="V108" s="9"/>
      <c r="W108" s="9"/>
      <c r="X108" s="9"/>
      <c r="Y108" s="9"/>
      <c r="Z108" s="10">
        <f t="shared" si="12"/>
        <v>0</v>
      </c>
      <c r="AA108" s="30">
        <f t="shared" si="13"/>
        <v>0</v>
      </c>
      <c r="AB108" s="32">
        <f t="shared" si="7"/>
        <v>0</v>
      </c>
    </row>
    <row r="109" spans="1:28" ht="27.6" hidden="1" x14ac:dyDescent="0.3">
      <c r="A109" s="24" t="s">
        <v>84</v>
      </c>
      <c r="B109" s="24"/>
      <c r="C109" s="24" t="s">
        <v>85</v>
      </c>
      <c r="D109" s="23"/>
      <c r="E109" s="20"/>
      <c r="F109" s="21"/>
      <c r="G109" s="23"/>
      <c r="H109" s="23"/>
      <c r="I109" s="3" t="s">
        <v>154</v>
      </c>
      <c r="J109" s="9"/>
      <c r="K109" s="9"/>
      <c r="L109" s="10">
        <f t="shared" si="8"/>
        <v>0</v>
      </c>
      <c r="M109" s="10"/>
      <c r="N109" s="10"/>
      <c r="O109" s="10"/>
      <c r="P109" s="38">
        <f t="shared" si="9"/>
        <v>0</v>
      </c>
      <c r="Q109" s="11"/>
      <c r="R109" s="11"/>
      <c r="S109" s="12">
        <f t="shared" si="10"/>
        <v>0</v>
      </c>
      <c r="T109" s="28">
        <f t="shared" si="11"/>
        <v>0</v>
      </c>
      <c r="U109" s="9"/>
      <c r="V109" s="9"/>
      <c r="W109" s="9"/>
      <c r="X109" s="9"/>
      <c r="Y109" s="9"/>
      <c r="Z109" s="10">
        <f t="shared" si="12"/>
        <v>0</v>
      </c>
      <c r="AA109" s="30">
        <f t="shared" si="13"/>
        <v>0</v>
      </c>
      <c r="AB109" s="32">
        <f t="shared" si="7"/>
        <v>0</v>
      </c>
    </row>
    <row r="110" spans="1:28" ht="27.6" x14ac:dyDescent="0.3">
      <c r="A110" s="24" t="s">
        <v>84</v>
      </c>
      <c r="B110" s="24" t="s">
        <v>35</v>
      </c>
      <c r="C110" s="24" t="s">
        <v>46</v>
      </c>
      <c r="D110" s="23"/>
      <c r="E110" s="20"/>
      <c r="F110" s="21"/>
      <c r="G110" s="23"/>
      <c r="H110" s="23"/>
      <c r="I110" s="3" t="s">
        <v>155</v>
      </c>
      <c r="J110" s="9"/>
      <c r="K110" s="9"/>
      <c r="L110" s="10">
        <f t="shared" si="8"/>
        <v>0</v>
      </c>
      <c r="M110" s="10"/>
      <c r="N110" s="10"/>
      <c r="O110" s="10"/>
      <c r="P110" s="38">
        <f t="shared" si="9"/>
        <v>0</v>
      </c>
      <c r="Q110" s="11"/>
      <c r="R110" s="11"/>
      <c r="S110" s="12">
        <f t="shared" si="10"/>
        <v>0</v>
      </c>
      <c r="T110" s="28">
        <f t="shared" si="11"/>
        <v>0</v>
      </c>
      <c r="U110" s="9"/>
      <c r="V110" s="9"/>
      <c r="W110" s="9"/>
      <c r="X110" s="9"/>
      <c r="Y110" s="9"/>
      <c r="Z110" s="10">
        <f t="shared" si="12"/>
        <v>0</v>
      </c>
      <c r="AA110" s="30">
        <f t="shared" si="13"/>
        <v>0</v>
      </c>
      <c r="AB110" s="32">
        <f t="shared" si="7"/>
        <v>0</v>
      </c>
    </row>
    <row r="111" spans="1:28" ht="27.6" hidden="1" x14ac:dyDescent="0.3">
      <c r="A111" s="24" t="s">
        <v>84</v>
      </c>
      <c r="B111" s="24" t="s">
        <v>35</v>
      </c>
      <c r="C111" s="24" t="s">
        <v>48</v>
      </c>
      <c r="D111" s="23"/>
      <c r="E111" s="20"/>
      <c r="F111" s="21"/>
      <c r="G111" s="23"/>
      <c r="H111" s="23"/>
      <c r="I111" s="3" t="s">
        <v>156</v>
      </c>
      <c r="J111" s="9"/>
      <c r="K111" s="9"/>
      <c r="L111" s="10">
        <f t="shared" si="8"/>
        <v>0</v>
      </c>
      <c r="M111" s="10"/>
      <c r="N111" s="10"/>
      <c r="O111" s="10"/>
      <c r="P111" s="38">
        <f t="shared" si="9"/>
        <v>0</v>
      </c>
      <c r="Q111" s="11"/>
      <c r="R111" s="11"/>
      <c r="S111" s="12">
        <f t="shared" si="10"/>
        <v>0</v>
      </c>
      <c r="T111" s="28">
        <f t="shared" si="11"/>
        <v>0</v>
      </c>
      <c r="U111" s="9"/>
      <c r="V111" s="9"/>
      <c r="W111" s="9"/>
      <c r="X111" s="9"/>
      <c r="Y111" s="9"/>
      <c r="Z111" s="10">
        <f t="shared" si="12"/>
        <v>0</v>
      </c>
      <c r="AA111" s="30">
        <f t="shared" si="13"/>
        <v>0</v>
      </c>
      <c r="AB111" s="32">
        <f t="shared" si="7"/>
        <v>0</v>
      </c>
    </row>
    <row r="112" spans="1:28" ht="27.6" x14ac:dyDescent="0.3">
      <c r="A112" s="24" t="s">
        <v>84</v>
      </c>
      <c r="B112" s="24" t="s">
        <v>35</v>
      </c>
      <c r="C112" s="24" t="s">
        <v>50</v>
      </c>
      <c r="D112" s="23"/>
      <c r="E112" s="20"/>
      <c r="F112" s="21"/>
      <c r="G112" s="23"/>
      <c r="H112" s="23"/>
      <c r="I112" s="3" t="s">
        <v>157</v>
      </c>
      <c r="J112" s="9"/>
      <c r="K112" s="9"/>
      <c r="L112" s="10">
        <f t="shared" si="8"/>
        <v>0</v>
      </c>
      <c r="M112" s="10"/>
      <c r="N112" s="10"/>
      <c r="O112" s="10"/>
      <c r="P112" s="38">
        <f t="shared" si="9"/>
        <v>0</v>
      </c>
      <c r="Q112" s="11"/>
      <c r="R112" s="11"/>
      <c r="S112" s="12">
        <f t="shared" si="10"/>
        <v>0</v>
      </c>
      <c r="T112" s="28">
        <f t="shared" si="11"/>
        <v>0</v>
      </c>
      <c r="U112" s="9"/>
      <c r="V112" s="9"/>
      <c r="W112" s="9"/>
      <c r="X112" s="9"/>
      <c r="Y112" s="9"/>
      <c r="Z112" s="10">
        <f t="shared" si="12"/>
        <v>0</v>
      </c>
      <c r="AA112" s="30">
        <f t="shared" si="13"/>
        <v>0</v>
      </c>
      <c r="AB112" s="32">
        <f t="shared" si="7"/>
        <v>0</v>
      </c>
    </row>
    <row r="113" spans="1:28" ht="27.6" hidden="1" x14ac:dyDescent="0.3">
      <c r="A113" s="24" t="s">
        <v>84</v>
      </c>
      <c r="B113" s="24"/>
      <c r="C113" s="24" t="s">
        <v>85</v>
      </c>
      <c r="D113" s="23"/>
      <c r="E113" s="20"/>
      <c r="F113" s="21"/>
      <c r="G113" s="23"/>
      <c r="H113" s="23"/>
      <c r="I113" s="3" t="s">
        <v>158</v>
      </c>
      <c r="J113" s="9"/>
      <c r="K113" s="9"/>
      <c r="L113" s="10">
        <f t="shared" si="8"/>
        <v>0</v>
      </c>
      <c r="M113" s="10"/>
      <c r="N113" s="10"/>
      <c r="O113" s="10"/>
      <c r="P113" s="38">
        <f t="shared" si="9"/>
        <v>0</v>
      </c>
      <c r="Q113" s="11"/>
      <c r="R113" s="11"/>
      <c r="S113" s="12">
        <f t="shared" si="10"/>
        <v>0</v>
      </c>
      <c r="T113" s="28">
        <f t="shared" si="11"/>
        <v>0</v>
      </c>
      <c r="U113" s="9"/>
      <c r="V113" s="9"/>
      <c r="W113" s="9"/>
      <c r="X113" s="9"/>
      <c r="Y113" s="9"/>
      <c r="Z113" s="10">
        <f t="shared" si="12"/>
        <v>0</v>
      </c>
      <c r="AA113" s="30">
        <f t="shared" si="13"/>
        <v>0</v>
      </c>
      <c r="AB113" s="32">
        <f t="shared" si="7"/>
        <v>0</v>
      </c>
    </row>
    <row r="114" spans="1:28" ht="27.6" hidden="1" x14ac:dyDescent="0.3">
      <c r="A114" s="24" t="s">
        <v>84</v>
      </c>
      <c r="B114" s="24" t="s">
        <v>35</v>
      </c>
      <c r="C114" s="24" t="s">
        <v>37</v>
      </c>
      <c r="D114" s="23"/>
      <c r="E114" s="20"/>
      <c r="F114" s="21"/>
      <c r="G114" s="23"/>
      <c r="H114" s="23"/>
      <c r="I114" s="3" t="s">
        <v>159</v>
      </c>
      <c r="J114" s="9"/>
      <c r="K114" s="9"/>
      <c r="L114" s="10">
        <f t="shared" si="8"/>
        <v>0</v>
      </c>
      <c r="M114" s="10"/>
      <c r="N114" s="10"/>
      <c r="O114" s="10"/>
      <c r="P114" s="38">
        <f t="shared" si="9"/>
        <v>0</v>
      </c>
      <c r="Q114" s="11"/>
      <c r="R114" s="11"/>
      <c r="S114" s="12">
        <f t="shared" si="10"/>
        <v>0</v>
      </c>
      <c r="T114" s="28">
        <f t="shared" si="11"/>
        <v>0</v>
      </c>
      <c r="U114" s="9"/>
      <c r="V114" s="9"/>
      <c r="W114" s="9"/>
      <c r="X114" s="9"/>
      <c r="Y114" s="9"/>
      <c r="Z114" s="10">
        <f t="shared" si="12"/>
        <v>0</v>
      </c>
      <c r="AA114" s="30">
        <f t="shared" si="13"/>
        <v>0</v>
      </c>
      <c r="AB114" s="32">
        <f t="shared" si="7"/>
        <v>0</v>
      </c>
    </row>
    <row r="115" spans="1:28" ht="27.6" hidden="1" x14ac:dyDescent="0.3">
      <c r="A115" s="24" t="s">
        <v>84</v>
      </c>
      <c r="B115" s="24" t="s">
        <v>35</v>
      </c>
      <c r="C115" s="24" t="s">
        <v>42</v>
      </c>
      <c r="D115" s="23"/>
      <c r="E115" s="20"/>
      <c r="F115" s="21"/>
      <c r="G115" s="23"/>
      <c r="H115" s="23"/>
      <c r="I115" s="3" t="s">
        <v>160</v>
      </c>
      <c r="J115" s="9"/>
      <c r="K115" s="9"/>
      <c r="L115" s="10">
        <f t="shared" si="8"/>
        <v>0</v>
      </c>
      <c r="M115" s="10"/>
      <c r="N115" s="10"/>
      <c r="O115" s="10"/>
      <c r="P115" s="38">
        <f t="shared" si="9"/>
        <v>0</v>
      </c>
      <c r="Q115" s="11"/>
      <c r="R115" s="11"/>
      <c r="S115" s="12">
        <f t="shared" si="10"/>
        <v>0</v>
      </c>
      <c r="T115" s="28">
        <f t="shared" si="11"/>
        <v>0</v>
      </c>
      <c r="U115" s="9"/>
      <c r="V115" s="9"/>
      <c r="W115" s="9"/>
      <c r="X115" s="9"/>
      <c r="Y115" s="9"/>
      <c r="Z115" s="10">
        <f t="shared" si="12"/>
        <v>0</v>
      </c>
      <c r="AA115" s="30">
        <f t="shared" si="13"/>
        <v>0</v>
      </c>
      <c r="AB115" s="32">
        <f t="shared" si="7"/>
        <v>0</v>
      </c>
    </row>
    <row r="116" spans="1:28" ht="27.6" hidden="1" x14ac:dyDescent="0.3">
      <c r="A116" s="24" t="s">
        <v>84</v>
      </c>
      <c r="B116" s="24" t="s">
        <v>35</v>
      </c>
      <c r="C116" s="24" t="s">
        <v>44</v>
      </c>
      <c r="D116" s="23"/>
      <c r="E116" s="20"/>
      <c r="F116" s="21"/>
      <c r="G116" s="23"/>
      <c r="H116" s="23"/>
      <c r="I116" s="3" t="s">
        <v>161</v>
      </c>
      <c r="J116" s="9"/>
      <c r="K116" s="9"/>
      <c r="L116" s="10">
        <f t="shared" si="8"/>
        <v>0</v>
      </c>
      <c r="M116" s="10"/>
      <c r="N116" s="10"/>
      <c r="O116" s="10"/>
      <c r="P116" s="38">
        <f t="shared" si="9"/>
        <v>0</v>
      </c>
      <c r="Q116" s="11"/>
      <c r="R116" s="11"/>
      <c r="S116" s="12">
        <f t="shared" si="10"/>
        <v>0</v>
      </c>
      <c r="T116" s="28">
        <f t="shared" si="11"/>
        <v>0</v>
      </c>
      <c r="U116" s="9"/>
      <c r="V116" s="9"/>
      <c r="W116" s="9"/>
      <c r="X116" s="9"/>
      <c r="Y116" s="9"/>
      <c r="Z116" s="10">
        <f t="shared" si="12"/>
        <v>0</v>
      </c>
      <c r="AA116" s="30">
        <f t="shared" si="13"/>
        <v>0</v>
      </c>
      <c r="AB116" s="32">
        <f t="shared" si="7"/>
        <v>0</v>
      </c>
    </row>
    <row r="117" spans="1:28" ht="27.6" hidden="1" x14ac:dyDescent="0.3">
      <c r="A117" s="24" t="s">
        <v>103</v>
      </c>
      <c r="B117" s="24"/>
      <c r="C117" s="24" t="s">
        <v>104</v>
      </c>
      <c r="D117" s="23"/>
      <c r="E117" s="20"/>
      <c r="F117" s="21"/>
      <c r="G117" s="23"/>
      <c r="H117" s="23"/>
      <c r="I117" s="3" t="s">
        <v>162</v>
      </c>
      <c r="J117" s="9"/>
      <c r="K117" s="9"/>
      <c r="L117" s="10">
        <f t="shared" si="8"/>
        <v>0</v>
      </c>
      <c r="M117" s="10"/>
      <c r="N117" s="10"/>
      <c r="O117" s="10"/>
      <c r="P117" s="38">
        <f t="shared" si="9"/>
        <v>0</v>
      </c>
      <c r="Q117" s="11"/>
      <c r="R117" s="11"/>
      <c r="S117" s="12">
        <f t="shared" si="10"/>
        <v>0</v>
      </c>
      <c r="T117" s="28">
        <f t="shared" si="11"/>
        <v>0</v>
      </c>
      <c r="U117" s="9"/>
      <c r="V117" s="9"/>
      <c r="W117" s="9"/>
      <c r="X117" s="9"/>
      <c r="Y117" s="9"/>
      <c r="Z117" s="10">
        <f t="shared" si="12"/>
        <v>0</v>
      </c>
      <c r="AA117" s="30">
        <f t="shared" si="13"/>
        <v>0</v>
      </c>
      <c r="AB117" s="32">
        <f t="shared" si="7"/>
        <v>0</v>
      </c>
    </row>
    <row r="118" spans="1:28" ht="27.6" hidden="1" x14ac:dyDescent="0.3">
      <c r="A118" s="24" t="s">
        <v>103</v>
      </c>
      <c r="B118" s="24"/>
      <c r="C118" s="24" t="s">
        <v>163</v>
      </c>
      <c r="D118" s="23" t="s">
        <v>718</v>
      </c>
      <c r="E118" s="20"/>
      <c r="F118" s="21"/>
      <c r="G118" s="23"/>
      <c r="H118" s="23"/>
      <c r="I118" s="3" t="s">
        <v>164</v>
      </c>
      <c r="J118" s="9">
        <v>1</v>
      </c>
      <c r="K118" s="9">
        <v>1</v>
      </c>
      <c r="L118" s="10">
        <f t="shared" si="8"/>
        <v>0</v>
      </c>
      <c r="M118" s="10"/>
      <c r="N118" s="10"/>
      <c r="O118" s="10"/>
      <c r="P118" s="38">
        <f t="shared" si="9"/>
        <v>100</v>
      </c>
      <c r="Q118" s="11">
        <v>1</v>
      </c>
      <c r="R118" s="11">
        <v>1</v>
      </c>
      <c r="S118" s="12">
        <f t="shared" si="10"/>
        <v>0</v>
      </c>
      <c r="T118" s="28">
        <f t="shared" si="11"/>
        <v>100</v>
      </c>
      <c r="U118" s="9"/>
      <c r="V118" s="9"/>
      <c r="W118" s="9"/>
      <c r="X118" s="9"/>
      <c r="Y118" s="9"/>
      <c r="Z118" s="10">
        <f t="shared" si="12"/>
        <v>0</v>
      </c>
      <c r="AA118" s="30">
        <f t="shared" si="13"/>
        <v>0</v>
      </c>
      <c r="AB118" s="32">
        <f t="shared" si="7"/>
        <v>66.666666666666671</v>
      </c>
    </row>
    <row r="119" spans="1:28" ht="41.4" hidden="1" x14ac:dyDescent="0.3">
      <c r="A119" s="24" t="s">
        <v>103</v>
      </c>
      <c r="B119" s="24"/>
      <c r="C119" s="24" t="s">
        <v>104</v>
      </c>
      <c r="D119" s="23"/>
      <c r="E119" s="20"/>
      <c r="F119" s="21"/>
      <c r="G119" s="23"/>
      <c r="H119" s="23"/>
      <c r="I119" s="3" t="s">
        <v>165</v>
      </c>
      <c r="J119" s="9"/>
      <c r="K119" s="9"/>
      <c r="L119" s="10">
        <f t="shared" si="8"/>
        <v>0</v>
      </c>
      <c r="M119" s="10"/>
      <c r="N119" s="10"/>
      <c r="O119" s="10"/>
      <c r="P119" s="38">
        <f t="shared" si="9"/>
        <v>0</v>
      </c>
      <c r="Q119" s="11"/>
      <c r="R119" s="11"/>
      <c r="S119" s="12">
        <f t="shared" si="10"/>
        <v>0</v>
      </c>
      <c r="T119" s="28">
        <f t="shared" si="11"/>
        <v>0</v>
      </c>
      <c r="U119" s="9"/>
      <c r="V119" s="9"/>
      <c r="W119" s="9"/>
      <c r="X119" s="9"/>
      <c r="Y119" s="9"/>
      <c r="Z119" s="10">
        <f t="shared" si="12"/>
        <v>0</v>
      </c>
      <c r="AA119" s="30">
        <f t="shared" si="13"/>
        <v>0</v>
      </c>
      <c r="AB119" s="32">
        <f t="shared" si="7"/>
        <v>0</v>
      </c>
    </row>
    <row r="120" spans="1:28" ht="21.6" hidden="1" x14ac:dyDescent="0.3">
      <c r="A120" s="24" t="s">
        <v>103</v>
      </c>
      <c r="B120" s="24"/>
      <c r="C120" s="24" t="s">
        <v>104</v>
      </c>
      <c r="D120" s="23"/>
      <c r="E120" s="20"/>
      <c r="F120" s="21"/>
      <c r="G120" s="23"/>
      <c r="H120" s="23"/>
      <c r="I120" s="3" t="s">
        <v>166</v>
      </c>
      <c r="J120" s="9"/>
      <c r="K120" s="9"/>
      <c r="L120" s="10">
        <f t="shared" si="8"/>
        <v>0</v>
      </c>
      <c r="M120" s="10"/>
      <c r="N120" s="10"/>
      <c r="O120" s="10"/>
      <c r="P120" s="38">
        <f t="shared" si="9"/>
        <v>0</v>
      </c>
      <c r="Q120" s="11"/>
      <c r="R120" s="11"/>
      <c r="S120" s="12">
        <f t="shared" si="10"/>
        <v>0</v>
      </c>
      <c r="T120" s="28">
        <f t="shared" si="11"/>
        <v>0</v>
      </c>
      <c r="U120" s="9"/>
      <c r="V120" s="9"/>
      <c r="W120" s="9"/>
      <c r="X120" s="9"/>
      <c r="Y120" s="9"/>
      <c r="Z120" s="10">
        <f t="shared" si="12"/>
        <v>0</v>
      </c>
      <c r="AA120" s="30">
        <f t="shared" si="13"/>
        <v>0</v>
      </c>
      <c r="AB120" s="32">
        <f t="shared" si="7"/>
        <v>0</v>
      </c>
    </row>
    <row r="121" spans="1:28" hidden="1" x14ac:dyDescent="0.3">
      <c r="A121" s="24" t="s">
        <v>103</v>
      </c>
      <c r="B121" s="24"/>
      <c r="C121" s="24" t="s">
        <v>163</v>
      </c>
      <c r="D121" s="23"/>
      <c r="E121" s="20"/>
      <c r="F121" s="21"/>
      <c r="G121" s="23"/>
      <c r="H121" s="23"/>
      <c r="I121" s="3" t="s">
        <v>167</v>
      </c>
      <c r="J121" s="9"/>
      <c r="K121" s="9"/>
      <c r="L121" s="10">
        <f t="shared" si="8"/>
        <v>0</v>
      </c>
      <c r="M121" s="10"/>
      <c r="N121" s="10"/>
      <c r="O121" s="10"/>
      <c r="P121" s="38">
        <f t="shared" si="9"/>
        <v>0</v>
      </c>
      <c r="Q121" s="11"/>
      <c r="R121" s="11"/>
      <c r="S121" s="12">
        <f t="shared" si="10"/>
        <v>0</v>
      </c>
      <c r="T121" s="28">
        <f t="shared" si="11"/>
        <v>0</v>
      </c>
      <c r="U121" s="9"/>
      <c r="V121" s="9"/>
      <c r="W121" s="9"/>
      <c r="X121" s="9"/>
      <c r="Y121" s="9"/>
      <c r="Z121" s="10">
        <f t="shared" si="12"/>
        <v>0</v>
      </c>
      <c r="AA121" s="30">
        <f t="shared" si="13"/>
        <v>0</v>
      </c>
      <c r="AB121" s="32">
        <f t="shared" si="7"/>
        <v>0</v>
      </c>
    </row>
    <row r="122" spans="1:28" ht="41.4" hidden="1" x14ac:dyDescent="0.3">
      <c r="A122" s="24" t="s">
        <v>103</v>
      </c>
      <c r="B122" s="24"/>
      <c r="C122" s="24" t="s">
        <v>104</v>
      </c>
      <c r="D122" s="23"/>
      <c r="E122" s="20"/>
      <c r="F122" s="21"/>
      <c r="G122" s="23"/>
      <c r="H122" s="23"/>
      <c r="I122" s="3" t="s">
        <v>168</v>
      </c>
      <c r="J122" s="9"/>
      <c r="K122" s="9"/>
      <c r="L122" s="10">
        <f t="shared" si="8"/>
        <v>0</v>
      </c>
      <c r="M122" s="10"/>
      <c r="N122" s="10"/>
      <c r="O122" s="10"/>
      <c r="P122" s="38">
        <f t="shared" si="9"/>
        <v>0</v>
      </c>
      <c r="Q122" s="11"/>
      <c r="R122" s="11"/>
      <c r="S122" s="12">
        <f t="shared" si="10"/>
        <v>0</v>
      </c>
      <c r="T122" s="28">
        <f t="shared" si="11"/>
        <v>0</v>
      </c>
      <c r="U122" s="9"/>
      <c r="V122" s="9"/>
      <c r="W122" s="9"/>
      <c r="X122" s="9"/>
      <c r="Y122" s="9"/>
      <c r="Z122" s="10">
        <f t="shared" si="12"/>
        <v>0</v>
      </c>
      <c r="AA122" s="30">
        <f t="shared" si="13"/>
        <v>0</v>
      </c>
      <c r="AB122" s="32">
        <f t="shared" si="7"/>
        <v>0</v>
      </c>
    </row>
    <row r="123" spans="1:28" ht="27.6" hidden="1" x14ac:dyDescent="0.3">
      <c r="A123" s="24" t="s">
        <v>103</v>
      </c>
      <c r="B123" s="24"/>
      <c r="C123" s="24" t="s">
        <v>163</v>
      </c>
      <c r="D123" s="23"/>
      <c r="E123" s="20"/>
      <c r="F123" s="21"/>
      <c r="G123" s="23"/>
      <c r="H123" s="23"/>
      <c r="I123" s="3" t="s">
        <v>169</v>
      </c>
      <c r="J123" s="9"/>
      <c r="K123" s="9"/>
      <c r="L123" s="10">
        <f t="shared" si="8"/>
        <v>0</v>
      </c>
      <c r="M123" s="10"/>
      <c r="N123" s="10"/>
      <c r="O123" s="10"/>
      <c r="P123" s="38">
        <f t="shared" si="9"/>
        <v>0</v>
      </c>
      <c r="Q123" s="11"/>
      <c r="R123" s="11"/>
      <c r="S123" s="12">
        <f t="shared" si="10"/>
        <v>0</v>
      </c>
      <c r="T123" s="28">
        <f t="shared" si="11"/>
        <v>0</v>
      </c>
      <c r="U123" s="9"/>
      <c r="V123" s="9"/>
      <c r="W123" s="9"/>
      <c r="X123" s="9"/>
      <c r="Y123" s="9"/>
      <c r="Z123" s="10">
        <f t="shared" si="12"/>
        <v>0</v>
      </c>
      <c r="AA123" s="30">
        <f t="shared" si="13"/>
        <v>0</v>
      </c>
      <c r="AB123" s="32">
        <f t="shared" si="7"/>
        <v>0</v>
      </c>
    </row>
    <row r="124" spans="1:28" ht="41.4" hidden="1" x14ac:dyDescent="0.3">
      <c r="A124" s="24" t="s">
        <v>103</v>
      </c>
      <c r="B124" s="24"/>
      <c r="C124" s="24" t="s">
        <v>104</v>
      </c>
      <c r="D124" s="23"/>
      <c r="E124" s="20"/>
      <c r="F124" s="21"/>
      <c r="G124" s="23"/>
      <c r="H124" s="23"/>
      <c r="I124" s="3" t="s">
        <v>170</v>
      </c>
      <c r="J124" s="9"/>
      <c r="K124" s="9"/>
      <c r="L124" s="10">
        <f t="shared" si="8"/>
        <v>0</v>
      </c>
      <c r="M124" s="10"/>
      <c r="N124" s="10"/>
      <c r="O124" s="10"/>
      <c r="P124" s="38">
        <f t="shared" si="9"/>
        <v>0</v>
      </c>
      <c r="Q124" s="11"/>
      <c r="R124" s="11"/>
      <c r="S124" s="12">
        <f t="shared" si="10"/>
        <v>0</v>
      </c>
      <c r="T124" s="28">
        <f t="shared" si="11"/>
        <v>0</v>
      </c>
      <c r="U124" s="9"/>
      <c r="V124" s="9"/>
      <c r="W124" s="9"/>
      <c r="X124" s="9"/>
      <c r="Y124" s="9"/>
      <c r="Z124" s="10">
        <f t="shared" si="12"/>
        <v>0</v>
      </c>
      <c r="AA124" s="30">
        <f t="shared" si="13"/>
        <v>0</v>
      </c>
      <c r="AB124" s="32">
        <f t="shared" si="7"/>
        <v>0</v>
      </c>
    </row>
    <row r="125" spans="1:28" ht="41.4" hidden="1" x14ac:dyDescent="0.3">
      <c r="A125" s="24" t="s">
        <v>103</v>
      </c>
      <c r="B125" s="24"/>
      <c r="C125" s="24" t="s">
        <v>163</v>
      </c>
      <c r="D125" s="23"/>
      <c r="E125" s="20"/>
      <c r="F125" s="21"/>
      <c r="G125" s="23"/>
      <c r="H125" s="23"/>
      <c r="I125" s="3" t="s">
        <v>171</v>
      </c>
      <c r="J125" s="9">
        <v>95</v>
      </c>
      <c r="K125" s="9">
        <v>82</v>
      </c>
      <c r="L125" s="10">
        <f t="shared" si="8"/>
        <v>13</v>
      </c>
      <c r="M125" s="10">
        <v>3</v>
      </c>
      <c r="N125" s="10">
        <v>10</v>
      </c>
      <c r="O125" s="10">
        <v>0</v>
      </c>
      <c r="P125" s="38">
        <f t="shared" si="9"/>
        <v>86.315789473684205</v>
      </c>
      <c r="Q125" s="11">
        <f>0.5*J125</f>
        <v>47.5</v>
      </c>
      <c r="R125" s="11">
        <f>8.5*K125</f>
        <v>697</v>
      </c>
      <c r="S125" s="12">
        <f t="shared" si="10"/>
        <v>-649.5</v>
      </c>
      <c r="T125" s="28">
        <f t="shared" si="11"/>
        <v>6.814921090387374</v>
      </c>
      <c r="U125" s="9"/>
      <c r="V125" s="9"/>
      <c r="W125" s="9"/>
      <c r="X125" s="9"/>
      <c r="Y125" s="9"/>
      <c r="Z125" s="10">
        <f t="shared" si="12"/>
        <v>0</v>
      </c>
      <c r="AA125" s="30">
        <f t="shared" si="13"/>
        <v>0</v>
      </c>
      <c r="AB125" s="32">
        <f t="shared" si="7"/>
        <v>31.04357018802386</v>
      </c>
    </row>
    <row r="126" spans="1:28" ht="27.6" hidden="1" x14ac:dyDescent="0.3">
      <c r="A126" s="24" t="s">
        <v>103</v>
      </c>
      <c r="B126" s="24"/>
      <c r="C126" s="24" t="s">
        <v>163</v>
      </c>
      <c r="D126" s="23"/>
      <c r="E126" s="20"/>
      <c r="F126" s="21"/>
      <c r="G126" s="23"/>
      <c r="H126" s="23"/>
      <c r="I126" s="3" t="s">
        <v>172</v>
      </c>
      <c r="J126" s="9"/>
      <c r="K126" s="9"/>
      <c r="L126" s="10">
        <f t="shared" si="8"/>
        <v>0</v>
      </c>
      <c r="M126" s="10"/>
      <c r="N126" s="10"/>
      <c r="O126" s="10"/>
      <c r="P126" s="38">
        <f t="shared" si="9"/>
        <v>0</v>
      </c>
      <c r="Q126" s="11"/>
      <c r="R126" s="11"/>
      <c r="S126" s="12">
        <f t="shared" si="10"/>
        <v>0</v>
      </c>
      <c r="T126" s="28">
        <f t="shared" si="11"/>
        <v>0</v>
      </c>
      <c r="U126" s="9"/>
      <c r="V126" s="9"/>
      <c r="W126" s="9"/>
      <c r="X126" s="9"/>
      <c r="Y126" s="9"/>
      <c r="Z126" s="10">
        <f t="shared" si="12"/>
        <v>0</v>
      </c>
      <c r="AA126" s="30">
        <f t="shared" si="13"/>
        <v>0</v>
      </c>
      <c r="AB126" s="32">
        <f t="shared" si="7"/>
        <v>0</v>
      </c>
    </row>
    <row r="127" spans="1:28" ht="41.4" hidden="1" x14ac:dyDescent="0.3">
      <c r="A127" s="24" t="s">
        <v>103</v>
      </c>
      <c r="B127" s="24"/>
      <c r="C127" s="24" t="s">
        <v>104</v>
      </c>
      <c r="D127" s="23"/>
      <c r="E127" s="20"/>
      <c r="F127" s="21"/>
      <c r="G127" s="23"/>
      <c r="H127" s="23"/>
      <c r="I127" s="3" t="s">
        <v>173</v>
      </c>
      <c r="J127" s="9"/>
      <c r="K127" s="9"/>
      <c r="L127" s="10">
        <f t="shared" si="8"/>
        <v>0</v>
      </c>
      <c r="M127" s="10"/>
      <c r="N127" s="10"/>
      <c r="O127" s="10"/>
      <c r="P127" s="38">
        <f t="shared" si="9"/>
        <v>0</v>
      </c>
      <c r="Q127" s="11"/>
      <c r="R127" s="11"/>
      <c r="S127" s="12">
        <f t="shared" si="10"/>
        <v>0</v>
      </c>
      <c r="T127" s="28">
        <f t="shared" si="11"/>
        <v>0</v>
      </c>
      <c r="U127" s="9"/>
      <c r="V127" s="9"/>
      <c r="W127" s="9"/>
      <c r="X127" s="9"/>
      <c r="Y127" s="9"/>
      <c r="Z127" s="10">
        <f t="shared" si="12"/>
        <v>0</v>
      </c>
      <c r="AA127" s="30">
        <f t="shared" si="13"/>
        <v>0</v>
      </c>
      <c r="AB127" s="32">
        <f t="shared" si="7"/>
        <v>0</v>
      </c>
    </row>
    <row r="128" spans="1:28" ht="27.6" hidden="1" x14ac:dyDescent="0.3">
      <c r="A128" s="24" t="s">
        <v>103</v>
      </c>
      <c r="B128" s="24" t="s">
        <v>84</v>
      </c>
      <c r="C128" s="24" t="s">
        <v>163</v>
      </c>
      <c r="D128" s="23"/>
      <c r="E128" s="20"/>
      <c r="F128" s="21"/>
      <c r="G128" s="23"/>
      <c r="H128" s="23"/>
      <c r="I128" s="3" t="s">
        <v>174</v>
      </c>
      <c r="J128" s="9"/>
      <c r="K128" s="9"/>
      <c r="L128" s="10">
        <f t="shared" si="8"/>
        <v>0</v>
      </c>
      <c r="M128" s="10"/>
      <c r="N128" s="10"/>
      <c r="O128" s="10"/>
      <c r="P128" s="38">
        <f t="shared" si="9"/>
        <v>0</v>
      </c>
      <c r="Q128" s="11"/>
      <c r="R128" s="11"/>
      <c r="S128" s="12">
        <f t="shared" si="10"/>
        <v>0</v>
      </c>
      <c r="T128" s="28">
        <f t="shared" si="11"/>
        <v>0</v>
      </c>
      <c r="U128" s="9"/>
      <c r="V128" s="9"/>
      <c r="W128" s="9"/>
      <c r="X128" s="9"/>
      <c r="Y128" s="9"/>
      <c r="Z128" s="10">
        <f t="shared" si="12"/>
        <v>0</v>
      </c>
      <c r="AA128" s="30">
        <f t="shared" si="13"/>
        <v>0</v>
      </c>
      <c r="AB128" s="32">
        <f t="shared" si="7"/>
        <v>0</v>
      </c>
    </row>
    <row r="129" spans="1:28" ht="27.6" hidden="1" x14ac:dyDescent="0.3">
      <c r="A129" s="24" t="s">
        <v>103</v>
      </c>
      <c r="B129" s="24"/>
      <c r="C129" s="24" t="s">
        <v>104</v>
      </c>
      <c r="D129" s="23"/>
      <c r="E129" s="20"/>
      <c r="F129" s="21"/>
      <c r="G129" s="23"/>
      <c r="H129" s="23"/>
      <c r="I129" s="3" t="s">
        <v>175</v>
      </c>
      <c r="J129" s="9"/>
      <c r="K129" s="9"/>
      <c r="L129" s="10">
        <f t="shared" si="8"/>
        <v>0</v>
      </c>
      <c r="M129" s="10"/>
      <c r="N129" s="10"/>
      <c r="O129" s="10"/>
      <c r="P129" s="38">
        <f t="shared" si="9"/>
        <v>0</v>
      </c>
      <c r="Q129" s="11"/>
      <c r="R129" s="11"/>
      <c r="S129" s="12">
        <f t="shared" si="10"/>
        <v>0</v>
      </c>
      <c r="T129" s="28">
        <f t="shared" si="11"/>
        <v>0</v>
      </c>
      <c r="U129" s="9"/>
      <c r="V129" s="9"/>
      <c r="W129" s="9"/>
      <c r="X129" s="9"/>
      <c r="Y129" s="9"/>
      <c r="Z129" s="10">
        <f t="shared" si="12"/>
        <v>0</v>
      </c>
      <c r="AA129" s="30">
        <f t="shared" si="13"/>
        <v>0</v>
      </c>
      <c r="AB129" s="32">
        <f t="shared" si="7"/>
        <v>0</v>
      </c>
    </row>
    <row r="130" spans="1:28" ht="41.4" hidden="1" x14ac:dyDescent="0.3">
      <c r="A130" s="24" t="s">
        <v>103</v>
      </c>
      <c r="B130" s="24"/>
      <c r="C130" s="24" t="s">
        <v>104</v>
      </c>
      <c r="D130" s="23"/>
      <c r="E130" s="20"/>
      <c r="F130" s="21"/>
      <c r="G130" s="23"/>
      <c r="H130" s="23"/>
      <c r="I130" s="3" t="s">
        <v>176</v>
      </c>
      <c r="J130" s="9"/>
      <c r="K130" s="9"/>
      <c r="L130" s="10">
        <f t="shared" si="8"/>
        <v>0</v>
      </c>
      <c r="M130" s="10"/>
      <c r="N130" s="10"/>
      <c r="O130" s="10"/>
      <c r="P130" s="38">
        <f t="shared" si="9"/>
        <v>0</v>
      </c>
      <c r="Q130" s="11"/>
      <c r="R130" s="11"/>
      <c r="S130" s="12">
        <f t="shared" si="10"/>
        <v>0</v>
      </c>
      <c r="T130" s="28">
        <f t="shared" si="11"/>
        <v>0</v>
      </c>
      <c r="U130" s="9"/>
      <c r="V130" s="9"/>
      <c r="W130" s="9"/>
      <c r="X130" s="9"/>
      <c r="Y130" s="9"/>
      <c r="Z130" s="10">
        <f t="shared" si="12"/>
        <v>0</v>
      </c>
      <c r="AA130" s="30">
        <f t="shared" si="13"/>
        <v>0</v>
      </c>
      <c r="AB130" s="32">
        <f t="shared" si="7"/>
        <v>0</v>
      </c>
    </row>
    <row r="131" spans="1:28" ht="27.6" hidden="1" x14ac:dyDescent="0.3">
      <c r="A131" s="24" t="s">
        <v>103</v>
      </c>
      <c r="B131" s="24"/>
      <c r="C131" s="24" t="s">
        <v>163</v>
      </c>
      <c r="D131" s="23"/>
      <c r="E131" s="20"/>
      <c r="F131" s="21"/>
      <c r="G131" s="23"/>
      <c r="H131" s="23"/>
      <c r="I131" s="3" t="s">
        <v>177</v>
      </c>
      <c r="J131" s="9"/>
      <c r="K131" s="9"/>
      <c r="L131" s="10">
        <f t="shared" si="8"/>
        <v>0</v>
      </c>
      <c r="M131" s="10"/>
      <c r="N131" s="10"/>
      <c r="O131" s="10"/>
      <c r="P131" s="38">
        <f t="shared" si="9"/>
        <v>0</v>
      </c>
      <c r="Q131" s="11"/>
      <c r="R131" s="11"/>
      <c r="S131" s="12">
        <f t="shared" si="10"/>
        <v>0</v>
      </c>
      <c r="T131" s="28">
        <f t="shared" si="11"/>
        <v>0</v>
      </c>
      <c r="U131" s="9"/>
      <c r="V131" s="9"/>
      <c r="W131" s="9"/>
      <c r="X131" s="9"/>
      <c r="Y131" s="9"/>
      <c r="Z131" s="10">
        <f t="shared" si="12"/>
        <v>0</v>
      </c>
      <c r="AA131" s="30">
        <f t="shared" si="13"/>
        <v>0</v>
      </c>
      <c r="AB131" s="32">
        <f t="shared" si="7"/>
        <v>0</v>
      </c>
    </row>
    <row r="132" spans="1:28" ht="27.6" hidden="1" x14ac:dyDescent="0.3">
      <c r="A132" s="24" t="s">
        <v>103</v>
      </c>
      <c r="B132" s="24"/>
      <c r="C132" s="24" t="s">
        <v>104</v>
      </c>
      <c r="D132" s="23"/>
      <c r="E132" s="20"/>
      <c r="F132" s="21"/>
      <c r="G132" s="23"/>
      <c r="H132" s="23"/>
      <c r="I132" s="3" t="s">
        <v>178</v>
      </c>
      <c r="J132" s="9"/>
      <c r="K132" s="9"/>
      <c r="L132" s="10">
        <f t="shared" si="8"/>
        <v>0</v>
      </c>
      <c r="M132" s="10"/>
      <c r="N132" s="10"/>
      <c r="O132" s="10"/>
      <c r="P132" s="38">
        <f t="shared" si="9"/>
        <v>0</v>
      </c>
      <c r="Q132" s="11"/>
      <c r="R132" s="11"/>
      <c r="S132" s="12">
        <f t="shared" si="10"/>
        <v>0</v>
      </c>
      <c r="T132" s="28">
        <f t="shared" si="11"/>
        <v>0</v>
      </c>
      <c r="U132" s="9"/>
      <c r="V132" s="9"/>
      <c r="W132" s="9"/>
      <c r="X132" s="9"/>
      <c r="Y132" s="9"/>
      <c r="Z132" s="10">
        <f t="shared" si="12"/>
        <v>0</v>
      </c>
      <c r="AA132" s="30">
        <f t="shared" si="13"/>
        <v>0</v>
      </c>
      <c r="AB132" s="32">
        <f t="shared" si="7"/>
        <v>0</v>
      </c>
    </row>
    <row r="133" spans="1:28" ht="27.6" hidden="1" x14ac:dyDescent="0.3">
      <c r="A133" s="24" t="s">
        <v>103</v>
      </c>
      <c r="B133" s="24" t="s">
        <v>36</v>
      </c>
      <c r="C133" s="24" t="s">
        <v>163</v>
      </c>
      <c r="D133" s="23"/>
      <c r="E133" s="20"/>
      <c r="F133" s="21"/>
      <c r="G133" s="23"/>
      <c r="H133" s="23"/>
      <c r="I133" s="3" t="s">
        <v>179</v>
      </c>
      <c r="J133" s="9"/>
      <c r="K133" s="9"/>
      <c r="L133" s="10">
        <f t="shared" si="8"/>
        <v>0</v>
      </c>
      <c r="M133" s="10"/>
      <c r="N133" s="10"/>
      <c r="O133" s="10"/>
      <c r="P133" s="38">
        <f t="shared" si="9"/>
        <v>0</v>
      </c>
      <c r="Q133" s="11"/>
      <c r="R133" s="11"/>
      <c r="S133" s="12">
        <f t="shared" si="10"/>
        <v>0</v>
      </c>
      <c r="T133" s="28">
        <f t="shared" si="11"/>
        <v>0</v>
      </c>
      <c r="U133" s="9"/>
      <c r="V133" s="9"/>
      <c r="W133" s="9"/>
      <c r="X133" s="9"/>
      <c r="Y133" s="9"/>
      <c r="Z133" s="10">
        <f t="shared" si="12"/>
        <v>0</v>
      </c>
      <c r="AA133" s="30">
        <f t="shared" si="13"/>
        <v>0</v>
      </c>
      <c r="AB133" s="32">
        <f t="shared" si="7"/>
        <v>0</v>
      </c>
    </row>
    <row r="134" spans="1:28" ht="27.6" hidden="1" x14ac:dyDescent="0.3">
      <c r="A134" s="24" t="s">
        <v>103</v>
      </c>
      <c r="B134" s="24"/>
      <c r="C134" s="24" t="s">
        <v>104</v>
      </c>
      <c r="D134" s="23"/>
      <c r="E134" s="20"/>
      <c r="F134" s="21"/>
      <c r="G134" s="23"/>
      <c r="H134" s="23"/>
      <c r="I134" s="3" t="s">
        <v>180</v>
      </c>
      <c r="J134" s="9"/>
      <c r="K134" s="9"/>
      <c r="L134" s="10">
        <f t="shared" si="8"/>
        <v>0</v>
      </c>
      <c r="M134" s="10"/>
      <c r="N134" s="10"/>
      <c r="O134" s="10"/>
      <c r="P134" s="38">
        <f t="shared" si="9"/>
        <v>0</v>
      </c>
      <c r="Q134" s="11"/>
      <c r="R134" s="11"/>
      <c r="S134" s="12">
        <f t="shared" si="10"/>
        <v>0</v>
      </c>
      <c r="T134" s="28">
        <f t="shared" si="11"/>
        <v>0</v>
      </c>
      <c r="U134" s="9"/>
      <c r="V134" s="9"/>
      <c r="W134" s="9"/>
      <c r="X134" s="9"/>
      <c r="Y134" s="9"/>
      <c r="Z134" s="10">
        <f t="shared" si="12"/>
        <v>0</v>
      </c>
      <c r="AA134" s="30">
        <f t="shared" si="13"/>
        <v>0</v>
      </c>
      <c r="AB134" s="32">
        <f t="shared" si="7"/>
        <v>0</v>
      </c>
    </row>
    <row r="135" spans="1:28" ht="27.6" hidden="1" x14ac:dyDescent="0.3">
      <c r="A135" s="24" t="s">
        <v>103</v>
      </c>
      <c r="B135" s="24" t="s">
        <v>35</v>
      </c>
      <c r="C135" s="24" t="s">
        <v>163</v>
      </c>
      <c r="D135" s="23"/>
      <c r="E135" s="20"/>
      <c r="F135" s="21"/>
      <c r="G135" s="23"/>
      <c r="H135" s="23"/>
      <c r="I135" s="3" t="s">
        <v>181</v>
      </c>
      <c r="J135" s="9"/>
      <c r="K135" s="9"/>
      <c r="L135" s="10">
        <f t="shared" si="8"/>
        <v>0</v>
      </c>
      <c r="M135" s="10"/>
      <c r="N135" s="10"/>
      <c r="O135" s="10"/>
      <c r="P135" s="38">
        <f t="shared" si="9"/>
        <v>0</v>
      </c>
      <c r="Q135" s="11"/>
      <c r="R135" s="11"/>
      <c r="S135" s="12">
        <f t="shared" si="10"/>
        <v>0</v>
      </c>
      <c r="T135" s="28">
        <f t="shared" si="11"/>
        <v>0</v>
      </c>
      <c r="U135" s="9"/>
      <c r="V135" s="9"/>
      <c r="W135" s="9"/>
      <c r="X135" s="9"/>
      <c r="Y135" s="9"/>
      <c r="Z135" s="10">
        <f t="shared" si="12"/>
        <v>0</v>
      </c>
      <c r="AA135" s="30">
        <f t="shared" si="13"/>
        <v>0</v>
      </c>
      <c r="AB135" s="32">
        <f t="shared" si="7"/>
        <v>0</v>
      </c>
    </row>
    <row r="136" spans="1:28" ht="27.6" hidden="1" x14ac:dyDescent="0.3">
      <c r="A136" s="24" t="s">
        <v>182</v>
      </c>
      <c r="B136" s="24" t="s">
        <v>35</v>
      </c>
      <c r="C136" s="24" t="s">
        <v>183</v>
      </c>
      <c r="D136" s="23"/>
      <c r="E136" s="20"/>
      <c r="F136" s="21"/>
      <c r="G136" s="23"/>
      <c r="H136" s="23"/>
      <c r="I136" s="3" t="s">
        <v>184</v>
      </c>
      <c r="J136" s="9"/>
      <c r="K136" s="9"/>
      <c r="L136" s="10">
        <f t="shared" si="8"/>
        <v>0</v>
      </c>
      <c r="M136" s="10"/>
      <c r="N136" s="10"/>
      <c r="O136" s="10"/>
      <c r="P136" s="38">
        <f t="shared" si="9"/>
        <v>0</v>
      </c>
      <c r="Q136" s="11"/>
      <c r="R136" s="11"/>
      <c r="S136" s="12">
        <f t="shared" si="10"/>
        <v>0</v>
      </c>
      <c r="T136" s="28">
        <f t="shared" si="11"/>
        <v>0</v>
      </c>
      <c r="U136" s="9"/>
      <c r="V136" s="9"/>
      <c r="W136" s="9"/>
      <c r="X136" s="9"/>
      <c r="Y136" s="9"/>
      <c r="Z136" s="10">
        <f t="shared" si="12"/>
        <v>0</v>
      </c>
      <c r="AA136" s="30">
        <f t="shared" si="13"/>
        <v>0</v>
      </c>
      <c r="AB136" s="32">
        <f t="shared" si="7"/>
        <v>0</v>
      </c>
    </row>
    <row r="137" spans="1:28" ht="27.6" hidden="1" x14ac:dyDescent="0.3">
      <c r="A137" s="24" t="s">
        <v>105</v>
      </c>
      <c r="B137" s="24" t="s">
        <v>35</v>
      </c>
      <c r="C137" s="24" t="s">
        <v>37</v>
      </c>
      <c r="D137" s="23"/>
      <c r="E137" s="20"/>
      <c r="F137" s="21"/>
      <c r="G137" s="23"/>
      <c r="H137" s="23"/>
      <c r="I137" s="3" t="s">
        <v>185</v>
      </c>
      <c r="J137" s="9"/>
      <c r="K137" s="9"/>
      <c r="L137" s="10">
        <f t="shared" si="8"/>
        <v>0</v>
      </c>
      <c r="M137" s="10"/>
      <c r="N137" s="10"/>
      <c r="O137" s="10"/>
      <c r="P137" s="38">
        <f t="shared" si="9"/>
        <v>0</v>
      </c>
      <c r="Q137" s="11"/>
      <c r="R137" s="11"/>
      <c r="S137" s="12">
        <f t="shared" si="10"/>
        <v>0</v>
      </c>
      <c r="T137" s="28">
        <f t="shared" si="11"/>
        <v>0</v>
      </c>
      <c r="U137" s="9"/>
      <c r="V137" s="9"/>
      <c r="W137" s="9"/>
      <c r="X137" s="9"/>
      <c r="Y137" s="9"/>
      <c r="Z137" s="10">
        <f t="shared" si="12"/>
        <v>0</v>
      </c>
      <c r="AA137" s="30">
        <f t="shared" si="13"/>
        <v>0</v>
      </c>
      <c r="AB137" s="32">
        <f t="shared" si="7"/>
        <v>0</v>
      </c>
    </row>
    <row r="138" spans="1:28" ht="27.6" hidden="1" x14ac:dyDescent="0.3">
      <c r="A138" s="24" t="s">
        <v>64</v>
      </c>
      <c r="B138" s="24"/>
      <c r="C138" s="24" t="s">
        <v>65</v>
      </c>
      <c r="D138" s="23"/>
      <c r="E138" s="20"/>
      <c r="F138" s="21"/>
      <c r="G138" s="23"/>
      <c r="H138" s="23"/>
      <c r="I138" s="3" t="s">
        <v>186</v>
      </c>
      <c r="J138" s="9"/>
      <c r="K138" s="9"/>
      <c r="L138" s="10">
        <f t="shared" si="8"/>
        <v>0</v>
      </c>
      <c r="M138" s="10"/>
      <c r="N138" s="10"/>
      <c r="O138" s="10"/>
      <c r="P138" s="38">
        <f t="shared" si="9"/>
        <v>0</v>
      </c>
      <c r="Q138" s="11"/>
      <c r="R138" s="11"/>
      <c r="S138" s="12">
        <f t="shared" si="10"/>
        <v>0</v>
      </c>
      <c r="T138" s="28">
        <f t="shared" si="11"/>
        <v>0</v>
      </c>
      <c r="U138" s="9"/>
      <c r="V138" s="9"/>
      <c r="W138" s="9"/>
      <c r="X138" s="9"/>
      <c r="Y138" s="9"/>
      <c r="Z138" s="10">
        <f t="shared" si="12"/>
        <v>0</v>
      </c>
      <c r="AA138" s="30">
        <f t="shared" si="13"/>
        <v>0</v>
      </c>
      <c r="AB138" s="32">
        <f t="shared" ref="AB138:AB181" si="14">+(T138+P138+AA138)/3</f>
        <v>0</v>
      </c>
    </row>
    <row r="139" spans="1:28" ht="27.6" hidden="1" x14ac:dyDescent="0.3">
      <c r="A139" s="24" t="s">
        <v>105</v>
      </c>
      <c r="B139" s="24" t="s">
        <v>35</v>
      </c>
      <c r="C139" s="24" t="s">
        <v>42</v>
      </c>
      <c r="D139" s="23"/>
      <c r="E139" s="20"/>
      <c r="F139" s="21"/>
      <c r="G139" s="23"/>
      <c r="H139" s="23"/>
      <c r="I139" s="3" t="s">
        <v>187</v>
      </c>
      <c r="J139" s="9"/>
      <c r="K139" s="9"/>
      <c r="L139" s="10">
        <f t="shared" ref="L139:L181" si="15">+J139-K139</f>
        <v>0</v>
      </c>
      <c r="M139" s="10"/>
      <c r="N139" s="10"/>
      <c r="O139" s="10"/>
      <c r="P139" s="38">
        <f t="shared" ref="P139:P181" si="16">IFERROR(IF(7&lt;&gt;0, K139*100/J139, IF(J139=K139, K139*100/J139, 0)), 0)</f>
        <v>0</v>
      </c>
      <c r="Q139" s="11"/>
      <c r="R139" s="11"/>
      <c r="S139" s="12">
        <f t="shared" ref="S139:S181" si="17">+Q139-R139</f>
        <v>0</v>
      </c>
      <c r="T139" s="28">
        <f t="shared" ref="T139:T181" si="18">IFERROR(IF(S139&lt;&gt;0, Q139*100/R139, IF(Q139=R139, Q139*100/R139, 0)), 0)</f>
        <v>0</v>
      </c>
      <c r="U139" s="9"/>
      <c r="V139" s="9"/>
      <c r="W139" s="9"/>
      <c r="X139" s="9"/>
      <c r="Y139" s="9"/>
      <c r="Z139" s="10">
        <f t="shared" ref="Z139:Z181" si="19">SUM(U139:Y139)</f>
        <v>0</v>
      </c>
      <c r="AA139" s="30">
        <f t="shared" ref="AA139:AA181" si="20">+Z139*100/50</f>
        <v>0</v>
      </c>
      <c r="AB139" s="32">
        <f t="shared" si="14"/>
        <v>0</v>
      </c>
    </row>
    <row r="140" spans="1:28" ht="27.6" hidden="1" x14ac:dyDescent="0.3">
      <c r="A140" s="24" t="s">
        <v>105</v>
      </c>
      <c r="B140" s="24" t="s">
        <v>35</v>
      </c>
      <c r="C140" s="24" t="s">
        <v>44</v>
      </c>
      <c r="D140" s="23"/>
      <c r="E140" s="20"/>
      <c r="F140" s="21"/>
      <c r="G140" s="23"/>
      <c r="H140" s="23"/>
      <c r="I140" s="3" t="s">
        <v>188</v>
      </c>
      <c r="J140" s="9"/>
      <c r="K140" s="9"/>
      <c r="L140" s="10">
        <f t="shared" si="15"/>
        <v>0</v>
      </c>
      <c r="M140" s="10"/>
      <c r="N140" s="10"/>
      <c r="O140" s="10"/>
      <c r="P140" s="38">
        <f t="shared" si="16"/>
        <v>0</v>
      </c>
      <c r="Q140" s="11"/>
      <c r="R140" s="11"/>
      <c r="S140" s="12">
        <f t="shared" si="17"/>
        <v>0</v>
      </c>
      <c r="T140" s="28">
        <f t="shared" si="18"/>
        <v>0</v>
      </c>
      <c r="U140" s="9"/>
      <c r="V140" s="9"/>
      <c r="W140" s="9"/>
      <c r="X140" s="9"/>
      <c r="Y140" s="9"/>
      <c r="Z140" s="10">
        <f t="shared" si="19"/>
        <v>0</v>
      </c>
      <c r="AA140" s="30">
        <f t="shared" si="20"/>
        <v>0</v>
      </c>
      <c r="AB140" s="32">
        <f t="shared" si="14"/>
        <v>0</v>
      </c>
    </row>
    <row r="141" spans="1:28" ht="41.4" x14ac:dyDescent="0.3">
      <c r="A141" s="24" t="s">
        <v>105</v>
      </c>
      <c r="B141" s="24" t="s">
        <v>35</v>
      </c>
      <c r="C141" s="24" t="s">
        <v>46</v>
      </c>
      <c r="D141" s="23"/>
      <c r="E141" s="20"/>
      <c r="F141" s="21"/>
      <c r="G141" s="23"/>
      <c r="H141" s="23"/>
      <c r="I141" s="3" t="s">
        <v>189</v>
      </c>
      <c r="J141" s="9"/>
      <c r="K141" s="9"/>
      <c r="L141" s="10">
        <f t="shared" si="15"/>
        <v>0</v>
      </c>
      <c r="M141" s="10"/>
      <c r="N141" s="10"/>
      <c r="O141" s="10"/>
      <c r="P141" s="38">
        <f t="shared" si="16"/>
        <v>0</v>
      </c>
      <c r="Q141" s="11"/>
      <c r="R141" s="11"/>
      <c r="S141" s="12">
        <f t="shared" si="17"/>
        <v>0</v>
      </c>
      <c r="T141" s="28">
        <f t="shared" si="18"/>
        <v>0</v>
      </c>
      <c r="U141" s="9"/>
      <c r="V141" s="9"/>
      <c r="W141" s="9"/>
      <c r="X141" s="9"/>
      <c r="Y141" s="9"/>
      <c r="Z141" s="10">
        <f t="shared" si="19"/>
        <v>0</v>
      </c>
      <c r="AA141" s="30">
        <f t="shared" si="20"/>
        <v>0</v>
      </c>
      <c r="AB141" s="32">
        <f t="shared" si="14"/>
        <v>0</v>
      </c>
    </row>
    <row r="142" spans="1:28" ht="41.4" hidden="1" x14ac:dyDescent="0.3">
      <c r="A142" s="24" t="s">
        <v>105</v>
      </c>
      <c r="B142" s="24" t="s">
        <v>35</v>
      </c>
      <c r="C142" s="24" t="s">
        <v>48</v>
      </c>
      <c r="D142" s="23"/>
      <c r="E142" s="20"/>
      <c r="F142" s="21"/>
      <c r="G142" s="23"/>
      <c r="H142" s="23"/>
      <c r="I142" s="3" t="s">
        <v>190</v>
      </c>
      <c r="J142" s="9"/>
      <c r="K142" s="9"/>
      <c r="L142" s="10">
        <f t="shared" si="15"/>
        <v>0</v>
      </c>
      <c r="M142" s="10"/>
      <c r="N142" s="10"/>
      <c r="O142" s="10"/>
      <c r="P142" s="38">
        <f t="shared" si="16"/>
        <v>0</v>
      </c>
      <c r="Q142" s="11"/>
      <c r="R142" s="11"/>
      <c r="S142" s="12">
        <f t="shared" si="17"/>
        <v>0</v>
      </c>
      <c r="T142" s="28">
        <f t="shared" si="18"/>
        <v>0</v>
      </c>
      <c r="U142" s="9"/>
      <c r="V142" s="9"/>
      <c r="W142" s="9"/>
      <c r="X142" s="9"/>
      <c r="Y142" s="9"/>
      <c r="Z142" s="10">
        <f t="shared" si="19"/>
        <v>0</v>
      </c>
      <c r="AA142" s="30">
        <f t="shared" si="20"/>
        <v>0</v>
      </c>
      <c r="AB142" s="32">
        <f t="shared" si="14"/>
        <v>0</v>
      </c>
    </row>
    <row r="143" spans="1:28" ht="41.4" x14ac:dyDescent="0.3">
      <c r="A143" s="24" t="s">
        <v>105</v>
      </c>
      <c r="B143" s="24" t="s">
        <v>35</v>
      </c>
      <c r="C143" s="24" t="s">
        <v>50</v>
      </c>
      <c r="D143" s="23"/>
      <c r="E143" s="20"/>
      <c r="F143" s="21"/>
      <c r="G143" s="23"/>
      <c r="H143" s="23"/>
      <c r="I143" s="3" t="s">
        <v>191</v>
      </c>
      <c r="J143" s="9"/>
      <c r="K143" s="9"/>
      <c r="L143" s="10">
        <f t="shared" si="15"/>
        <v>0</v>
      </c>
      <c r="M143" s="10"/>
      <c r="N143" s="10"/>
      <c r="O143" s="10"/>
      <c r="P143" s="38">
        <f t="shared" si="16"/>
        <v>0</v>
      </c>
      <c r="Q143" s="11"/>
      <c r="R143" s="11"/>
      <c r="S143" s="12">
        <f t="shared" si="17"/>
        <v>0</v>
      </c>
      <c r="T143" s="28">
        <f t="shared" si="18"/>
        <v>0</v>
      </c>
      <c r="U143" s="9"/>
      <c r="V143" s="9"/>
      <c r="W143" s="9"/>
      <c r="X143" s="9"/>
      <c r="Y143" s="9"/>
      <c r="Z143" s="10">
        <f t="shared" si="19"/>
        <v>0</v>
      </c>
      <c r="AA143" s="30">
        <f t="shared" si="20"/>
        <v>0</v>
      </c>
      <c r="AB143" s="32">
        <f t="shared" si="14"/>
        <v>0</v>
      </c>
    </row>
    <row r="144" spans="1:28" ht="27.6" hidden="1" x14ac:dyDescent="0.3">
      <c r="A144" s="24" t="s">
        <v>105</v>
      </c>
      <c r="B144" s="24"/>
      <c r="C144" s="24" t="s">
        <v>106</v>
      </c>
      <c r="D144" s="23"/>
      <c r="E144" s="20"/>
      <c r="F144" s="21"/>
      <c r="G144" s="23"/>
      <c r="H144" s="23"/>
      <c r="I144" s="3" t="s">
        <v>192</v>
      </c>
      <c r="J144" s="9"/>
      <c r="K144" s="9"/>
      <c r="L144" s="10">
        <f t="shared" si="15"/>
        <v>0</v>
      </c>
      <c r="M144" s="10"/>
      <c r="N144" s="10"/>
      <c r="O144" s="10"/>
      <c r="P144" s="38">
        <f t="shared" si="16"/>
        <v>0</v>
      </c>
      <c r="Q144" s="11"/>
      <c r="R144" s="11"/>
      <c r="S144" s="12">
        <f t="shared" si="17"/>
        <v>0</v>
      </c>
      <c r="T144" s="28">
        <f t="shared" si="18"/>
        <v>0</v>
      </c>
      <c r="U144" s="9"/>
      <c r="V144" s="9"/>
      <c r="W144" s="9"/>
      <c r="X144" s="9"/>
      <c r="Y144" s="9"/>
      <c r="Z144" s="10">
        <f t="shared" si="19"/>
        <v>0</v>
      </c>
      <c r="AA144" s="30">
        <f t="shared" si="20"/>
        <v>0</v>
      </c>
      <c r="AB144" s="32">
        <f t="shared" si="14"/>
        <v>0</v>
      </c>
    </row>
    <row r="145" spans="1:28" ht="27.6" hidden="1" x14ac:dyDescent="0.3">
      <c r="A145" s="24" t="s">
        <v>105</v>
      </c>
      <c r="B145" s="24"/>
      <c r="C145" s="24" t="s">
        <v>95</v>
      </c>
      <c r="D145" s="23"/>
      <c r="E145" s="20"/>
      <c r="F145" s="21"/>
      <c r="G145" s="23"/>
      <c r="H145" s="23"/>
      <c r="I145" s="3" t="s">
        <v>193</v>
      </c>
      <c r="J145" s="9"/>
      <c r="K145" s="9"/>
      <c r="L145" s="10">
        <f t="shared" si="15"/>
        <v>0</v>
      </c>
      <c r="M145" s="10"/>
      <c r="N145" s="10"/>
      <c r="O145" s="10"/>
      <c r="P145" s="38">
        <f t="shared" si="16"/>
        <v>0</v>
      </c>
      <c r="Q145" s="11"/>
      <c r="R145" s="11"/>
      <c r="S145" s="12">
        <f t="shared" si="17"/>
        <v>0</v>
      </c>
      <c r="T145" s="28">
        <f t="shared" si="18"/>
        <v>0</v>
      </c>
      <c r="U145" s="9"/>
      <c r="V145" s="9"/>
      <c r="W145" s="9"/>
      <c r="X145" s="9"/>
      <c r="Y145" s="9"/>
      <c r="Z145" s="10">
        <f t="shared" si="19"/>
        <v>0</v>
      </c>
      <c r="AA145" s="30">
        <f t="shared" si="20"/>
        <v>0</v>
      </c>
      <c r="AB145" s="32">
        <f t="shared" si="14"/>
        <v>0</v>
      </c>
    </row>
    <row r="146" spans="1:28" ht="41.4" hidden="1" x14ac:dyDescent="0.3">
      <c r="A146" s="24" t="s">
        <v>182</v>
      </c>
      <c r="B146" s="24"/>
      <c r="C146" s="24" t="s">
        <v>183</v>
      </c>
      <c r="D146" s="23"/>
      <c r="E146" s="20"/>
      <c r="F146" s="21"/>
      <c r="G146" s="23"/>
      <c r="H146" s="23"/>
      <c r="I146" s="3" t="s">
        <v>194</v>
      </c>
      <c r="J146" s="9"/>
      <c r="K146" s="9"/>
      <c r="L146" s="10">
        <f t="shared" si="15"/>
        <v>0</v>
      </c>
      <c r="M146" s="10"/>
      <c r="N146" s="10"/>
      <c r="O146" s="10"/>
      <c r="P146" s="38">
        <f t="shared" si="16"/>
        <v>0</v>
      </c>
      <c r="Q146" s="11"/>
      <c r="R146" s="11"/>
      <c r="S146" s="12">
        <f t="shared" si="17"/>
        <v>0</v>
      </c>
      <c r="T146" s="28">
        <f t="shared" si="18"/>
        <v>0</v>
      </c>
      <c r="U146" s="9"/>
      <c r="V146" s="9"/>
      <c r="W146" s="9"/>
      <c r="X146" s="9"/>
      <c r="Y146" s="9"/>
      <c r="Z146" s="10">
        <f t="shared" si="19"/>
        <v>0</v>
      </c>
      <c r="AA146" s="30">
        <f t="shared" si="20"/>
        <v>0</v>
      </c>
      <c r="AB146" s="32">
        <f t="shared" si="14"/>
        <v>0</v>
      </c>
    </row>
    <row r="147" spans="1:28" ht="27.6" hidden="1" x14ac:dyDescent="0.3">
      <c r="A147" s="24" t="s">
        <v>182</v>
      </c>
      <c r="B147" s="24"/>
      <c r="C147" s="24" t="s">
        <v>195</v>
      </c>
      <c r="D147" s="23"/>
      <c r="E147" s="20"/>
      <c r="F147" s="21"/>
      <c r="G147" s="23"/>
      <c r="H147" s="23"/>
      <c r="I147" s="3" t="s">
        <v>196</v>
      </c>
      <c r="J147" s="9"/>
      <c r="K147" s="9"/>
      <c r="L147" s="10">
        <f t="shared" si="15"/>
        <v>0</v>
      </c>
      <c r="M147" s="10"/>
      <c r="N147" s="10"/>
      <c r="O147" s="10"/>
      <c r="P147" s="38">
        <f t="shared" si="16"/>
        <v>0</v>
      </c>
      <c r="Q147" s="11"/>
      <c r="R147" s="11"/>
      <c r="S147" s="12">
        <f t="shared" si="17"/>
        <v>0</v>
      </c>
      <c r="T147" s="28">
        <f t="shared" si="18"/>
        <v>0</v>
      </c>
      <c r="U147" s="9"/>
      <c r="V147" s="9"/>
      <c r="W147" s="9"/>
      <c r="X147" s="9"/>
      <c r="Y147" s="9"/>
      <c r="Z147" s="10">
        <f t="shared" si="19"/>
        <v>0</v>
      </c>
      <c r="AA147" s="30">
        <f t="shared" si="20"/>
        <v>0</v>
      </c>
      <c r="AB147" s="32">
        <f t="shared" si="14"/>
        <v>0</v>
      </c>
    </row>
    <row r="148" spans="1:28" ht="41.4" hidden="1" x14ac:dyDescent="0.3">
      <c r="A148" s="24" t="s">
        <v>182</v>
      </c>
      <c r="B148" s="24"/>
      <c r="C148" s="24" t="s">
        <v>183</v>
      </c>
      <c r="D148" s="23"/>
      <c r="E148" s="20"/>
      <c r="F148" s="21"/>
      <c r="G148" s="23"/>
      <c r="H148" s="23"/>
      <c r="I148" s="3" t="s">
        <v>197</v>
      </c>
      <c r="J148" s="9"/>
      <c r="K148" s="9"/>
      <c r="L148" s="10">
        <f t="shared" si="15"/>
        <v>0</v>
      </c>
      <c r="M148" s="10"/>
      <c r="N148" s="10"/>
      <c r="O148" s="10"/>
      <c r="P148" s="38">
        <f t="shared" si="16"/>
        <v>0</v>
      </c>
      <c r="Q148" s="11"/>
      <c r="R148" s="11"/>
      <c r="S148" s="12">
        <f t="shared" si="17"/>
        <v>0</v>
      </c>
      <c r="T148" s="28">
        <f t="shared" si="18"/>
        <v>0</v>
      </c>
      <c r="U148" s="9"/>
      <c r="V148" s="9"/>
      <c r="W148" s="9"/>
      <c r="X148" s="9"/>
      <c r="Y148" s="9"/>
      <c r="Z148" s="10">
        <f t="shared" si="19"/>
        <v>0</v>
      </c>
      <c r="AA148" s="30">
        <f t="shared" si="20"/>
        <v>0</v>
      </c>
      <c r="AB148" s="32">
        <f t="shared" si="14"/>
        <v>0</v>
      </c>
    </row>
    <row r="149" spans="1:28" ht="41.4" hidden="1" x14ac:dyDescent="0.3">
      <c r="A149" s="24" t="s">
        <v>35</v>
      </c>
      <c r="B149" s="24"/>
      <c r="C149" s="24" t="s">
        <v>37</v>
      </c>
      <c r="D149" s="23"/>
      <c r="E149" s="20"/>
      <c r="F149" s="21"/>
      <c r="G149" s="23"/>
      <c r="H149" s="23"/>
      <c r="I149" s="3" t="s">
        <v>198</v>
      </c>
      <c r="J149" s="9"/>
      <c r="K149" s="9"/>
      <c r="L149" s="10">
        <f t="shared" si="15"/>
        <v>0</v>
      </c>
      <c r="M149" s="10"/>
      <c r="N149" s="10"/>
      <c r="O149" s="10"/>
      <c r="P149" s="38">
        <f t="shared" si="16"/>
        <v>0</v>
      </c>
      <c r="Q149" s="11"/>
      <c r="R149" s="11"/>
      <c r="S149" s="12">
        <f t="shared" si="17"/>
        <v>0</v>
      </c>
      <c r="T149" s="28">
        <f t="shared" si="18"/>
        <v>0</v>
      </c>
      <c r="U149" s="9"/>
      <c r="V149" s="9"/>
      <c r="W149" s="9"/>
      <c r="X149" s="9"/>
      <c r="Y149" s="9"/>
      <c r="Z149" s="10">
        <f t="shared" si="19"/>
        <v>0</v>
      </c>
      <c r="AA149" s="30">
        <f t="shared" si="20"/>
        <v>0</v>
      </c>
      <c r="AB149" s="32">
        <f t="shared" si="14"/>
        <v>0</v>
      </c>
    </row>
    <row r="150" spans="1:28" ht="41.4" hidden="1" x14ac:dyDescent="0.3">
      <c r="A150" s="24" t="s">
        <v>35</v>
      </c>
      <c r="B150" s="24"/>
      <c r="C150" s="24" t="s">
        <v>42</v>
      </c>
      <c r="D150" s="23"/>
      <c r="E150" s="20"/>
      <c r="F150" s="21"/>
      <c r="G150" s="23"/>
      <c r="H150" s="23"/>
      <c r="I150" s="3" t="s">
        <v>199</v>
      </c>
      <c r="J150" s="9"/>
      <c r="K150" s="9"/>
      <c r="L150" s="10">
        <f t="shared" si="15"/>
        <v>0</v>
      </c>
      <c r="M150" s="10"/>
      <c r="N150" s="10"/>
      <c r="O150" s="10"/>
      <c r="P150" s="38">
        <f t="shared" si="16"/>
        <v>0</v>
      </c>
      <c r="Q150" s="11"/>
      <c r="R150" s="11"/>
      <c r="S150" s="12">
        <f t="shared" si="17"/>
        <v>0</v>
      </c>
      <c r="T150" s="28">
        <f t="shared" si="18"/>
        <v>0</v>
      </c>
      <c r="U150" s="9"/>
      <c r="V150" s="9"/>
      <c r="W150" s="9"/>
      <c r="X150" s="9"/>
      <c r="Y150" s="9"/>
      <c r="Z150" s="10">
        <f t="shared" si="19"/>
        <v>0</v>
      </c>
      <c r="AA150" s="30">
        <f t="shared" si="20"/>
        <v>0</v>
      </c>
      <c r="AB150" s="32">
        <f t="shared" si="14"/>
        <v>0</v>
      </c>
    </row>
    <row r="151" spans="1:28" ht="41.4" hidden="1" x14ac:dyDescent="0.3">
      <c r="A151" s="24" t="s">
        <v>35</v>
      </c>
      <c r="B151" s="24"/>
      <c r="C151" s="24" t="s">
        <v>44</v>
      </c>
      <c r="D151" s="23"/>
      <c r="E151" s="20"/>
      <c r="F151" s="21"/>
      <c r="G151" s="23"/>
      <c r="H151" s="23"/>
      <c r="I151" s="3" t="s">
        <v>200</v>
      </c>
      <c r="J151" s="9"/>
      <c r="K151" s="9"/>
      <c r="L151" s="10">
        <f t="shared" si="15"/>
        <v>0</v>
      </c>
      <c r="M151" s="10"/>
      <c r="N151" s="10"/>
      <c r="O151" s="10"/>
      <c r="P151" s="38">
        <f t="shared" si="16"/>
        <v>0</v>
      </c>
      <c r="Q151" s="11"/>
      <c r="R151" s="11"/>
      <c r="S151" s="12">
        <f t="shared" si="17"/>
        <v>0</v>
      </c>
      <c r="T151" s="28">
        <f t="shared" si="18"/>
        <v>0</v>
      </c>
      <c r="U151" s="9"/>
      <c r="V151" s="9"/>
      <c r="W151" s="9"/>
      <c r="X151" s="9"/>
      <c r="Y151" s="9"/>
      <c r="Z151" s="10">
        <f t="shared" si="19"/>
        <v>0</v>
      </c>
      <c r="AA151" s="30">
        <f t="shared" si="20"/>
        <v>0</v>
      </c>
      <c r="AB151" s="32">
        <f t="shared" si="14"/>
        <v>0</v>
      </c>
    </row>
    <row r="152" spans="1:28" ht="41.4" hidden="1" x14ac:dyDescent="0.3">
      <c r="A152" s="24" t="s">
        <v>35</v>
      </c>
      <c r="B152" s="24"/>
      <c r="C152" s="24" t="s">
        <v>65</v>
      </c>
      <c r="D152" s="23"/>
      <c r="E152" s="20"/>
      <c r="F152" s="21"/>
      <c r="G152" s="23"/>
      <c r="H152" s="23"/>
      <c r="I152" s="3" t="s">
        <v>201</v>
      </c>
      <c r="J152" s="9"/>
      <c r="K152" s="9"/>
      <c r="L152" s="10">
        <f t="shared" si="15"/>
        <v>0</v>
      </c>
      <c r="M152" s="10"/>
      <c r="N152" s="10"/>
      <c r="O152" s="10"/>
      <c r="P152" s="38">
        <f t="shared" si="16"/>
        <v>0</v>
      </c>
      <c r="Q152" s="11"/>
      <c r="R152" s="11"/>
      <c r="S152" s="12">
        <f t="shared" si="17"/>
        <v>0</v>
      </c>
      <c r="T152" s="28">
        <f t="shared" si="18"/>
        <v>0</v>
      </c>
      <c r="U152" s="9"/>
      <c r="V152" s="9"/>
      <c r="W152" s="9"/>
      <c r="X152" s="9"/>
      <c r="Y152" s="9"/>
      <c r="Z152" s="10">
        <f t="shared" si="19"/>
        <v>0</v>
      </c>
      <c r="AA152" s="30">
        <f t="shared" si="20"/>
        <v>0</v>
      </c>
      <c r="AB152" s="32">
        <f t="shared" si="14"/>
        <v>0</v>
      </c>
    </row>
    <row r="153" spans="1:28" ht="27.6" hidden="1" x14ac:dyDescent="0.3">
      <c r="A153" s="24" t="s">
        <v>182</v>
      </c>
      <c r="B153" s="24"/>
      <c r="C153" s="24" t="s">
        <v>183</v>
      </c>
      <c r="D153" s="23"/>
      <c r="E153" s="20"/>
      <c r="F153" s="21"/>
      <c r="G153" s="23"/>
      <c r="H153" s="23"/>
      <c r="I153" s="3" t="s">
        <v>202</v>
      </c>
      <c r="J153" s="9"/>
      <c r="K153" s="9"/>
      <c r="L153" s="10">
        <f t="shared" si="15"/>
        <v>0</v>
      </c>
      <c r="M153" s="10"/>
      <c r="N153" s="10"/>
      <c r="O153" s="10"/>
      <c r="P153" s="38">
        <f t="shared" si="16"/>
        <v>0</v>
      </c>
      <c r="Q153" s="11"/>
      <c r="R153" s="11"/>
      <c r="S153" s="12">
        <f t="shared" si="17"/>
        <v>0</v>
      </c>
      <c r="T153" s="28">
        <f t="shared" si="18"/>
        <v>0</v>
      </c>
      <c r="U153" s="9"/>
      <c r="V153" s="9"/>
      <c r="W153" s="9"/>
      <c r="X153" s="9"/>
      <c r="Y153" s="9"/>
      <c r="Z153" s="10">
        <f t="shared" si="19"/>
        <v>0</v>
      </c>
      <c r="AA153" s="30">
        <f t="shared" si="20"/>
        <v>0</v>
      </c>
      <c r="AB153" s="32">
        <f t="shared" si="14"/>
        <v>0</v>
      </c>
    </row>
    <row r="154" spans="1:28" ht="27.6" hidden="1" x14ac:dyDescent="0.3">
      <c r="A154" s="24" t="s">
        <v>182</v>
      </c>
      <c r="B154" s="24"/>
      <c r="C154" s="24" t="s">
        <v>95</v>
      </c>
      <c r="D154" s="23"/>
      <c r="E154" s="20"/>
      <c r="F154" s="21"/>
      <c r="G154" s="23"/>
      <c r="H154" s="23"/>
      <c r="I154" s="3" t="s">
        <v>203</v>
      </c>
      <c r="J154" s="9"/>
      <c r="K154" s="9"/>
      <c r="L154" s="10">
        <f t="shared" si="15"/>
        <v>0</v>
      </c>
      <c r="M154" s="10"/>
      <c r="N154" s="10"/>
      <c r="O154" s="10"/>
      <c r="P154" s="38">
        <f t="shared" si="16"/>
        <v>0</v>
      </c>
      <c r="Q154" s="11"/>
      <c r="R154" s="11"/>
      <c r="S154" s="12">
        <f t="shared" si="17"/>
        <v>0</v>
      </c>
      <c r="T154" s="28">
        <f t="shared" si="18"/>
        <v>0</v>
      </c>
      <c r="U154" s="9"/>
      <c r="V154" s="9"/>
      <c r="W154" s="9"/>
      <c r="X154" s="9"/>
      <c r="Y154" s="9"/>
      <c r="Z154" s="10">
        <f t="shared" si="19"/>
        <v>0</v>
      </c>
      <c r="AA154" s="30">
        <f t="shared" si="20"/>
        <v>0</v>
      </c>
      <c r="AB154" s="32">
        <f t="shared" si="14"/>
        <v>0</v>
      </c>
    </row>
    <row r="155" spans="1:28" ht="27.6" hidden="1" x14ac:dyDescent="0.3">
      <c r="A155" s="24" t="s">
        <v>204</v>
      </c>
      <c r="B155" s="24"/>
      <c r="C155" s="24" t="s">
        <v>183</v>
      </c>
      <c r="D155" s="23"/>
      <c r="E155" s="20"/>
      <c r="F155" s="21"/>
      <c r="G155" s="23"/>
      <c r="H155" s="23"/>
      <c r="I155" s="3" t="s">
        <v>205</v>
      </c>
      <c r="J155" s="9"/>
      <c r="K155" s="9"/>
      <c r="L155" s="10">
        <f t="shared" si="15"/>
        <v>0</v>
      </c>
      <c r="M155" s="10"/>
      <c r="N155" s="10"/>
      <c r="O155" s="10"/>
      <c r="P155" s="38">
        <f t="shared" si="16"/>
        <v>0</v>
      </c>
      <c r="Q155" s="11"/>
      <c r="R155" s="11"/>
      <c r="S155" s="12">
        <f t="shared" si="17"/>
        <v>0</v>
      </c>
      <c r="T155" s="28">
        <f t="shared" si="18"/>
        <v>0</v>
      </c>
      <c r="U155" s="9"/>
      <c r="V155" s="9"/>
      <c r="W155" s="9"/>
      <c r="X155" s="9"/>
      <c r="Y155" s="9"/>
      <c r="Z155" s="10">
        <f t="shared" si="19"/>
        <v>0</v>
      </c>
      <c r="AA155" s="30">
        <f t="shared" si="20"/>
        <v>0</v>
      </c>
      <c r="AB155" s="32">
        <f t="shared" si="14"/>
        <v>0</v>
      </c>
    </row>
    <row r="156" spans="1:28" ht="41.4" hidden="1" x14ac:dyDescent="0.3">
      <c r="A156" s="24" t="s">
        <v>204</v>
      </c>
      <c r="B156" s="24" t="s">
        <v>35</v>
      </c>
      <c r="C156" s="24" t="s">
        <v>37</v>
      </c>
      <c r="D156" s="23"/>
      <c r="E156" s="20"/>
      <c r="F156" s="21"/>
      <c r="G156" s="23"/>
      <c r="H156" s="23"/>
      <c r="I156" s="3" t="s">
        <v>206</v>
      </c>
      <c r="J156" s="9"/>
      <c r="K156" s="9"/>
      <c r="L156" s="10">
        <f t="shared" si="15"/>
        <v>0</v>
      </c>
      <c r="M156" s="10"/>
      <c r="N156" s="10"/>
      <c r="O156" s="10"/>
      <c r="P156" s="38">
        <f t="shared" si="16"/>
        <v>0</v>
      </c>
      <c r="Q156" s="11"/>
      <c r="R156" s="11"/>
      <c r="S156" s="12">
        <f t="shared" si="17"/>
        <v>0</v>
      </c>
      <c r="T156" s="28">
        <f t="shared" si="18"/>
        <v>0</v>
      </c>
      <c r="U156" s="9"/>
      <c r="V156" s="9"/>
      <c r="W156" s="9"/>
      <c r="X156" s="9"/>
      <c r="Y156" s="9"/>
      <c r="Z156" s="10">
        <f t="shared" si="19"/>
        <v>0</v>
      </c>
      <c r="AA156" s="30">
        <f t="shared" si="20"/>
        <v>0</v>
      </c>
      <c r="AB156" s="32">
        <f t="shared" si="14"/>
        <v>0</v>
      </c>
    </row>
    <row r="157" spans="1:28" ht="41.4" hidden="1" x14ac:dyDescent="0.3">
      <c r="A157" s="24" t="s">
        <v>204</v>
      </c>
      <c r="B157" s="24" t="s">
        <v>35</v>
      </c>
      <c r="C157" s="24" t="s">
        <v>42</v>
      </c>
      <c r="D157" s="23"/>
      <c r="E157" s="20"/>
      <c r="F157" s="21"/>
      <c r="G157" s="23"/>
      <c r="H157" s="23"/>
      <c r="I157" s="3" t="s">
        <v>206</v>
      </c>
      <c r="J157" s="9"/>
      <c r="K157" s="9"/>
      <c r="L157" s="10">
        <f t="shared" si="15"/>
        <v>0</v>
      </c>
      <c r="M157" s="10"/>
      <c r="N157" s="10"/>
      <c r="O157" s="10"/>
      <c r="P157" s="38">
        <f t="shared" si="16"/>
        <v>0</v>
      </c>
      <c r="Q157" s="11"/>
      <c r="R157" s="11"/>
      <c r="S157" s="12">
        <f t="shared" si="17"/>
        <v>0</v>
      </c>
      <c r="T157" s="28">
        <f t="shared" si="18"/>
        <v>0</v>
      </c>
      <c r="U157" s="9"/>
      <c r="V157" s="9"/>
      <c r="W157" s="9"/>
      <c r="X157" s="9"/>
      <c r="Y157" s="9"/>
      <c r="Z157" s="10">
        <f t="shared" si="19"/>
        <v>0</v>
      </c>
      <c r="AA157" s="30">
        <f t="shared" si="20"/>
        <v>0</v>
      </c>
      <c r="AB157" s="32">
        <f t="shared" si="14"/>
        <v>0</v>
      </c>
    </row>
    <row r="158" spans="1:28" ht="41.4" hidden="1" x14ac:dyDescent="0.3">
      <c r="A158" s="24" t="s">
        <v>204</v>
      </c>
      <c r="B158" s="24" t="s">
        <v>35</v>
      </c>
      <c r="C158" s="24" t="s">
        <v>44</v>
      </c>
      <c r="D158" s="23"/>
      <c r="E158" s="20"/>
      <c r="F158" s="21"/>
      <c r="G158" s="23"/>
      <c r="H158" s="23"/>
      <c r="I158" s="3" t="s">
        <v>206</v>
      </c>
      <c r="J158" s="9"/>
      <c r="K158" s="9"/>
      <c r="L158" s="10">
        <f t="shared" si="15"/>
        <v>0</v>
      </c>
      <c r="M158" s="10"/>
      <c r="N158" s="10"/>
      <c r="O158" s="10"/>
      <c r="P158" s="38">
        <f t="shared" si="16"/>
        <v>0</v>
      </c>
      <c r="Q158" s="11"/>
      <c r="R158" s="11"/>
      <c r="S158" s="12">
        <f t="shared" si="17"/>
        <v>0</v>
      </c>
      <c r="T158" s="28">
        <f t="shared" si="18"/>
        <v>0</v>
      </c>
      <c r="U158" s="9"/>
      <c r="V158" s="9"/>
      <c r="W158" s="9"/>
      <c r="X158" s="9"/>
      <c r="Y158" s="9"/>
      <c r="Z158" s="10">
        <f t="shared" si="19"/>
        <v>0</v>
      </c>
      <c r="AA158" s="30">
        <f t="shared" si="20"/>
        <v>0</v>
      </c>
      <c r="AB158" s="32">
        <f t="shared" si="14"/>
        <v>0</v>
      </c>
    </row>
    <row r="159" spans="1:28" ht="41.4" hidden="1" x14ac:dyDescent="0.3">
      <c r="A159" s="24" t="s">
        <v>204</v>
      </c>
      <c r="B159" s="24" t="s">
        <v>64</v>
      </c>
      <c r="C159" s="24" t="s">
        <v>65</v>
      </c>
      <c r="D159" s="23"/>
      <c r="E159" s="20"/>
      <c r="F159" s="21"/>
      <c r="G159" s="23"/>
      <c r="H159" s="23"/>
      <c r="I159" s="3" t="s">
        <v>206</v>
      </c>
      <c r="J159" s="9"/>
      <c r="K159" s="9"/>
      <c r="L159" s="10">
        <f t="shared" si="15"/>
        <v>0</v>
      </c>
      <c r="M159" s="10"/>
      <c r="N159" s="10"/>
      <c r="O159" s="10"/>
      <c r="P159" s="38">
        <f t="shared" si="16"/>
        <v>0</v>
      </c>
      <c r="Q159" s="11"/>
      <c r="R159" s="11"/>
      <c r="S159" s="12">
        <f t="shared" si="17"/>
        <v>0</v>
      </c>
      <c r="T159" s="28">
        <f t="shared" si="18"/>
        <v>0</v>
      </c>
      <c r="U159" s="9"/>
      <c r="V159" s="9"/>
      <c r="W159" s="9"/>
      <c r="X159" s="9"/>
      <c r="Y159" s="9"/>
      <c r="Z159" s="10">
        <f t="shared" si="19"/>
        <v>0</v>
      </c>
      <c r="AA159" s="30">
        <f t="shared" si="20"/>
        <v>0</v>
      </c>
      <c r="AB159" s="32">
        <f t="shared" si="14"/>
        <v>0</v>
      </c>
    </row>
    <row r="160" spans="1:28" ht="41.4" hidden="1" x14ac:dyDescent="0.3">
      <c r="A160" s="24" t="s">
        <v>204</v>
      </c>
      <c r="B160" s="24" t="s">
        <v>105</v>
      </c>
      <c r="C160" s="24" t="s">
        <v>106</v>
      </c>
      <c r="D160" s="23"/>
      <c r="E160" s="20"/>
      <c r="F160" s="21"/>
      <c r="G160" s="23"/>
      <c r="H160" s="23"/>
      <c r="I160" s="3" t="s">
        <v>206</v>
      </c>
      <c r="J160" s="9"/>
      <c r="K160" s="9"/>
      <c r="L160" s="10">
        <f t="shared" si="15"/>
        <v>0</v>
      </c>
      <c r="M160" s="10"/>
      <c r="N160" s="10"/>
      <c r="O160" s="10"/>
      <c r="P160" s="38">
        <f t="shared" si="16"/>
        <v>0</v>
      </c>
      <c r="Q160" s="11"/>
      <c r="R160" s="11"/>
      <c r="S160" s="12">
        <f t="shared" si="17"/>
        <v>0</v>
      </c>
      <c r="T160" s="28">
        <f t="shared" si="18"/>
        <v>0</v>
      </c>
      <c r="U160" s="9"/>
      <c r="V160" s="9"/>
      <c r="W160" s="9"/>
      <c r="X160" s="9"/>
      <c r="Y160" s="9"/>
      <c r="Z160" s="10">
        <f t="shared" si="19"/>
        <v>0</v>
      </c>
      <c r="AA160" s="30">
        <f t="shared" si="20"/>
        <v>0</v>
      </c>
      <c r="AB160" s="32">
        <f t="shared" si="14"/>
        <v>0</v>
      </c>
    </row>
    <row r="161" spans="1:28" ht="41.4" hidden="1" x14ac:dyDescent="0.3">
      <c r="A161" s="24" t="s">
        <v>204</v>
      </c>
      <c r="B161" s="24" t="s">
        <v>36</v>
      </c>
      <c r="C161" s="24" t="s">
        <v>101</v>
      </c>
      <c r="D161" s="23"/>
      <c r="E161" s="20"/>
      <c r="F161" s="21"/>
      <c r="G161" s="23"/>
      <c r="H161" s="23"/>
      <c r="I161" s="3" t="s">
        <v>206</v>
      </c>
      <c r="J161" s="9"/>
      <c r="K161" s="9"/>
      <c r="L161" s="10">
        <f t="shared" si="15"/>
        <v>0</v>
      </c>
      <c r="M161" s="10"/>
      <c r="N161" s="10"/>
      <c r="O161" s="10"/>
      <c r="P161" s="38">
        <f t="shared" si="16"/>
        <v>0</v>
      </c>
      <c r="Q161" s="11"/>
      <c r="R161" s="11"/>
      <c r="S161" s="12">
        <f t="shared" si="17"/>
        <v>0</v>
      </c>
      <c r="T161" s="28">
        <f t="shared" si="18"/>
        <v>0</v>
      </c>
      <c r="U161" s="9"/>
      <c r="V161" s="9"/>
      <c r="W161" s="9"/>
      <c r="X161" s="9"/>
      <c r="Y161" s="9"/>
      <c r="Z161" s="10">
        <f t="shared" si="19"/>
        <v>0</v>
      </c>
      <c r="AA161" s="30">
        <f t="shared" si="20"/>
        <v>0</v>
      </c>
      <c r="AB161" s="32">
        <f t="shared" si="14"/>
        <v>0</v>
      </c>
    </row>
    <row r="162" spans="1:28" ht="41.4" hidden="1" x14ac:dyDescent="0.3">
      <c r="A162" s="24" t="s">
        <v>204</v>
      </c>
      <c r="B162" s="24" t="s">
        <v>182</v>
      </c>
      <c r="C162" s="24" t="s">
        <v>183</v>
      </c>
      <c r="D162" s="23"/>
      <c r="E162" s="20"/>
      <c r="F162" s="21"/>
      <c r="G162" s="23"/>
      <c r="H162" s="23"/>
      <c r="I162" s="3" t="s">
        <v>206</v>
      </c>
      <c r="J162" s="9"/>
      <c r="K162" s="9"/>
      <c r="L162" s="10">
        <f t="shared" si="15"/>
        <v>0</v>
      </c>
      <c r="M162" s="10"/>
      <c r="N162" s="10"/>
      <c r="O162" s="10"/>
      <c r="P162" s="38">
        <f t="shared" si="16"/>
        <v>0</v>
      </c>
      <c r="Q162" s="11"/>
      <c r="R162" s="11"/>
      <c r="S162" s="12">
        <f t="shared" si="17"/>
        <v>0</v>
      </c>
      <c r="T162" s="28">
        <f t="shared" si="18"/>
        <v>0</v>
      </c>
      <c r="U162" s="9"/>
      <c r="V162" s="9"/>
      <c r="W162" s="9"/>
      <c r="X162" s="9"/>
      <c r="Y162" s="9"/>
      <c r="Z162" s="10">
        <f t="shared" si="19"/>
        <v>0</v>
      </c>
      <c r="AA162" s="30">
        <f t="shared" si="20"/>
        <v>0</v>
      </c>
      <c r="AB162" s="32">
        <f t="shared" si="14"/>
        <v>0</v>
      </c>
    </row>
    <row r="163" spans="1:28" ht="41.4" hidden="1" x14ac:dyDescent="0.3">
      <c r="A163" s="24" t="s">
        <v>182</v>
      </c>
      <c r="B163" s="24"/>
      <c r="C163" s="24" t="s">
        <v>183</v>
      </c>
      <c r="D163" s="23"/>
      <c r="E163" s="20"/>
      <c r="F163" s="21"/>
      <c r="G163" s="23"/>
      <c r="H163" s="23"/>
      <c r="I163" s="3" t="s">
        <v>207</v>
      </c>
      <c r="J163" s="9"/>
      <c r="K163" s="9"/>
      <c r="L163" s="10">
        <f t="shared" si="15"/>
        <v>0</v>
      </c>
      <c r="M163" s="10"/>
      <c r="N163" s="10"/>
      <c r="O163" s="10"/>
      <c r="P163" s="38">
        <f t="shared" si="16"/>
        <v>0</v>
      </c>
      <c r="Q163" s="11"/>
      <c r="R163" s="11"/>
      <c r="S163" s="12">
        <f t="shared" si="17"/>
        <v>0</v>
      </c>
      <c r="T163" s="28">
        <f t="shared" si="18"/>
        <v>0</v>
      </c>
      <c r="U163" s="9"/>
      <c r="V163" s="9"/>
      <c r="W163" s="9"/>
      <c r="X163" s="9"/>
      <c r="Y163" s="9"/>
      <c r="Z163" s="10">
        <f t="shared" si="19"/>
        <v>0</v>
      </c>
      <c r="AA163" s="30">
        <f t="shared" si="20"/>
        <v>0</v>
      </c>
      <c r="AB163" s="32">
        <f t="shared" si="14"/>
        <v>0</v>
      </c>
    </row>
    <row r="164" spans="1:28" ht="27.6" hidden="1" x14ac:dyDescent="0.3">
      <c r="A164" s="24" t="s">
        <v>182</v>
      </c>
      <c r="B164" s="24"/>
      <c r="C164" s="24" t="s">
        <v>37</v>
      </c>
      <c r="D164" s="23"/>
      <c r="E164" s="20"/>
      <c r="F164" s="21"/>
      <c r="G164" s="23"/>
      <c r="H164" s="23"/>
      <c r="I164" s="3" t="s">
        <v>208</v>
      </c>
      <c r="J164" s="9"/>
      <c r="K164" s="9"/>
      <c r="L164" s="10">
        <f t="shared" si="15"/>
        <v>0</v>
      </c>
      <c r="M164" s="10"/>
      <c r="N164" s="10"/>
      <c r="O164" s="10"/>
      <c r="P164" s="38">
        <f t="shared" si="16"/>
        <v>0</v>
      </c>
      <c r="Q164" s="11"/>
      <c r="R164" s="11"/>
      <c r="S164" s="12">
        <f t="shared" si="17"/>
        <v>0</v>
      </c>
      <c r="T164" s="28">
        <f t="shared" si="18"/>
        <v>0</v>
      </c>
      <c r="U164" s="9"/>
      <c r="V164" s="9"/>
      <c r="W164" s="9"/>
      <c r="X164" s="9"/>
      <c r="Y164" s="9"/>
      <c r="Z164" s="10">
        <f t="shared" si="19"/>
        <v>0</v>
      </c>
      <c r="AA164" s="30">
        <f t="shared" si="20"/>
        <v>0</v>
      </c>
      <c r="AB164" s="32">
        <f t="shared" si="14"/>
        <v>0</v>
      </c>
    </row>
    <row r="165" spans="1:28" ht="27.6" hidden="1" x14ac:dyDescent="0.3">
      <c r="A165" s="24" t="s">
        <v>182</v>
      </c>
      <c r="B165" s="24"/>
      <c r="C165" s="24" t="s">
        <v>42</v>
      </c>
      <c r="D165" s="23"/>
      <c r="E165" s="20"/>
      <c r="F165" s="21"/>
      <c r="G165" s="23"/>
      <c r="H165" s="23"/>
      <c r="I165" s="3" t="s">
        <v>208</v>
      </c>
      <c r="J165" s="9"/>
      <c r="K165" s="9"/>
      <c r="L165" s="10">
        <f t="shared" si="15"/>
        <v>0</v>
      </c>
      <c r="M165" s="10"/>
      <c r="N165" s="10"/>
      <c r="O165" s="10"/>
      <c r="P165" s="38">
        <f t="shared" si="16"/>
        <v>0</v>
      </c>
      <c r="Q165" s="11"/>
      <c r="R165" s="11"/>
      <c r="S165" s="12">
        <f t="shared" si="17"/>
        <v>0</v>
      </c>
      <c r="T165" s="28">
        <f t="shared" si="18"/>
        <v>0</v>
      </c>
      <c r="U165" s="9"/>
      <c r="V165" s="9"/>
      <c r="W165" s="9"/>
      <c r="X165" s="9"/>
      <c r="Y165" s="9"/>
      <c r="Z165" s="10">
        <f t="shared" si="19"/>
        <v>0</v>
      </c>
      <c r="AA165" s="30">
        <f t="shared" si="20"/>
        <v>0</v>
      </c>
      <c r="AB165" s="32">
        <f t="shared" si="14"/>
        <v>0</v>
      </c>
    </row>
    <row r="166" spans="1:28" ht="27.6" hidden="1" x14ac:dyDescent="0.3">
      <c r="A166" s="24" t="s">
        <v>182</v>
      </c>
      <c r="B166" s="24"/>
      <c r="C166" s="24" t="s">
        <v>44</v>
      </c>
      <c r="D166" s="23"/>
      <c r="E166" s="20"/>
      <c r="F166" s="21"/>
      <c r="G166" s="23"/>
      <c r="H166" s="23"/>
      <c r="I166" s="3" t="s">
        <v>208</v>
      </c>
      <c r="J166" s="9"/>
      <c r="K166" s="9"/>
      <c r="L166" s="10">
        <f t="shared" si="15"/>
        <v>0</v>
      </c>
      <c r="M166" s="10"/>
      <c r="N166" s="10"/>
      <c r="O166" s="10"/>
      <c r="P166" s="38">
        <f t="shared" si="16"/>
        <v>0</v>
      </c>
      <c r="Q166" s="11"/>
      <c r="R166" s="11"/>
      <c r="S166" s="12">
        <f t="shared" si="17"/>
        <v>0</v>
      </c>
      <c r="T166" s="28">
        <f t="shared" si="18"/>
        <v>0</v>
      </c>
      <c r="U166" s="9"/>
      <c r="V166" s="9"/>
      <c r="W166" s="9"/>
      <c r="X166" s="9"/>
      <c r="Y166" s="9"/>
      <c r="Z166" s="10">
        <f t="shared" si="19"/>
        <v>0</v>
      </c>
      <c r="AA166" s="30">
        <f t="shared" si="20"/>
        <v>0</v>
      </c>
      <c r="AB166" s="32">
        <f t="shared" si="14"/>
        <v>0</v>
      </c>
    </row>
    <row r="167" spans="1:28" ht="27.6" hidden="1" x14ac:dyDescent="0.3">
      <c r="A167" s="24" t="s">
        <v>182</v>
      </c>
      <c r="B167" s="24"/>
      <c r="C167" s="24" t="s">
        <v>65</v>
      </c>
      <c r="D167" s="23"/>
      <c r="E167" s="20"/>
      <c r="F167" s="21"/>
      <c r="G167" s="23"/>
      <c r="H167" s="23"/>
      <c r="I167" s="3" t="s">
        <v>208</v>
      </c>
      <c r="J167" s="9"/>
      <c r="K167" s="9"/>
      <c r="L167" s="10">
        <f t="shared" si="15"/>
        <v>0</v>
      </c>
      <c r="M167" s="10"/>
      <c r="N167" s="10"/>
      <c r="O167" s="10"/>
      <c r="P167" s="38">
        <f t="shared" si="16"/>
        <v>0</v>
      </c>
      <c r="Q167" s="11"/>
      <c r="R167" s="11"/>
      <c r="S167" s="12">
        <f t="shared" si="17"/>
        <v>0</v>
      </c>
      <c r="T167" s="28">
        <f t="shared" si="18"/>
        <v>0</v>
      </c>
      <c r="U167" s="9"/>
      <c r="V167" s="9"/>
      <c r="W167" s="9"/>
      <c r="X167" s="9"/>
      <c r="Y167" s="9"/>
      <c r="Z167" s="10">
        <f t="shared" si="19"/>
        <v>0</v>
      </c>
      <c r="AA167" s="30">
        <f t="shared" si="20"/>
        <v>0</v>
      </c>
      <c r="AB167" s="32">
        <f t="shared" si="14"/>
        <v>0</v>
      </c>
    </row>
    <row r="168" spans="1:28" ht="27.6" hidden="1" x14ac:dyDescent="0.3">
      <c r="A168" s="24" t="s">
        <v>182</v>
      </c>
      <c r="B168" s="24"/>
      <c r="C168" s="24" t="s">
        <v>104</v>
      </c>
      <c r="D168" s="23"/>
      <c r="E168" s="20"/>
      <c r="F168" s="21"/>
      <c r="G168" s="23"/>
      <c r="H168" s="23"/>
      <c r="I168" s="3" t="s">
        <v>208</v>
      </c>
      <c r="J168" s="9"/>
      <c r="K168" s="9"/>
      <c r="L168" s="10">
        <f t="shared" si="15"/>
        <v>0</v>
      </c>
      <c r="M168" s="10"/>
      <c r="N168" s="10"/>
      <c r="O168" s="10"/>
      <c r="P168" s="38">
        <f t="shared" si="16"/>
        <v>0</v>
      </c>
      <c r="Q168" s="11"/>
      <c r="R168" s="11"/>
      <c r="S168" s="12">
        <f t="shared" si="17"/>
        <v>0</v>
      </c>
      <c r="T168" s="28">
        <f t="shared" si="18"/>
        <v>0</v>
      </c>
      <c r="U168" s="9"/>
      <c r="V168" s="9"/>
      <c r="W168" s="9"/>
      <c r="X168" s="9"/>
      <c r="Y168" s="9"/>
      <c r="Z168" s="10">
        <f t="shared" si="19"/>
        <v>0</v>
      </c>
      <c r="AA168" s="30">
        <f t="shared" si="20"/>
        <v>0</v>
      </c>
      <c r="AB168" s="32">
        <f t="shared" si="14"/>
        <v>0</v>
      </c>
    </row>
    <row r="169" spans="1:28" ht="27.6" hidden="1" x14ac:dyDescent="0.3">
      <c r="A169" s="24" t="s">
        <v>182</v>
      </c>
      <c r="B169" s="24"/>
      <c r="C169" s="24" t="s">
        <v>101</v>
      </c>
      <c r="D169" s="23"/>
      <c r="E169" s="20"/>
      <c r="F169" s="21"/>
      <c r="G169" s="23"/>
      <c r="H169" s="23"/>
      <c r="I169" s="3" t="s">
        <v>208</v>
      </c>
      <c r="J169" s="9"/>
      <c r="K169" s="9"/>
      <c r="L169" s="10">
        <f t="shared" si="15"/>
        <v>0</v>
      </c>
      <c r="M169" s="10"/>
      <c r="N169" s="10"/>
      <c r="O169" s="10"/>
      <c r="P169" s="38">
        <f t="shared" si="16"/>
        <v>0</v>
      </c>
      <c r="Q169" s="11"/>
      <c r="R169" s="11"/>
      <c r="S169" s="12">
        <f t="shared" si="17"/>
        <v>0</v>
      </c>
      <c r="T169" s="28">
        <f t="shared" si="18"/>
        <v>0</v>
      </c>
      <c r="U169" s="9"/>
      <c r="V169" s="9"/>
      <c r="W169" s="9"/>
      <c r="X169" s="9"/>
      <c r="Y169" s="9"/>
      <c r="Z169" s="10">
        <f t="shared" si="19"/>
        <v>0</v>
      </c>
      <c r="AA169" s="30">
        <f t="shared" si="20"/>
        <v>0</v>
      </c>
      <c r="AB169" s="32">
        <f t="shared" si="14"/>
        <v>0</v>
      </c>
    </row>
    <row r="170" spans="1:28" ht="27.6" hidden="1" x14ac:dyDescent="0.3">
      <c r="A170" s="24" t="s">
        <v>182</v>
      </c>
      <c r="B170" s="24"/>
      <c r="C170" s="24" t="s">
        <v>106</v>
      </c>
      <c r="D170" s="23"/>
      <c r="E170" s="20"/>
      <c r="F170" s="21"/>
      <c r="G170" s="23"/>
      <c r="H170" s="23"/>
      <c r="I170" s="3" t="s">
        <v>208</v>
      </c>
      <c r="J170" s="9"/>
      <c r="K170" s="9"/>
      <c r="L170" s="10">
        <f t="shared" si="15"/>
        <v>0</v>
      </c>
      <c r="M170" s="10"/>
      <c r="N170" s="10"/>
      <c r="O170" s="10"/>
      <c r="P170" s="38">
        <f t="shared" si="16"/>
        <v>0</v>
      </c>
      <c r="Q170" s="11"/>
      <c r="R170" s="11"/>
      <c r="S170" s="12">
        <f t="shared" si="17"/>
        <v>0</v>
      </c>
      <c r="T170" s="28">
        <f t="shared" si="18"/>
        <v>0</v>
      </c>
      <c r="U170" s="9"/>
      <c r="V170" s="9"/>
      <c r="W170" s="9"/>
      <c r="X170" s="9"/>
      <c r="Y170" s="9"/>
      <c r="Z170" s="10">
        <f t="shared" si="19"/>
        <v>0</v>
      </c>
      <c r="AA170" s="30">
        <f t="shared" si="20"/>
        <v>0</v>
      </c>
      <c r="AB170" s="32">
        <f t="shared" si="14"/>
        <v>0</v>
      </c>
    </row>
    <row r="171" spans="1:28" ht="27.6" hidden="1" x14ac:dyDescent="0.3">
      <c r="A171" s="24" t="s">
        <v>35</v>
      </c>
      <c r="B171" s="24"/>
      <c r="C171" s="24" t="s">
        <v>37</v>
      </c>
      <c r="D171" s="23"/>
      <c r="E171" s="20"/>
      <c r="F171" s="21"/>
      <c r="G171" s="23"/>
      <c r="H171" s="23"/>
      <c r="I171" s="3" t="s">
        <v>209</v>
      </c>
      <c r="J171" s="9"/>
      <c r="K171" s="9"/>
      <c r="L171" s="10">
        <f t="shared" si="15"/>
        <v>0</v>
      </c>
      <c r="M171" s="10"/>
      <c r="N171" s="10"/>
      <c r="O171" s="10"/>
      <c r="P171" s="38">
        <f t="shared" si="16"/>
        <v>0</v>
      </c>
      <c r="Q171" s="11"/>
      <c r="R171" s="11"/>
      <c r="S171" s="12">
        <f t="shared" si="17"/>
        <v>0</v>
      </c>
      <c r="T171" s="28">
        <f t="shared" si="18"/>
        <v>0</v>
      </c>
      <c r="U171" s="9"/>
      <c r="V171" s="9"/>
      <c r="W171" s="9"/>
      <c r="X171" s="9"/>
      <c r="Y171" s="9"/>
      <c r="Z171" s="10">
        <f t="shared" si="19"/>
        <v>0</v>
      </c>
      <c r="AA171" s="30">
        <f t="shared" si="20"/>
        <v>0</v>
      </c>
      <c r="AB171" s="32">
        <f t="shared" si="14"/>
        <v>0</v>
      </c>
    </row>
    <row r="172" spans="1:28" ht="27.6" hidden="1" x14ac:dyDescent="0.3">
      <c r="A172" s="24" t="s">
        <v>35</v>
      </c>
      <c r="B172" s="24"/>
      <c r="C172" s="24" t="s">
        <v>42</v>
      </c>
      <c r="D172" s="23"/>
      <c r="E172" s="20"/>
      <c r="F172" s="21"/>
      <c r="G172" s="23"/>
      <c r="H172" s="23"/>
      <c r="I172" s="3" t="s">
        <v>210</v>
      </c>
      <c r="J172" s="9"/>
      <c r="K172" s="9"/>
      <c r="L172" s="10">
        <f t="shared" si="15"/>
        <v>0</v>
      </c>
      <c r="M172" s="10"/>
      <c r="N172" s="10"/>
      <c r="O172" s="10"/>
      <c r="P172" s="38">
        <f t="shared" si="16"/>
        <v>0</v>
      </c>
      <c r="Q172" s="11"/>
      <c r="R172" s="11"/>
      <c r="S172" s="12">
        <f t="shared" si="17"/>
        <v>0</v>
      </c>
      <c r="T172" s="28">
        <f t="shared" si="18"/>
        <v>0</v>
      </c>
      <c r="U172" s="9"/>
      <c r="V172" s="9"/>
      <c r="W172" s="9"/>
      <c r="X172" s="9"/>
      <c r="Y172" s="9"/>
      <c r="Z172" s="10">
        <f t="shared" si="19"/>
        <v>0</v>
      </c>
      <c r="AA172" s="30">
        <f t="shared" si="20"/>
        <v>0</v>
      </c>
      <c r="AB172" s="32">
        <f t="shared" si="14"/>
        <v>0</v>
      </c>
    </row>
    <row r="173" spans="1:28" ht="27.6" hidden="1" x14ac:dyDescent="0.3">
      <c r="A173" s="24" t="s">
        <v>35</v>
      </c>
      <c r="B173" s="24"/>
      <c r="C173" s="24" t="s">
        <v>44</v>
      </c>
      <c r="D173" s="23"/>
      <c r="E173" s="20"/>
      <c r="F173" s="21"/>
      <c r="G173" s="23"/>
      <c r="H173" s="23"/>
      <c r="I173" s="3" t="s">
        <v>211</v>
      </c>
      <c r="J173" s="9"/>
      <c r="K173" s="9"/>
      <c r="L173" s="10">
        <f t="shared" si="15"/>
        <v>0</v>
      </c>
      <c r="M173" s="10"/>
      <c r="N173" s="10"/>
      <c r="O173" s="10"/>
      <c r="P173" s="38">
        <f t="shared" si="16"/>
        <v>0</v>
      </c>
      <c r="Q173" s="11"/>
      <c r="R173" s="11"/>
      <c r="S173" s="12">
        <f t="shared" si="17"/>
        <v>0</v>
      </c>
      <c r="T173" s="28">
        <f t="shared" si="18"/>
        <v>0</v>
      </c>
      <c r="U173" s="9"/>
      <c r="V173" s="9"/>
      <c r="W173" s="9"/>
      <c r="X173" s="9"/>
      <c r="Y173" s="9"/>
      <c r="Z173" s="10">
        <f t="shared" si="19"/>
        <v>0</v>
      </c>
      <c r="AA173" s="30">
        <f t="shared" si="20"/>
        <v>0</v>
      </c>
      <c r="AB173" s="32">
        <f t="shared" si="14"/>
        <v>0</v>
      </c>
    </row>
    <row r="174" spans="1:28" ht="27.6" hidden="1" x14ac:dyDescent="0.3">
      <c r="A174" s="24" t="s">
        <v>35</v>
      </c>
      <c r="B174" s="24"/>
      <c r="C174" s="24" t="s">
        <v>65</v>
      </c>
      <c r="D174" s="23"/>
      <c r="E174" s="20"/>
      <c r="F174" s="21"/>
      <c r="G174" s="23"/>
      <c r="H174" s="23"/>
      <c r="I174" s="3" t="s">
        <v>212</v>
      </c>
      <c r="J174" s="9"/>
      <c r="K174" s="9"/>
      <c r="L174" s="10">
        <f t="shared" si="15"/>
        <v>0</v>
      </c>
      <c r="M174" s="10"/>
      <c r="N174" s="10"/>
      <c r="O174" s="10"/>
      <c r="P174" s="38">
        <f t="shared" si="16"/>
        <v>0</v>
      </c>
      <c r="Q174" s="11"/>
      <c r="R174" s="11"/>
      <c r="S174" s="12">
        <f t="shared" si="17"/>
        <v>0</v>
      </c>
      <c r="T174" s="28">
        <f t="shared" si="18"/>
        <v>0</v>
      </c>
      <c r="U174" s="9"/>
      <c r="V174" s="9"/>
      <c r="W174" s="9"/>
      <c r="X174" s="9"/>
      <c r="Y174" s="9"/>
      <c r="Z174" s="10">
        <f t="shared" si="19"/>
        <v>0</v>
      </c>
      <c r="AA174" s="30">
        <f t="shared" si="20"/>
        <v>0</v>
      </c>
      <c r="AB174" s="32">
        <f t="shared" si="14"/>
        <v>0</v>
      </c>
    </row>
    <row r="175" spans="1:28" ht="27.6" hidden="1" x14ac:dyDescent="0.3">
      <c r="A175" s="24" t="s">
        <v>36</v>
      </c>
      <c r="B175" s="24"/>
      <c r="C175" s="24" t="s">
        <v>101</v>
      </c>
      <c r="D175" s="23"/>
      <c r="E175" s="20"/>
      <c r="F175" s="21"/>
      <c r="G175" s="23"/>
      <c r="H175" s="23"/>
      <c r="I175" s="3" t="s">
        <v>213</v>
      </c>
      <c r="J175" s="9"/>
      <c r="K175" s="9"/>
      <c r="L175" s="10">
        <f t="shared" si="15"/>
        <v>0</v>
      </c>
      <c r="M175" s="10"/>
      <c r="N175" s="10"/>
      <c r="O175" s="10"/>
      <c r="P175" s="38">
        <f t="shared" si="16"/>
        <v>0</v>
      </c>
      <c r="Q175" s="11"/>
      <c r="R175" s="11"/>
      <c r="S175" s="12">
        <f t="shared" si="17"/>
        <v>0</v>
      </c>
      <c r="T175" s="28">
        <f t="shared" si="18"/>
        <v>0</v>
      </c>
      <c r="U175" s="9"/>
      <c r="V175" s="9"/>
      <c r="W175" s="9"/>
      <c r="X175" s="9"/>
      <c r="Y175" s="9"/>
      <c r="Z175" s="10">
        <f t="shared" si="19"/>
        <v>0</v>
      </c>
      <c r="AA175" s="30">
        <f t="shared" si="20"/>
        <v>0</v>
      </c>
      <c r="AB175" s="32">
        <f t="shared" si="14"/>
        <v>0</v>
      </c>
    </row>
    <row r="176" spans="1:28" ht="41.4" hidden="1" x14ac:dyDescent="0.3">
      <c r="A176" s="24" t="s">
        <v>36</v>
      </c>
      <c r="B176" s="24"/>
      <c r="C176" s="24" t="s">
        <v>101</v>
      </c>
      <c r="D176" s="23"/>
      <c r="E176" s="20"/>
      <c r="F176" s="21"/>
      <c r="G176" s="23"/>
      <c r="H176" s="23"/>
      <c r="I176" s="3" t="s">
        <v>214</v>
      </c>
      <c r="J176" s="9"/>
      <c r="K176" s="9"/>
      <c r="L176" s="10">
        <f t="shared" si="15"/>
        <v>0</v>
      </c>
      <c r="M176" s="10"/>
      <c r="N176" s="10"/>
      <c r="O176" s="10"/>
      <c r="P176" s="38">
        <f t="shared" si="16"/>
        <v>0</v>
      </c>
      <c r="Q176" s="11"/>
      <c r="R176" s="11"/>
      <c r="S176" s="12">
        <f t="shared" si="17"/>
        <v>0</v>
      </c>
      <c r="T176" s="28">
        <f t="shared" si="18"/>
        <v>0</v>
      </c>
      <c r="U176" s="9"/>
      <c r="V176" s="9"/>
      <c r="W176" s="9"/>
      <c r="X176" s="9"/>
      <c r="Y176" s="9"/>
      <c r="Z176" s="10">
        <f t="shared" si="19"/>
        <v>0</v>
      </c>
      <c r="AA176" s="30">
        <f t="shared" si="20"/>
        <v>0</v>
      </c>
      <c r="AB176" s="32">
        <f t="shared" si="14"/>
        <v>0</v>
      </c>
    </row>
    <row r="177" spans="1:28" ht="27.6" hidden="1" x14ac:dyDescent="0.3">
      <c r="A177" s="24" t="s">
        <v>36</v>
      </c>
      <c r="B177" s="24"/>
      <c r="C177" s="24" t="s">
        <v>195</v>
      </c>
      <c r="D177" s="23"/>
      <c r="E177" s="20"/>
      <c r="F177" s="21"/>
      <c r="G177" s="23"/>
      <c r="H177" s="23"/>
      <c r="I177" s="3" t="s">
        <v>215</v>
      </c>
      <c r="J177" s="9"/>
      <c r="K177" s="9"/>
      <c r="L177" s="10">
        <f t="shared" si="15"/>
        <v>0</v>
      </c>
      <c r="M177" s="10"/>
      <c r="N177" s="10"/>
      <c r="O177" s="10"/>
      <c r="P177" s="38">
        <f t="shared" si="16"/>
        <v>0</v>
      </c>
      <c r="Q177" s="11"/>
      <c r="R177" s="11"/>
      <c r="S177" s="12">
        <f t="shared" si="17"/>
        <v>0</v>
      </c>
      <c r="T177" s="28">
        <f t="shared" si="18"/>
        <v>0</v>
      </c>
      <c r="U177" s="9"/>
      <c r="V177" s="9"/>
      <c r="W177" s="9"/>
      <c r="X177" s="9"/>
      <c r="Y177" s="9"/>
      <c r="Z177" s="10">
        <f t="shared" si="19"/>
        <v>0</v>
      </c>
      <c r="AA177" s="30">
        <f t="shared" si="20"/>
        <v>0</v>
      </c>
      <c r="AB177" s="32">
        <f t="shared" si="14"/>
        <v>0</v>
      </c>
    </row>
    <row r="178" spans="1:28" ht="27.6" hidden="1" x14ac:dyDescent="0.3">
      <c r="A178" s="24" t="s">
        <v>182</v>
      </c>
      <c r="B178" s="24"/>
      <c r="C178" s="24" t="s">
        <v>183</v>
      </c>
      <c r="D178" s="23"/>
      <c r="E178" s="20"/>
      <c r="F178" s="21"/>
      <c r="G178" s="23"/>
      <c r="H178" s="23"/>
      <c r="I178" s="3" t="s">
        <v>216</v>
      </c>
      <c r="J178" s="9"/>
      <c r="K178" s="9"/>
      <c r="L178" s="10">
        <f t="shared" si="15"/>
        <v>0</v>
      </c>
      <c r="M178" s="10"/>
      <c r="N178" s="10"/>
      <c r="O178" s="10"/>
      <c r="P178" s="38">
        <f t="shared" si="16"/>
        <v>0</v>
      </c>
      <c r="Q178" s="11"/>
      <c r="R178" s="11"/>
      <c r="S178" s="12">
        <f t="shared" si="17"/>
        <v>0</v>
      </c>
      <c r="T178" s="28">
        <f t="shared" si="18"/>
        <v>0</v>
      </c>
      <c r="U178" s="9"/>
      <c r="V178" s="9"/>
      <c r="W178" s="9"/>
      <c r="X178" s="9"/>
      <c r="Y178" s="9"/>
      <c r="Z178" s="10">
        <f t="shared" si="19"/>
        <v>0</v>
      </c>
      <c r="AA178" s="30">
        <f t="shared" si="20"/>
        <v>0</v>
      </c>
      <c r="AB178" s="32">
        <f t="shared" si="14"/>
        <v>0</v>
      </c>
    </row>
    <row r="179" spans="1:28" ht="27.6" hidden="1" x14ac:dyDescent="0.3">
      <c r="A179" s="24" t="s">
        <v>182</v>
      </c>
      <c r="B179" s="24"/>
      <c r="C179" s="24" t="s">
        <v>195</v>
      </c>
      <c r="D179" s="23"/>
      <c r="E179" s="20"/>
      <c r="F179" s="21"/>
      <c r="G179" s="23"/>
      <c r="H179" s="23"/>
      <c r="I179" s="3" t="s">
        <v>217</v>
      </c>
      <c r="J179" s="9"/>
      <c r="K179" s="9"/>
      <c r="L179" s="10">
        <f t="shared" si="15"/>
        <v>0</v>
      </c>
      <c r="M179" s="10"/>
      <c r="N179" s="10"/>
      <c r="O179" s="10"/>
      <c r="P179" s="38">
        <f t="shared" si="16"/>
        <v>0</v>
      </c>
      <c r="Q179" s="11"/>
      <c r="R179" s="11"/>
      <c r="S179" s="12">
        <f t="shared" si="17"/>
        <v>0</v>
      </c>
      <c r="T179" s="28">
        <f t="shared" si="18"/>
        <v>0</v>
      </c>
      <c r="U179" s="9"/>
      <c r="V179" s="9"/>
      <c r="W179" s="9"/>
      <c r="X179" s="9"/>
      <c r="Y179" s="9"/>
      <c r="Z179" s="10">
        <f t="shared" si="19"/>
        <v>0</v>
      </c>
      <c r="AA179" s="30">
        <f t="shared" si="20"/>
        <v>0</v>
      </c>
      <c r="AB179" s="32">
        <f t="shared" si="14"/>
        <v>0</v>
      </c>
    </row>
    <row r="180" spans="1:28" ht="21.6" hidden="1" x14ac:dyDescent="0.3">
      <c r="A180" s="24" t="s">
        <v>84</v>
      </c>
      <c r="B180" s="24"/>
      <c r="C180" s="24" t="s">
        <v>85</v>
      </c>
      <c r="D180" s="23"/>
      <c r="E180" s="20"/>
      <c r="F180" s="21"/>
      <c r="G180" s="23"/>
      <c r="H180" s="23"/>
      <c r="I180" s="3" t="s">
        <v>218</v>
      </c>
      <c r="J180" s="9"/>
      <c r="K180" s="9"/>
      <c r="L180" s="10">
        <f t="shared" si="15"/>
        <v>0</v>
      </c>
      <c r="M180" s="10"/>
      <c r="N180" s="10"/>
      <c r="O180" s="10"/>
      <c r="P180" s="38">
        <f t="shared" si="16"/>
        <v>0</v>
      </c>
      <c r="Q180" s="11"/>
      <c r="R180" s="11"/>
      <c r="S180" s="12">
        <f t="shared" si="17"/>
        <v>0</v>
      </c>
      <c r="T180" s="28">
        <f t="shared" si="18"/>
        <v>0</v>
      </c>
      <c r="U180" s="9"/>
      <c r="V180" s="9"/>
      <c r="W180" s="9"/>
      <c r="X180" s="9"/>
      <c r="Y180" s="9"/>
      <c r="Z180" s="10">
        <f t="shared" si="19"/>
        <v>0</v>
      </c>
      <c r="AA180" s="30">
        <f t="shared" si="20"/>
        <v>0</v>
      </c>
      <c r="AB180" s="32">
        <f t="shared" si="14"/>
        <v>0</v>
      </c>
    </row>
    <row r="181" spans="1:28" ht="21.6" hidden="1" x14ac:dyDescent="0.3">
      <c r="A181" s="24" t="s">
        <v>84</v>
      </c>
      <c r="B181" s="24"/>
      <c r="C181" s="24" t="s">
        <v>85</v>
      </c>
      <c r="D181" s="23"/>
      <c r="E181" s="20"/>
      <c r="F181" s="21"/>
      <c r="G181" s="23"/>
      <c r="H181" s="23"/>
      <c r="I181" s="3" t="s">
        <v>219</v>
      </c>
      <c r="J181" s="9"/>
      <c r="K181" s="9"/>
      <c r="L181" s="10">
        <f t="shared" si="15"/>
        <v>0</v>
      </c>
      <c r="M181" s="10"/>
      <c r="N181" s="10"/>
      <c r="O181" s="10"/>
      <c r="P181" s="38">
        <f t="shared" si="16"/>
        <v>0</v>
      </c>
      <c r="Q181" s="11"/>
      <c r="R181" s="11"/>
      <c r="S181" s="12">
        <f t="shared" si="17"/>
        <v>0</v>
      </c>
      <c r="T181" s="28">
        <f t="shared" si="18"/>
        <v>0</v>
      </c>
      <c r="U181" s="9"/>
      <c r="V181" s="9"/>
      <c r="W181" s="9"/>
      <c r="X181" s="9"/>
      <c r="Y181" s="9"/>
      <c r="Z181" s="10">
        <f t="shared" si="19"/>
        <v>0</v>
      </c>
      <c r="AA181" s="30">
        <f t="shared" si="20"/>
        <v>0</v>
      </c>
      <c r="AB181" s="32">
        <f t="shared" si="14"/>
        <v>0</v>
      </c>
    </row>
    <row r="182" spans="1:28" x14ac:dyDescent="0.3">
      <c r="A182" s="34"/>
      <c r="B182" s="34"/>
      <c r="C182" s="34"/>
      <c r="D182" s="35"/>
      <c r="E182" s="35"/>
      <c r="F182" s="35"/>
      <c r="G182" s="35"/>
      <c r="H182" s="35"/>
      <c r="I182" s="36"/>
      <c r="J182" s="119"/>
      <c r="K182" s="120"/>
      <c r="L182" s="121"/>
      <c r="M182" s="43"/>
      <c r="N182" s="43"/>
      <c r="O182" s="43"/>
      <c r="P182" s="33">
        <f>AVERAGEIF(P13:P181,"&gt;0")</f>
        <v>91.996491228070184</v>
      </c>
      <c r="Q182" s="122"/>
      <c r="R182" s="123"/>
      <c r="S182" s="124"/>
      <c r="T182" s="33">
        <f t="shared" ref="T182:AB182" si="21">AVERAGEIF(T13:T181,"&gt;0")</f>
        <v>69.285062140155404</v>
      </c>
      <c r="U182" s="33">
        <f t="shared" si="21"/>
        <v>8</v>
      </c>
      <c r="V182" s="33">
        <f t="shared" si="21"/>
        <v>5.666666666666667</v>
      </c>
      <c r="W182" s="33">
        <f t="shared" si="21"/>
        <v>6</v>
      </c>
      <c r="X182" s="33">
        <f t="shared" si="21"/>
        <v>7.333333333333333</v>
      </c>
      <c r="Y182" s="33">
        <f t="shared" si="21"/>
        <v>7.666666666666667</v>
      </c>
      <c r="Z182" s="33">
        <f t="shared" si="21"/>
        <v>34.666666666666664</v>
      </c>
      <c r="AA182" s="33">
        <f t="shared" si="21"/>
        <v>69.333333333333329</v>
      </c>
      <c r="AB182" s="33">
        <f t="shared" si="21"/>
        <v>67.627184456075184</v>
      </c>
    </row>
  </sheetData>
  <autoFilter ref="A9:AB182" xr:uid="{90563A32-5EBF-452E-9143-123B4501033A}">
    <filterColumn colId="0">
      <filters blank="1">
        <filter val="ADM"/>
        <filter val="COMU"/>
        <filter val="MEAL"/>
        <filter val="MMRR"/>
        <filter val="PROG"/>
        <filter val="PROT"/>
        <filter val="RRHH"/>
      </filters>
    </filterColumn>
    <filterColumn colId="2">
      <filters blank="1">
        <filter val="Tecn-Prog-EV-1"/>
        <filter val="Tecn-Prog-EV-3"/>
      </filters>
    </filterColumn>
  </autoFilter>
  <mergeCells count="18">
    <mergeCell ref="A1:AB1"/>
    <mergeCell ref="A2:AB2"/>
    <mergeCell ref="A4:D5"/>
    <mergeCell ref="I4:K5"/>
    <mergeCell ref="P4:Q4"/>
    <mergeCell ref="R4:AB4"/>
    <mergeCell ref="P5:Q5"/>
    <mergeCell ref="R5:AB5"/>
    <mergeCell ref="U7:AA7"/>
    <mergeCell ref="AB7:AB8"/>
    <mergeCell ref="J182:L182"/>
    <mergeCell ref="Q182:S182"/>
    <mergeCell ref="A7:C7"/>
    <mergeCell ref="D7:D8"/>
    <mergeCell ref="E7:G7"/>
    <mergeCell ref="I7:I8"/>
    <mergeCell ref="J7:P7"/>
    <mergeCell ref="Q7:T7"/>
  </mergeCells>
  <dataValidations count="1">
    <dataValidation type="list" allowBlank="1" showInputMessage="1" showErrorMessage="1" sqref="H182 F10:G182" xr:uid="{CB4F1999-FBC8-4CA2-844A-5335AC9369C7}">
      <formula1>INDIRECT(E10)</formula1>
    </dataValidation>
  </dataValidations>
  <pageMargins left="0.7" right="0.7" top="0.75" bottom="0.75" header="0.3" footer="0.3"/>
  <pageSetup scale="85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7E1DCD66-5C96-46D6-B5DD-579AE4C49663}">
          <x14:formula1>
            <xm:f>'Lista desplegable'!$C$32:$C$42</xm:f>
          </x14:formula1>
          <xm:sqref>A10:B181</xm:sqref>
        </x14:dataValidation>
        <x14:dataValidation type="list" allowBlank="1" showInputMessage="1" showErrorMessage="1" xr:uid="{EBEBD0C8-5E26-4913-948E-7E62732D1D00}">
          <x14:formula1>
            <xm:f>'Lista desplegable'!$A$2:$A$16</xm:f>
          </x14:formula1>
          <xm:sqref>E10:E182</xm:sqref>
        </x14:dataValidation>
        <x14:dataValidation type="list" allowBlank="1" showInputMessage="1" showErrorMessage="1" xr:uid="{01004CBA-C038-46A0-B5E3-CAFCF6D34266}">
          <x14:formula1>
            <xm:f>'Lista desplegable'!$C$12:$C$28</xm:f>
          </x14:formula1>
          <xm:sqref>C10:C181</xm:sqref>
        </x14:dataValidation>
        <x14:dataValidation type="list" allowBlank="1" showInputMessage="1" showErrorMessage="1" xr:uid="{E54DC18D-6C2C-4918-9116-E0C9AF2B4AD5}">
          <x14:formula1>
            <xm:f>'Lista desplegable'!$D$11:$D$21</xm:f>
          </x14:formula1>
          <xm:sqref>U10:Y181</xm:sqref>
        </x14:dataValidation>
        <x14:dataValidation type="list" allowBlank="1" showInputMessage="1" showErrorMessage="1" xr:uid="{C6369ED4-4709-4517-A281-2C1C34FC569C}">
          <x14:formula1>
            <xm:f>'Lista desplegable'!$D$12:$D$31</xm:f>
          </x14:formula1>
          <xm:sqref>H10:H181</xm:sqref>
        </x14:dataValidation>
        <x14:dataValidation type="list" allowBlank="1" showInputMessage="1" showErrorMessage="1" xr:uid="{73DBE22A-2FFC-4D33-B2D4-FF2C6DBA200F}">
          <x14:formula1>
            <xm:f>'Lista desplegable'!$B$13:$B$24</xm:f>
          </x14:formula1>
          <xm:sqref>D10:D181</xm:sqref>
        </x14:dataValidation>
        <x14:dataValidation type="list" allowBlank="1" showInputMessage="1" showErrorMessage="1" xr:uid="{76616739-5B3D-4563-91E6-A29D5BFE0764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70286728-DFA3-47A4-9B5A-3A1C249956AA}">
          <x14:formula1>
            <xm:f>'Lista desplegable'!$O$13:$O$37</xm:f>
          </x14:formula1>
          <xm:sqref>G4:G5 I4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48379-0ECD-41F8-9BB1-9FB1C451C668}">
  <dimension ref="A1:AC58"/>
  <sheetViews>
    <sheetView showGridLines="0" view="pageBreakPreview" topLeftCell="A3" zoomScale="124" zoomScaleNormal="100" zoomScaleSheetLayoutView="100" workbookViewId="0">
      <pane xSplit="9" ySplit="7" topLeftCell="J55" activePane="bottomRight" state="frozen"/>
      <selection pane="topRight" activeCell="J3" sqref="J3"/>
      <selection pane="bottomLeft" activeCell="A10" sqref="A10"/>
      <selection pane="bottomRight" activeCell="J10" sqref="J10:L57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4.55468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49"/>
    </row>
    <row r="2" spans="1:29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901</v>
      </c>
      <c r="J4" s="142"/>
      <c r="K4" s="142"/>
      <c r="L4" s="39"/>
      <c r="M4" s="39"/>
      <c r="N4" s="39"/>
      <c r="O4" s="39"/>
      <c r="P4" s="134" t="s">
        <v>5</v>
      </c>
      <c r="Q4" s="134"/>
      <c r="R4" s="135" t="s">
        <v>284</v>
      </c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46"/>
    </row>
    <row r="5" spans="1:29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39"/>
      <c r="N5" s="39"/>
      <c r="O5" s="39"/>
      <c r="P5" s="134" t="s">
        <v>7</v>
      </c>
      <c r="Q5" s="134"/>
      <c r="R5" s="135" t="s">
        <v>8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46"/>
    </row>
    <row r="7" spans="1:29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29"/>
      <c r="O7" s="129"/>
      <c r="P7" s="129"/>
      <c r="Q7" s="130" t="s">
        <v>14</v>
      </c>
      <c r="R7" s="130"/>
      <c r="S7" s="130"/>
      <c r="T7" s="130"/>
      <c r="U7" s="114" t="s">
        <v>15</v>
      </c>
      <c r="V7" s="115"/>
      <c r="W7" s="115"/>
      <c r="X7" s="115"/>
      <c r="Y7" s="115"/>
      <c r="Z7" s="115"/>
      <c r="AA7" s="116"/>
      <c r="AB7" s="117" t="s">
        <v>16</v>
      </c>
      <c r="AC7" s="143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18"/>
      <c r="AC8" s="143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84"/>
    </row>
    <row r="10" spans="1:29" ht="27.6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>
        <v>145</v>
      </c>
      <c r="K10" s="9">
        <v>134</v>
      </c>
      <c r="L10" s="10">
        <f t="shared" ref="L10:L58" si="0">+J10-K10</f>
        <v>11</v>
      </c>
      <c r="M10" s="10"/>
      <c r="N10" s="10"/>
      <c r="O10" s="10"/>
      <c r="P10" s="38">
        <f t="shared" ref="P10:P57" si="1">IFERROR(IF(7&lt;&gt;0, K10*100/J10, IF(J10=K10, K10*100/J10, 0)), 0)</f>
        <v>92.41379310344827</v>
      </c>
      <c r="Q10" s="45"/>
      <c r="R10" s="11"/>
      <c r="S10" s="12">
        <f t="shared" ref="S10:S57" si="2">+Q10-R10</f>
        <v>0</v>
      </c>
      <c r="T10" s="28">
        <f t="shared" ref="T10:T57" si="3">IFERROR(IF(S10&lt;&gt;0, Q10*100/R10, IF(Q10=R10, Q10*100/R10, 0)), 0)</f>
        <v>0</v>
      </c>
      <c r="U10" s="9">
        <v>9</v>
      </c>
      <c r="V10" s="9"/>
      <c r="W10" s="9"/>
      <c r="X10" s="9"/>
      <c r="Y10" s="9">
        <v>10</v>
      </c>
      <c r="Z10" s="10">
        <f>+U10+Y10</f>
        <v>19</v>
      </c>
      <c r="AA10" s="30">
        <f>+Z10*100/20</f>
        <v>95</v>
      </c>
      <c r="AB10" s="32">
        <f>+(P10+AA10)/3</f>
        <v>62.471264367816083</v>
      </c>
      <c r="AC10" s="54"/>
    </row>
    <row r="11" spans="1:29" ht="27.6" x14ac:dyDescent="0.3">
      <c r="A11" s="24" t="s">
        <v>35</v>
      </c>
      <c r="B11" s="24" t="s">
        <v>36</v>
      </c>
      <c r="C11" s="24" t="s">
        <v>694</v>
      </c>
      <c r="D11" s="23"/>
      <c r="E11" s="20"/>
      <c r="F11" s="21"/>
      <c r="G11" s="22"/>
      <c r="H11" s="22"/>
      <c r="I11" s="3" t="s">
        <v>49</v>
      </c>
      <c r="J11" s="9"/>
      <c r="K11" s="9"/>
      <c r="L11" s="10">
        <f t="shared" si="0"/>
        <v>0</v>
      </c>
      <c r="M11" s="10"/>
      <c r="N11" s="10"/>
      <c r="O11" s="10"/>
      <c r="P11" s="38">
        <f t="shared" si="1"/>
        <v>0</v>
      </c>
      <c r="Q11" s="11"/>
      <c r="R11" s="11"/>
      <c r="S11" s="12">
        <f t="shared" si="2"/>
        <v>0</v>
      </c>
      <c r="T11" s="28">
        <f t="shared" si="3"/>
        <v>0</v>
      </c>
      <c r="U11" s="9"/>
      <c r="V11" s="9"/>
      <c r="W11" s="9"/>
      <c r="X11" s="9"/>
      <c r="Y11" s="9"/>
      <c r="Z11" s="10">
        <f t="shared" ref="Z11:Z57" si="4">SUM(U11:Y11)</f>
        <v>0</v>
      </c>
      <c r="AA11" s="30">
        <f t="shared" ref="AA11:AA57" si="5">+Z11*100/20</f>
        <v>0</v>
      </c>
      <c r="AB11" s="32">
        <f t="shared" ref="AB11:AB57" si="6">+(T11+P11+AA11)/3</f>
        <v>0</v>
      </c>
      <c r="AC11" s="45"/>
    </row>
    <row r="12" spans="1:29" ht="21.6" x14ac:dyDescent="0.3">
      <c r="A12" s="24" t="s">
        <v>35</v>
      </c>
      <c r="B12" s="24" t="s">
        <v>35</v>
      </c>
      <c r="C12" s="24" t="s">
        <v>843</v>
      </c>
      <c r="D12" s="23"/>
      <c r="E12" s="20"/>
      <c r="F12" s="21"/>
      <c r="G12" s="22"/>
      <c r="H12" s="22"/>
      <c r="I12" s="3" t="s">
        <v>1009</v>
      </c>
      <c r="J12" s="9"/>
      <c r="K12" s="9"/>
      <c r="L12" s="10">
        <f t="shared" si="0"/>
        <v>0</v>
      </c>
      <c r="M12" s="10"/>
      <c r="N12" s="10"/>
      <c r="O12" s="10"/>
      <c r="P12" s="38">
        <f t="shared" si="1"/>
        <v>0</v>
      </c>
      <c r="Q12" s="11"/>
      <c r="R12" s="11"/>
      <c r="S12" s="12"/>
      <c r="T12" s="28"/>
      <c r="U12" s="9"/>
      <c r="V12" s="9"/>
      <c r="W12" s="9"/>
      <c r="X12" s="9"/>
      <c r="Y12" s="9"/>
      <c r="Z12" s="10">
        <f t="shared" si="4"/>
        <v>0</v>
      </c>
      <c r="AA12" s="30">
        <f t="shared" si="5"/>
        <v>0</v>
      </c>
      <c r="AB12" s="32">
        <f t="shared" si="6"/>
        <v>0</v>
      </c>
      <c r="AC12" s="45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v>51</v>
      </c>
      <c r="K13" s="9">
        <v>51</v>
      </c>
      <c r="L13" s="10">
        <f t="shared" si="0"/>
        <v>0</v>
      </c>
      <c r="M13" s="10"/>
      <c r="N13" s="10"/>
      <c r="O13" s="10"/>
      <c r="P13" s="38">
        <f t="shared" si="1"/>
        <v>100</v>
      </c>
      <c r="Q13" s="11"/>
      <c r="R13" s="11"/>
      <c r="S13" s="12">
        <f t="shared" si="2"/>
        <v>0</v>
      </c>
      <c r="T13" s="28">
        <f t="shared" si="3"/>
        <v>0</v>
      </c>
      <c r="U13" s="9">
        <v>10</v>
      </c>
      <c r="V13" s="9"/>
      <c r="W13" s="9"/>
      <c r="X13" s="9"/>
      <c r="Y13" s="9">
        <v>10</v>
      </c>
      <c r="Z13" s="10">
        <f t="shared" ref="Z13:Z14" si="7">+U13+Y13</f>
        <v>20</v>
      </c>
      <c r="AA13" s="30">
        <f t="shared" si="5"/>
        <v>100</v>
      </c>
      <c r="AB13" s="32">
        <f t="shared" ref="AB13:AB14" si="8">+(P13+AA13)/3</f>
        <v>66.666666666666671</v>
      </c>
      <c r="AC13" s="54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>
        <v>1</v>
      </c>
      <c r="K14" s="9">
        <v>0</v>
      </c>
      <c r="L14" s="10">
        <f t="shared" si="0"/>
        <v>1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>
        <v>0</v>
      </c>
      <c r="V14" s="9"/>
      <c r="W14" s="9"/>
      <c r="X14" s="9"/>
      <c r="Y14" s="9">
        <v>0</v>
      </c>
      <c r="Z14" s="10">
        <f t="shared" si="7"/>
        <v>0</v>
      </c>
      <c r="AA14" s="30">
        <f t="shared" si="5"/>
        <v>0</v>
      </c>
      <c r="AB14" s="32">
        <f t="shared" si="8"/>
        <v>0</v>
      </c>
      <c r="AC14" s="54" t="s">
        <v>1010</v>
      </c>
    </row>
    <row r="15" spans="1:29" ht="27.6" x14ac:dyDescent="0.3">
      <c r="A15" s="24" t="s">
        <v>35</v>
      </c>
      <c r="B15" s="24" t="s">
        <v>36</v>
      </c>
      <c r="C15" s="24" t="s">
        <v>694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5"/>
        <v>0</v>
      </c>
      <c r="AB15" s="32">
        <f t="shared" si="6"/>
        <v>0</v>
      </c>
      <c r="AC15" s="45"/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5"/>
        <v>0</v>
      </c>
      <c r="AB16" s="32">
        <f t="shared" si="6"/>
        <v>0</v>
      </c>
      <c r="AC16" s="45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>
        <v>50</v>
      </c>
      <c r="K17" s="9">
        <v>50</v>
      </c>
      <c r="L17" s="10">
        <f t="shared" si="0"/>
        <v>0</v>
      </c>
      <c r="M17" s="10"/>
      <c r="N17" s="10"/>
      <c r="O17" s="10"/>
      <c r="P17" s="38">
        <f t="shared" si="1"/>
        <v>100</v>
      </c>
      <c r="Q17" s="11"/>
      <c r="R17" s="11"/>
      <c r="S17" s="12">
        <f t="shared" si="2"/>
        <v>0</v>
      </c>
      <c r="T17" s="28">
        <f t="shared" si="3"/>
        <v>0</v>
      </c>
      <c r="U17" s="9">
        <v>10</v>
      </c>
      <c r="V17" s="9"/>
      <c r="W17" s="9"/>
      <c r="X17" s="9"/>
      <c r="Y17" s="9">
        <v>10</v>
      </c>
      <c r="Z17" s="10">
        <f>+U17+Y17</f>
        <v>20</v>
      </c>
      <c r="AA17" s="30">
        <f t="shared" si="5"/>
        <v>100</v>
      </c>
      <c r="AB17" s="32">
        <f>+(P17+AA17)/3</f>
        <v>66.666666666666671</v>
      </c>
      <c r="AC17" s="54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5"/>
        <v>0</v>
      </c>
      <c r="AB18" s="32">
        <f t="shared" si="6"/>
        <v>0</v>
      </c>
      <c r="AC18" s="45"/>
    </row>
    <row r="19" spans="1:29" ht="27.6" x14ac:dyDescent="0.3">
      <c r="A19" s="24" t="s">
        <v>35</v>
      </c>
      <c r="B19" s="24"/>
      <c r="C19" s="24" t="s">
        <v>694</v>
      </c>
      <c r="D19" s="23"/>
      <c r="E19" s="20"/>
      <c r="F19" s="21"/>
      <c r="G19" s="23"/>
      <c r="H19" s="23"/>
      <c r="I19" s="3" t="s">
        <v>77</v>
      </c>
      <c r="J19" s="9"/>
      <c r="K19" s="9"/>
      <c r="L19" s="10">
        <f t="shared" si="0"/>
        <v>0</v>
      </c>
      <c r="M19" s="10"/>
      <c r="N19" s="10"/>
      <c r="O19" s="10"/>
      <c r="P19" s="38">
        <f t="shared" si="1"/>
        <v>0</v>
      </c>
      <c r="Q19" s="11"/>
      <c r="R19" s="11"/>
      <c r="S19" s="12">
        <f t="shared" si="2"/>
        <v>0</v>
      </c>
      <c r="T19" s="28">
        <f t="shared" si="3"/>
        <v>0</v>
      </c>
      <c r="U19" s="9"/>
      <c r="V19" s="9"/>
      <c r="W19" s="9"/>
      <c r="X19" s="9"/>
      <c r="Y19" s="9"/>
      <c r="Z19" s="10">
        <f t="shared" si="4"/>
        <v>0</v>
      </c>
      <c r="AA19" s="30">
        <f t="shared" si="5"/>
        <v>0</v>
      </c>
      <c r="AB19" s="32">
        <f t="shared" si="6"/>
        <v>0</v>
      </c>
      <c r="AC19" s="45"/>
    </row>
    <row r="20" spans="1:29" ht="27.6" x14ac:dyDescent="0.3">
      <c r="A20" s="24" t="s">
        <v>35</v>
      </c>
      <c r="B20" s="24"/>
      <c r="C20" s="24" t="s">
        <v>853</v>
      </c>
      <c r="D20" s="23"/>
      <c r="E20" s="20"/>
      <c r="F20" s="21"/>
      <c r="G20" s="23"/>
      <c r="H20" s="23"/>
      <c r="I20" s="3" t="s">
        <v>78</v>
      </c>
      <c r="J20" s="9"/>
      <c r="K20" s="9"/>
      <c r="L20" s="10">
        <f t="shared" si="0"/>
        <v>0</v>
      </c>
      <c r="M20" s="10"/>
      <c r="N20" s="10"/>
      <c r="O20" s="10"/>
      <c r="P20" s="38">
        <f t="shared" si="1"/>
        <v>0</v>
      </c>
      <c r="Q20" s="11"/>
      <c r="R20" s="11"/>
      <c r="S20" s="12">
        <f t="shared" si="2"/>
        <v>0</v>
      </c>
      <c r="T20" s="28">
        <f t="shared" si="3"/>
        <v>0</v>
      </c>
      <c r="U20" s="9"/>
      <c r="V20" s="9"/>
      <c r="W20" s="9"/>
      <c r="X20" s="9"/>
      <c r="Y20" s="9"/>
      <c r="Z20" s="10">
        <f t="shared" si="4"/>
        <v>0</v>
      </c>
      <c r="AA20" s="30">
        <f t="shared" si="5"/>
        <v>0</v>
      </c>
      <c r="AB20" s="32">
        <f t="shared" si="6"/>
        <v>0</v>
      </c>
      <c r="AC20" s="45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5"/>
        <v>0</v>
      </c>
      <c r="AB21" s="32">
        <f t="shared" si="6"/>
        <v>0</v>
      </c>
      <c r="AC21" s="45"/>
    </row>
    <row r="22" spans="1:29" ht="27.6" x14ac:dyDescent="0.3">
      <c r="A22" s="24" t="s">
        <v>79</v>
      </c>
      <c r="B22" s="24" t="s">
        <v>35</v>
      </c>
      <c r="C22" s="24" t="s">
        <v>694</v>
      </c>
      <c r="D22" s="23"/>
      <c r="E22" s="20"/>
      <c r="F22" s="21"/>
      <c r="G22" s="23"/>
      <c r="H22" s="23"/>
      <c r="I22" s="3" t="s">
        <v>88</v>
      </c>
      <c r="J22" s="9"/>
      <c r="K22" s="9"/>
      <c r="L22" s="10">
        <f t="shared" si="0"/>
        <v>0</v>
      </c>
      <c r="M22" s="10"/>
      <c r="N22" s="10"/>
      <c r="O22" s="10"/>
      <c r="P22" s="38">
        <f t="shared" si="1"/>
        <v>0</v>
      </c>
      <c r="Q22" s="11"/>
      <c r="R22" s="11"/>
      <c r="S22" s="12">
        <f t="shared" si="2"/>
        <v>0</v>
      </c>
      <c r="T22" s="28">
        <f t="shared" si="3"/>
        <v>0</v>
      </c>
      <c r="U22" s="9"/>
      <c r="V22" s="9"/>
      <c r="W22" s="9"/>
      <c r="X22" s="9"/>
      <c r="Y22" s="9"/>
      <c r="Z22" s="10">
        <f t="shared" si="4"/>
        <v>0</v>
      </c>
      <c r="AA22" s="30">
        <f t="shared" si="5"/>
        <v>0</v>
      </c>
      <c r="AB22" s="32">
        <f t="shared" si="6"/>
        <v>0</v>
      </c>
      <c r="AC22" s="45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5"/>
        <v>0</v>
      </c>
      <c r="AB23" s="32">
        <f t="shared" si="6"/>
        <v>0</v>
      </c>
      <c r="AC23" s="45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9</v>
      </c>
      <c r="V24" s="9"/>
      <c r="W24" s="9"/>
      <c r="X24" s="9"/>
      <c r="Y24" s="9">
        <v>10</v>
      </c>
      <c r="Z24" s="10">
        <f>+U24+Y24</f>
        <v>19</v>
      </c>
      <c r="AA24" s="30">
        <f t="shared" si="5"/>
        <v>95</v>
      </c>
      <c r="AB24" s="32">
        <f>+(P24+AA24)/3</f>
        <v>65</v>
      </c>
      <c r="AC24" s="54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5"/>
        <v>0</v>
      </c>
      <c r="AB25" s="32">
        <f t="shared" si="6"/>
        <v>0</v>
      </c>
      <c r="AC25" s="45"/>
    </row>
    <row r="26" spans="1:29" ht="27.6" x14ac:dyDescent="0.3">
      <c r="A26" s="24" t="s">
        <v>35</v>
      </c>
      <c r="B26" s="24"/>
      <c r="C26" s="24" t="s">
        <v>694</v>
      </c>
      <c r="D26" s="23"/>
      <c r="E26" s="20"/>
      <c r="F26" s="21"/>
      <c r="G26" s="23"/>
      <c r="H26" s="23"/>
      <c r="I26" s="3" t="s">
        <v>108</v>
      </c>
      <c r="J26" s="9"/>
      <c r="K26" s="9"/>
      <c r="L26" s="10">
        <f t="shared" si="0"/>
        <v>0</v>
      </c>
      <c r="M26" s="10"/>
      <c r="N26" s="10"/>
      <c r="O26" s="10"/>
      <c r="P26" s="38">
        <f t="shared" si="1"/>
        <v>0</v>
      </c>
      <c r="Q26" s="11"/>
      <c r="R26" s="11"/>
      <c r="S26" s="12">
        <f t="shared" si="2"/>
        <v>0</v>
      </c>
      <c r="T26" s="28">
        <f t="shared" si="3"/>
        <v>0</v>
      </c>
      <c r="U26" s="9"/>
      <c r="V26" s="9"/>
      <c r="W26" s="9"/>
      <c r="X26" s="9"/>
      <c r="Y26" s="9"/>
      <c r="Z26" s="10">
        <f t="shared" si="4"/>
        <v>0</v>
      </c>
      <c r="AA26" s="30">
        <f t="shared" si="5"/>
        <v>0</v>
      </c>
      <c r="AB26" s="32">
        <f t="shared" si="6"/>
        <v>0</v>
      </c>
      <c r="AC26" s="45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5"/>
        <v>0</v>
      </c>
      <c r="AB27" s="32">
        <f t="shared" si="6"/>
        <v>0</v>
      </c>
      <c r="AC27" s="45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>
        <f>105+47</f>
        <v>152</v>
      </c>
      <c r="K28" s="9">
        <v>156</v>
      </c>
      <c r="L28" s="10">
        <f t="shared" si="0"/>
        <v>-4</v>
      </c>
      <c r="M28" s="10"/>
      <c r="N28" s="10"/>
      <c r="O28" s="10"/>
      <c r="P28" s="38">
        <f t="shared" si="1"/>
        <v>102.63157894736842</v>
      </c>
      <c r="Q28" s="11"/>
      <c r="R28" s="11"/>
      <c r="S28" s="12">
        <f t="shared" si="2"/>
        <v>0</v>
      </c>
      <c r="T28" s="28">
        <f t="shared" si="3"/>
        <v>0</v>
      </c>
      <c r="U28" s="9">
        <v>10</v>
      </c>
      <c r="V28" s="9"/>
      <c r="W28" s="9"/>
      <c r="X28" s="9"/>
      <c r="Y28" s="9">
        <v>10</v>
      </c>
      <c r="Z28" s="10">
        <f>+U28+Y28</f>
        <v>20</v>
      </c>
      <c r="AA28" s="30">
        <f t="shared" si="5"/>
        <v>100</v>
      </c>
      <c r="AB28" s="32">
        <f>+(P28+AA28)/3</f>
        <v>67.543859649122808</v>
      </c>
      <c r="AC28" s="54"/>
    </row>
    <row r="29" spans="1:29" ht="27.6" x14ac:dyDescent="0.3">
      <c r="A29" s="24" t="s">
        <v>35</v>
      </c>
      <c r="B29" s="24" t="s">
        <v>64</v>
      </c>
      <c r="C29" s="24" t="s">
        <v>694</v>
      </c>
      <c r="D29" s="23"/>
      <c r="E29" s="20"/>
      <c r="F29" s="21"/>
      <c r="G29" s="23"/>
      <c r="H29" s="23"/>
      <c r="I29" s="3" t="s">
        <v>114</v>
      </c>
      <c r="J29" s="9"/>
      <c r="K29" s="9"/>
      <c r="L29" s="10">
        <f t="shared" si="0"/>
        <v>0</v>
      </c>
      <c r="M29" s="10"/>
      <c r="N29" s="10"/>
      <c r="O29" s="10"/>
      <c r="P29" s="38">
        <f t="shared" si="1"/>
        <v>0</v>
      </c>
      <c r="Q29" s="11"/>
      <c r="R29" s="11"/>
      <c r="S29" s="12">
        <f t="shared" si="2"/>
        <v>0</v>
      </c>
      <c r="T29" s="28">
        <f t="shared" si="3"/>
        <v>0</v>
      </c>
      <c r="U29" s="9"/>
      <c r="V29" s="9"/>
      <c r="W29" s="9"/>
      <c r="X29" s="9"/>
      <c r="Y29" s="9"/>
      <c r="Z29" s="10">
        <f t="shared" si="4"/>
        <v>0</v>
      </c>
      <c r="AA29" s="30">
        <f t="shared" si="5"/>
        <v>0</v>
      </c>
      <c r="AB29" s="32">
        <f t="shared" si="6"/>
        <v>0</v>
      </c>
      <c r="AC29" s="45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/>
      <c r="E30" s="20"/>
      <c r="F30" s="21"/>
      <c r="G30" s="23"/>
      <c r="H30" s="23"/>
      <c r="I30" s="3" t="s">
        <v>115</v>
      </c>
      <c r="J30" s="9"/>
      <c r="K30" s="9"/>
      <c r="L30" s="10">
        <f t="shared" si="0"/>
        <v>0</v>
      </c>
      <c r="M30" s="10"/>
      <c r="N30" s="10"/>
      <c r="O30" s="10"/>
      <c r="P30" s="38">
        <f t="shared" si="1"/>
        <v>0</v>
      </c>
      <c r="Q30" s="11"/>
      <c r="R30" s="11"/>
      <c r="S30" s="12">
        <f t="shared" si="2"/>
        <v>0</v>
      </c>
      <c r="T30" s="28">
        <f t="shared" si="3"/>
        <v>0</v>
      </c>
      <c r="U30" s="9"/>
      <c r="V30" s="9"/>
      <c r="W30" s="9"/>
      <c r="X30" s="9"/>
      <c r="Y30" s="9"/>
      <c r="Z30" s="10">
        <f t="shared" si="4"/>
        <v>0</v>
      </c>
      <c r="AA30" s="30">
        <f t="shared" si="5"/>
        <v>0</v>
      </c>
      <c r="AB30" s="32">
        <f t="shared" si="6"/>
        <v>0</v>
      </c>
      <c r="AC30" s="45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5"/>
        <v>0</v>
      </c>
      <c r="AB31" s="32">
        <f t="shared" si="6"/>
        <v>0</v>
      </c>
      <c r="AC31" s="45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>
        <v>4</v>
      </c>
      <c r="K32" s="9">
        <v>4</v>
      </c>
      <c r="L32" s="10">
        <f t="shared" si="0"/>
        <v>0</v>
      </c>
      <c r="M32" s="10"/>
      <c r="N32" s="10"/>
      <c r="O32" s="10"/>
      <c r="P32" s="38">
        <f t="shared" si="1"/>
        <v>100</v>
      </c>
      <c r="Q32" s="11"/>
      <c r="R32" s="11"/>
      <c r="S32" s="12">
        <f t="shared" si="2"/>
        <v>0</v>
      </c>
      <c r="T32" s="28">
        <f t="shared" si="3"/>
        <v>0</v>
      </c>
      <c r="U32" s="9">
        <v>10</v>
      </c>
      <c r="V32" s="9"/>
      <c r="W32" s="9"/>
      <c r="X32" s="9"/>
      <c r="Y32" s="9">
        <v>10</v>
      </c>
      <c r="Z32" s="10">
        <f>+U32+Y32</f>
        <v>20</v>
      </c>
      <c r="AA32" s="30">
        <f t="shared" si="5"/>
        <v>100</v>
      </c>
      <c r="AB32" s="32">
        <f>+(P32+AA32)/3</f>
        <v>66.666666666666671</v>
      </c>
      <c r="AC32" s="54"/>
    </row>
    <row r="33" spans="1:29" ht="27.6" x14ac:dyDescent="0.3">
      <c r="A33" s="24" t="s">
        <v>36</v>
      </c>
      <c r="B33" s="24" t="s">
        <v>35</v>
      </c>
      <c r="C33" s="24" t="s">
        <v>694</v>
      </c>
      <c r="D33" s="23"/>
      <c r="E33" s="20"/>
      <c r="F33" s="21"/>
      <c r="G33" s="23"/>
      <c r="H33" s="23"/>
      <c r="I33" s="3" t="s">
        <v>127</v>
      </c>
      <c r="J33" s="9"/>
      <c r="K33" s="9"/>
      <c r="L33" s="10">
        <f t="shared" si="0"/>
        <v>0</v>
      </c>
      <c r="M33" s="10"/>
      <c r="N33" s="10"/>
      <c r="O33" s="10"/>
      <c r="P33" s="38">
        <f t="shared" si="1"/>
        <v>0</v>
      </c>
      <c r="Q33" s="11"/>
      <c r="R33" s="11"/>
      <c r="S33" s="12">
        <f t="shared" si="2"/>
        <v>0</v>
      </c>
      <c r="T33" s="28">
        <f t="shared" si="3"/>
        <v>0</v>
      </c>
      <c r="U33" s="9"/>
      <c r="V33" s="9"/>
      <c r="W33" s="9"/>
      <c r="X33" s="9"/>
      <c r="Y33" s="9"/>
      <c r="Z33" s="10">
        <f t="shared" si="4"/>
        <v>0</v>
      </c>
      <c r="AA33" s="30">
        <f t="shared" si="5"/>
        <v>0</v>
      </c>
      <c r="AB33" s="32">
        <f t="shared" si="6"/>
        <v>0</v>
      </c>
      <c r="AC33" s="45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1</v>
      </c>
      <c r="K34" s="9">
        <v>1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ref="Z34:Z35" si="9">+U34+Y34</f>
        <v>20</v>
      </c>
      <c r="AA34" s="30">
        <f t="shared" si="5"/>
        <v>100</v>
      </c>
      <c r="AB34" s="32">
        <f t="shared" ref="AB34:AB35" si="10">+(P34+AA34)/3</f>
        <v>66.666666666666671</v>
      </c>
      <c r="AC34" s="54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>
        <v>11</v>
      </c>
      <c r="K35" s="9">
        <v>10</v>
      </c>
      <c r="L35" s="10">
        <f t="shared" si="0"/>
        <v>1</v>
      </c>
      <c r="M35" s="10"/>
      <c r="N35" s="10"/>
      <c r="O35" s="10"/>
      <c r="P35" s="38">
        <f t="shared" si="1"/>
        <v>90.909090909090907</v>
      </c>
      <c r="Q35" s="11"/>
      <c r="R35" s="11"/>
      <c r="S35" s="12">
        <f t="shared" si="2"/>
        <v>0</v>
      </c>
      <c r="T35" s="28">
        <f t="shared" si="3"/>
        <v>0</v>
      </c>
      <c r="U35" s="9">
        <v>10</v>
      </c>
      <c r="V35" s="9"/>
      <c r="W35" s="9"/>
      <c r="X35" s="9"/>
      <c r="Y35" s="9">
        <v>10</v>
      </c>
      <c r="Z35" s="10">
        <f t="shared" si="9"/>
        <v>20</v>
      </c>
      <c r="AA35" s="30">
        <f t="shared" si="5"/>
        <v>100</v>
      </c>
      <c r="AB35" s="32">
        <f t="shared" si="10"/>
        <v>63.636363636363633</v>
      </c>
      <c r="AC35" s="54"/>
    </row>
    <row r="36" spans="1:29" ht="41.4" x14ac:dyDescent="0.3">
      <c r="A36" s="24" t="s">
        <v>36</v>
      </c>
      <c r="B36" s="24" t="s">
        <v>35</v>
      </c>
      <c r="C36" s="24" t="s">
        <v>694</v>
      </c>
      <c r="D36" s="23"/>
      <c r="E36" s="20"/>
      <c r="F36" s="21"/>
      <c r="G36" s="23"/>
      <c r="H36" s="23"/>
      <c r="I36" s="3" t="s">
        <v>130</v>
      </c>
      <c r="J36" s="9"/>
      <c r="K36" s="9"/>
      <c r="L36" s="10">
        <f t="shared" si="0"/>
        <v>0</v>
      </c>
      <c r="M36" s="10"/>
      <c r="N36" s="10"/>
      <c r="O36" s="10"/>
      <c r="P36" s="38">
        <f t="shared" si="1"/>
        <v>0</v>
      </c>
      <c r="Q36" s="11"/>
      <c r="R36" s="11"/>
      <c r="S36" s="12">
        <f t="shared" si="2"/>
        <v>0</v>
      </c>
      <c r="T36" s="28">
        <f t="shared" si="3"/>
        <v>0</v>
      </c>
      <c r="U36" s="9"/>
      <c r="V36" s="9"/>
      <c r="W36" s="9"/>
      <c r="X36" s="9"/>
      <c r="Y36" s="9"/>
      <c r="Z36" s="10">
        <f t="shared" si="4"/>
        <v>0</v>
      </c>
      <c r="AA36" s="30">
        <f t="shared" si="5"/>
        <v>0</v>
      </c>
      <c r="AB36" s="32">
        <f t="shared" si="6"/>
        <v>0</v>
      </c>
      <c r="AC36" s="45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1</v>
      </c>
      <c r="K37" s="9">
        <v>1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>+U37+Y37</f>
        <v>20</v>
      </c>
      <c r="AA37" s="30">
        <f t="shared" si="5"/>
        <v>100</v>
      </c>
      <c r="AB37" s="32">
        <f>+(P37+AA37)/3</f>
        <v>66.666666666666671</v>
      </c>
      <c r="AC37" s="54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5"/>
        <v>0</v>
      </c>
      <c r="AB38" s="32">
        <f t="shared" si="6"/>
        <v>0</v>
      </c>
      <c r="AC38" s="45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/>
      <c r="E39" s="20"/>
      <c r="F39" s="21"/>
      <c r="G39" s="23"/>
      <c r="H39" s="23"/>
      <c r="I39" s="3" t="s">
        <v>155</v>
      </c>
      <c r="J39" s="9">
        <v>1</v>
      </c>
      <c r="K39" s="9">
        <v>1</v>
      </c>
      <c r="L39" s="10">
        <f t="shared" si="0"/>
        <v>0</v>
      </c>
      <c r="M39" s="10"/>
      <c r="N39" s="10"/>
      <c r="O39" s="10"/>
      <c r="P39" s="38">
        <f t="shared" si="1"/>
        <v>100</v>
      </c>
      <c r="Q39" s="11"/>
      <c r="R39" s="11"/>
      <c r="S39" s="12">
        <f t="shared" si="2"/>
        <v>0</v>
      </c>
      <c r="T39" s="28">
        <f t="shared" si="3"/>
        <v>0</v>
      </c>
      <c r="U39" s="9"/>
      <c r="V39" s="9"/>
      <c r="W39" s="9"/>
      <c r="X39" s="9"/>
      <c r="Y39" s="9"/>
      <c r="Z39" s="10">
        <f>+U39+Y39</f>
        <v>0</v>
      </c>
      <c r="AA39" s="30">
        <f t="shared" si="5"/>
        <v>0</v>
      </c>
      <c r="AB39" s="32">
        <f>+(P39+AA39)/3</f>
        <v>33.333333333333336</v>
      </c>
      <c r="AC39" s="54"/>
    </row>
    <row r="40" spans="1:29" ht="27.6" x14ac:dyDescent="0.3">
      <c r="A40" s="24" t="s">
        <v>84</v>
      </c>
      <c r="B40" s="24" t="s">
        <v>35</v>
      </c>
      <c r="C40" s="24" t="s">
        <v>694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5"/>
        <v>0</v>
      </c>
      <c r="AB40" s="32">
        <f t="shared" si="6"/>
        <v>0</v>
      </c>
      <c r="AC40" s="45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5"/>
        <v>0</v>
      </c>
      <c r="AB41" s="32">
        <f t="shared" si="6"/>
        <v>0</v>
      </c>
      <c r="AC41" s="45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 t="shared" si="4"/>
        <v>0</v>
      </c>
      <c r="AA42" s="30">
        <f t="shared" si="5"/>
        <v>0</v>
      </c>
      <c r="AB42" s="32">
        <f t="shared" si="6"/>
        <v>0</v>
      </c>
      <c r="AC42" s="54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5"/>
        <v>0</v>
      </c>
      <c r="AB43" s="32">
        <f t="shared" si="6"/>
        <v>0</v>
      </c>
      <c r="AC43" s="45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si="4"/>
        <v>0</v>
      </c>
      <c r="AA44" s="30">
        <f t="shared" si="5"/>
        <v>0</v>
      </c>
      <c r="AB44" s="32">
        <f t="shared" si="6"/>
        <v>0</v>
      </c>
      <c r="AC44" s="54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4"/>
        <v>0</v>
      </c>
      <c r="AA45" s="30">
        <f t="shared" si="5"/>
        <v>0</v>
      </c>
      <c r="AB45" s="32">
        <f t="shared" si="6"/>
        <v>0</v>
      </c>
      <c r="AC45" s="54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4"/>
        <v>0</v>
      </c>
      <c r="AA46" s="30">
        <f t="shared" si="5"/>
        <v>0</v>
      </c>
      <c r="AB46" s="32">
        <f t="shared" si="6"/>
        <v>50</v>
      </c>
      <c r="AC46" s="54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4"/>
        <v>0</v>
      </c>
      <c r="AA47" s="30">
        <f t="shared" si="5"/>
        <v>0</v>
      </c>
      <c r="AB47" s="32">
        <f t="shared" si="6"/>
        <v>0</v>
      </c>
      <c r="AC47" s="54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4"/>
        <v>0</v>
      </c>
      <c r="AA48" s="30">
        <f t="shared" si="5"/>
        <v>0</v>
      </c>
      <c r="AB48" s="32">
        <f t="shared" si="6"/>
        <v>0</v>
      </c>
      <c r="AC48" s="54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>SUM(U49:Y49)</f>
        <v>0</v>
      </c>
      <c r="AA49" s="30">
        <f t="shared" si="5"/>
        <v>0</v>
      </c>
      <c r="AB49" s="32"/>
      <c r="AC49" s="54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/>
      <c r="K50" s="9"/>
      <c r="L50" s="10">
        <f t="shared" si="0"/>
        <v>0</v>
      </c>
      <c r="M50" s="10"/>
      <c r="N50" s="10"/>
      <c r="O50" s="10"/>
      <c r="P50" s="38">
        <f t="shared" si="1"/>
        <v>0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>SUM(U50:Y50)</f>
        <v>0</v>
      </c>
      <c r="AA50" s="30">
        <f t="shared" si="5"/>
        <v>0</v>
      </c>
      <c r="AB50" s="32"/>
      <c r="AC50" s="54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5"/>
        <v>0</v>
      </c>
      <c r="AB51" s="32">
        <f t="shared" si="6"/>
        <v>0</v>
      </c>
      <c r="AC51" s="45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5"/>
        <v>0</v>
      </c>
      <c r="AB52" s="32">
        <f t="shared" si="6"/>
        <v>0</v>
      </c>
      <c r="AC52" s="45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>+U53+Y53</f>
        <v>0</v>
      </c>
      <c r="AA53" s="30">
        <f t="shared" si="5"/>
        <v>0</v>
      </c>
      <c r="AB53" s="32">
        <f>+(P53+AA53)/3</f>
        <v>0</v>
      </c>
      <c r="AC53" s="54" t="s">
        <v>1015</v>
      </c>
    </row>
    <row r="54" spans="1:29" ht="41.4" x14ac:dyDescent="0.3">
      <c r="A54" s="24" t="s">
        <v>105</v>
      </c>
      <c r="B54" s="24" t="s">
        <v>35</v>
      </c>
      <c r="C54" s="24" t="s">
        <v>694</v>
      </c>
      <c r="D54" s="23"/>
      <c r="E54" s="20"/>
      <c r="F54" s="21"/>
      <c r="G54" s="23"/>
      <c r="H54" s="23"/>
      <c r="I54" s="3" t="s">
        <v>190</v>
      </c>
      <c r="J54" s="9"/>
      <c r="K54" s="9"/>
      <c r="L54" s="10">
        <f t="shared" si="0"/>
        <v>0</v>
      </c>
      <c r="M54" s="10"/>
      <c r="N54" s="10"/>
      <c r="O54" s="10"/>
      <c r="P54" s="38">
        <f t="shared" si="1"/>
        <v>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si="4"/>
        <v>0</v>
      </c>
      <c r="AA54" s="30">
        <f t="shared" si="5"/>
        <v>0</v>
      </c>
      <c r="AB54" s="32">
        <f t="shared" si="6"/>
        <v>0</v>
      </c>
      <c r="AC54" s="45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/>
      <c r="K55" s="9"/>
      <c r="L55" s="10">
        <f t="shared" si="0"/>
        <v>0</v>
      </c>
      <c r="M55" s="10"/>
      <c r="N55" s="10"/>
      <c r="O55" s="10"/>
      <c r="P55" s="38">
        <f t="shared" si="1"/>
        <v>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>+U55+Y55</f>
        <v>0</v>
      </c>
      <c r="AA55" s="30">
        <f t="shared" si="5"/>
        <v>0</v>
      </c>
      <c r="AB55" s="32">
        <f>+(P55+AA55)/3</f>
        <v>0</v>
      </c>
      <c r="AC55" s="54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4"/>
        <v>0</v>
      </c>
      <c r="AA56" s="30">
        <f t="shared" si="5"/>
        <v>0</v>
      </c>
      <c r="AB56" s="32">
        <f t="shared" si="6"/>
        <v>0</v>
      </c>
      <c r="AC56" s="54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5"/>
        <v>0</v>
      </c>
      <c r="AB57" s="32">
        <f t="shared" si="6"/>
        <v>0</v>
      </c>
      <c r="AC57" s="45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418</v>
      </c>
      <c r="K58" s="67">
        <f>SUM(K10:K55)</f>
        <v>409</v>
      </c>
      <c r="L58" s="68">
        <f t="shared" si="0"/>
        <v>9</v>
      </c>
      <c r="M58" s="43"/>
      <c r="N58" s="43"/>
      <c r="O58" s="43"/>
      <c r="P58" s="77">
        <f>(K58*100)/J58</f>
        <v>97.846889952153106</v>
      </c>
      <c r="Q58" s="122"/>
      <c r="R58" s="123"/>
      <c r="S58" s="124"/>
      <c r="T58" s="33">
        <f t="shared" ref="T58" si="11">AVERAGEIF(T10:T57,"&gt;0")</f>
        <v>150</v>
      </c>
      <c r="U58" s="69">
        <f>AVERAGEIF(U10:U55,"&gt;0")</f>
        <v>9.7777777777777786</v>
      </c>
      <c r="V58" s="69" t="e">
        <f t="shared" ref="V58:Y58" si="12">AVERAGEIF(V10:V55,"&gt;0")</f>
        <v>#DIV/0!</v>
      </c>
      <c r="W58" s="69" t="e">
        <f t="shared" si="12"/>
        <v>#DIV/0!</v>
      </c>
      <c r="X58" s="69" t="e">
        <f t="shared" si="12"/>
        <v>#DIV/0!</v>
      </c>
      <c r="Y58" s="69">
        <f t="shared" si="12"/>
        <v>10</v>
      </c>
      <c r="Z58" s="70">
        <f t="shared" ref="Z58" si="13">+U58+Y58</f>
        <v>19.777777777777779</v>
      </c>
      <c r="AA58" s="33">
        <f>(Z58*100)/20</f>
        <v>98.888888888888886</v>
      </c>
      <c r="AB58" s="33"/>
      <c r="AC58" s="83"/>
    </row>
  </sheetData>
  <autoFilter ref="A9:AC58" xr:uid="{7DC48379-0ECD-41F8-9BB1-9FB1C451C668}"/>
  <mergeCells count="18">
    <mergeCell ref="U7:AA7"/>
    <mergeCell ref="AB7:AB8"/>
    <mergeCell ref="AC7:AC8"/>
    <mergeCell ref="Q58:S58"/>
    <mergeCell ref="Q7:T7"/>
    <mergeCell ref="A7:C7"/>
    <mergeCell ref="D7:D8"/>
    <mergeCell ref="E7:G7"/>
    <mergeCell ref="I7:I8"/>
    <mergeCell ref="J7:P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H58 F10:G58" xr:uid="{1E359CD2-02F7-45A9-A6D0-64E92892E690}">
      <formula1>INDIRECT(E10)</formula1>
    </dataValidation>
  </dataValidations>
  <pageMargins left="0.7" right="0.7" top="0.75" bottom="0.75" header="0.3" footer="0.3"/>
  <pageSetup scale="75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A77316EE-C2A0-4BB0-98AA-ADC47F589F57}">
          <x14:formula1>
            <xm:f>'Lista desplegable'!$O$13:$O$37</xm:f>
          </x14:formula1>
          <xm:sqref>G4:G5 I4</xm:sqref>
        </x14:dataValidation>
        <x14:dataValidation type="list" allowBlank="1" showInputMessage="1" showErrorMessage="1" xr:uid="{C189FDB7-FE15-4C30-B020-B5DC9CA90C7D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68651060-229E-46E1-B0AA-AA004B79445A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B4AC9DAE-67D1-4447-9364-89C78EA0CE0F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1EF44195-6DC6-4C77-9927-C78E24477F08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CC7E4DF5-6F7F-4949-88D3-D70310F2F19E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4B70DC98-AF23-47A1-A635-F57B3ACABFCB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91CD10B0-7AA1-4D08-981F-7770441D1F13}">
          <x14:formula1>
            <xm:f>'Lista desplegable'!$A$2:$A$16</xm:f>
          </x14:formula1>
          <xm:sqref>E10:E58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564BA-B97A-4D50-9FAB-DC219834593A}">
  <dimension ref="A1:AC58"/>
  <sheetViews>
    <sheetView showGridLines="0" view="pageBreakPreview" topLeftCell="A3" zoomScale="124" zoomScaleNormal="100" zoomScaleSheetLayoutView="100" workbookViewId="0">
      <pane xSplit="9" ySplit="7" topLeftCell="J53" activePane="bottomRight" state="frozen"/>
      <selection pane="topRight" activeCell="J3" sqref="J3"/>
      <selection pane="bottomLeft" activeCell="A10" sqref="A10"/>
      <selection pane="bottomRight" activeCell="J10" sqref="J10:K57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4.55468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49"/>
    </row>
    <row r="2" spans="1:29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909</v>
      </c>
      <c r="J4" s="142"/>
      <c r="K4" s="142"/>
      <c r="L4" s="39"/>
      <c r="M4" s="39"/>
      <c r="N4" s="39"/>
      <c r="O4" s="39"/>
      <c r="P4" s="134" t="s">
        <v>5</v>
      </c>
      <c r="Q4" s="134"/>
      <c r="R4" s="135" t="s">
        <v>284</v>
      </c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46"/>
    </row>
    <row r="5" spans="1:29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39"/>
      <c r="N5" s="39"/>
      <c r="O5" s="39"/>
      <c r="P5" s="134" t="s">
        <v>7</v>
      </c>
      <c r="Q5" s="134"/>
      <c r="R5" s="135" t="s">
        <v>8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46"/>
    </row>
    <row r="7" spans="1:29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29"/>
      <c r="O7" s="129"/>
      <c r="P7" s="129"/>
      <c r="Q7" s="130" t="s">
        <v>14</v>
      </c>
      <c r="R7" s="130"/>
      <c r="S7" s="130"/>
      <c r="T7" s="130"/>
      <c r="U7" s="114" t="s">
        <v>15</v>
      </c>
      <c r="V7" s="115"/>
      <c r="W7" s="115"/>
      <c r="X7" s="115"/>
      <c r="Y7" s="115"/>
      <c r="Z7" s="115"/>
      <c r="AA7" s="116"/>
      <c r="AB7" s="144" t="s">
        <v>16</v>
      </c>
      <c r="AC7" s="146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45"/>
      <c r="AC8" s="146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59"/>
      <c r="AC9" s="85"/>
    </row>
    <row r="10" spans="1:29" ht="55.2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>
        <v>236</v>
      </c>
      <c r="K10" s="9">
        <f>221</f>
        <v>221</v>
      </c>
      <c r="L10" s="10">
        <f t="shared" ref="L10:L58" si="0">+J10-K10</f>
        <v>15</v>
      </c>
      <c r="M10" s="10"/>
      <c r="N10" s="10"/>
      <c r="O10" s="10"/>
      <c r="P10" s="38">
        <f t="shared" ref="P10:P57" si="1">IFERROR(IF(7&lt;&gt;0, K10*100/J10, IF(J10=K10, K10*100/J10, 0)), 0)</f>
        <v>93.644067796610173</v>
      </c>
      <c r="Q10" s="45"/>
      <c r="R10" s="11"/>
      <c r="S10" s="12">
        <f t="shared" ref="S10:S57" si="2">+Q10-R10</f>
        <v>0</v>
      </c>
      <c r="T10" s="28">
        <f t="shared" ref="T10:T57" si="3">IFERROR(IF(S10&lt;&gt;0, Q10*100/R10, IF(Q10=R10, Q10*100/R10, 0)), 0)</f>
        <v>0</v>
      </c>
      <c r="U10" s="9">
        <v>9</v>
      </c>
      <c r="V10" s="9"/>
      <c r="W10" s="9"/>
      <c r="X10" s="9"/>
      <c r="Y10" s="9">
        <v>10</v>
      </c>
      <c r="Z10" s="10">
        <f>+U10+Y10</f>
        <v>19</v>
      </c>
      <c r="AA10" s="30">
        <f>+Z10*100/20</f>
        <v>95</v>
      </c>
      <c r="AB10" s="60">
        <f>+(P10+AA10)/3</f>
        <v>62.881355932203384</v>
      </c>
      <c r="AC10" s="63" t="s">
        <v>1017</v>
      </c>
    </row>
    <row r="11" spans="1:29" ht="27.6" x14ac:dyDescent="0.3">
      <c r="A11" s="24" t="s">
        <v>35</v>
      </c>
      <c r="B11" s="24" t="s">
        <v>36</v>
      </c>
      <c r="C11" s="24" t="s">
        <v>694</v>
      </c>
      <c r="D11" s="23"/>
      <c r="E11" s="20"/>
      <c r="F11" s="21"/>
      <c r="G11" s="22"/>
      <c r="H11" s="22"/>
      <c r="I11" s="3" t="s">
        <v>49</v>
      </c>
      <c r="J11" s="9"/>
      <c r="K11" s="9"/>
      <c r="L11" s="10">
        <f t="shared" si="0"/>
        <v>0</v>
      </c>
      <c r="M11" s="10"/>
      <c r="N11" s="10"/>
      <c r="O11" s="10"/>
      <c r="P11" s="38">
        <f t="shared" si="1"/>
        <v>0</v>
      </c>
      <c r="Q11" s="11"/>
      <c r="R11" s="11"/>
      <c r="S11" s="12">
        <f t="shared" si="2"/>
        <v>0</v>
      </c>
      <c r="T11" s="28">
        <f t="shared" si="3"/>
        <v>0</v>
      </c>
      <c r="U11" s="9"/>
      <c r="V11" s="9"/>
      <c r="W11" s="9"/>
      <c r="X11" s="9"/>
      <c r="Y11" s="9"/>
      <c r="Z11" s="10">
        <f t="shared" ref="Z11:Z57" si="4">SUM(U11:Y11)</f>
        <v>0</v>
      </c>
      <c r="AA11" s="30">
        <f t="shared" ref="AA11:AA57" si="5">+Z11*100/20</f>
        <v>0</v>
      </c>
      <c r="AB11" s="60">
        <f t="shared" ref="AB11:AB57" si="6">+(T11+P11+AA11)/3</f>
        <v>0</v>
      </c>
      <c r="AC11" s="64"/>
    </row>
    <row r="12" spans="1:29" ht="21.6" x14ac:dyDescent="0.3">
      <c r="A12" s="24" t="s">
        <v>35</v>
      </c>
      <c r="B12" s="24" t="s">
        <v>35</v>
      </c>
      <c r="C12" s="24" t="s">
        <v>843</v>
      </c>
      <c r="D12" s="23"/>
      <c r="E12" s="20"/>
      <c r="F12" s="21"/>
      <c r="G12" s="22"/>
      <c r="H12" s="22"/>
      <c r="I12" s="3" t="s">
        <v>1009</v>
      </c>
      <c r="J12" s="9"/>
      <c r="K12" s="9"/>
      <c r="L12" s="10">
        <f t="shared" si="0"/>
        <v>0</v>
      </c>
      <c r="M12" s="10"/>
      <c r="N12" s="10"/>
      <c r="O12" s="10"/>
      <c r="P12" s="38">
        <f t="shared" si="1"/>
        <v>0</v>
      </c>
      <c r="Q12" s="11"/>
      <c r="R12" s="11"/>
      <c r="S12" s="12"/>
      <c r="T12" s="28"/>
      <c r="U12" s="9"/>
      <c r="V12" s="9"/>
      <c r="W12" s="9"/>
      <c r="X12" s="9"/>
      <c r="Y12" s="9"/>
      <c r="Z12" s="10">
        <f t="shared" si="4"/>
        <v>0</v>
      </c>
      <c r="AA12" s="30">
        <f t="shared" si="5"/>
        <v>0</v>
      </c>
      <c r="AB12" s="60">
        <f t="shared" si="6"/>
        <v>0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v>49</v>
      </c>
      <c r="K13" s="9">
        <v>41</v>
      </c>
      <c r="L13" s="10">
        <f t="shared" si="0"/>
        <v>8</v>
      </c>
      <c r="M13" s="10"/>
      <c r="N13" s="10"/>
      <c r="O13" s="10"/>
      <c r="P13" s="38">
        <f t="shared" si="1"/>
        <v>83.673469387755105</v>
      </c>
      <c r="Q13" s="11"/>
      <c r="R13" s="11"/>
      <c r="S13" s="12">
        <f t="shared" si="2"/>
        <v>0</v>
      </c>
      <c r="T13" s="28">
        <f t="shared" si="3"/>
        <v>0</v>
      </c>
      <c r="U13" s="9">
        <v>8</v>
      </c>
      <c r="V13" s="9"/>
      <c r="W13" s="9"/>
      <c r="X13" s="9"/>
      <c r="Y13" s="9">
        <v>10</v>
      </c>
      <c r="Z13" s="10">
        <f t="shared" ref="Z13:Z14" si="7">+U13+Y13</f>
        <v>18</v>
      </c>
      <c r="AA13" s="30">
        <f t="shared" si="5"/>
        <v>90</v>
      </c>
      <c r="AB13" s="60">
        <f t="shared" ref="AB13:AB14" si="8">+(P13+AA13)/3</f>
        <v>57.891156462585037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>
        <v>1</v>
      </c>
      <c r="K14" s="9">
        <v>0</v>
      </c>
      <c r="L14" s="10">
        <f t="shared" si="0"/>
        <v>1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>
        <v>0</v>
      </c>
      <c r="V14" s="9"/>
      <c r="W14" s="9"/>
      <c r="X14" s="9"/>
      <c r="Y14" s="9">
        <v>0</v>
      </c>
      <c r="Z14" s="10">
        <f t="shared" si="7"/>
        <v>0</v>
      </c>
      <c r="AA14" s="30">
        <f t="shared" si="5"/>
        <v>0</v>
      </c>
      <c r="AB14" s="60">
        <f t="shared" si="8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694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5"/>
        <v>0</v>
      </c>
      <c r="AB15" s="60">
        <f t="shared" si="6"/>
        <v>0</v>
      </c>
      <c r="AC15" s="64"/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5"/>
        <v>0</v>
      </c>
      <c r="AB16" s="60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>
        <v>90</v>
      </c>
      <c r="K17" s="9">
        <v>90</v>
      </c>
      <c r="L17" s="10">
        <f t="shared" si="0"/>
        <v>0</v>
      </c>
      <c r="M17" s="10"/>
      <c r="N17" s="10"/>
      <c r="O17" s="10"/>
      <c r="P17" s="38">
        <f t="shared" si="1"/>
        <v>100</v>
      </c>
      <c r="Q17" s="11"/>
      <c r="R17" s="11"/>
      <c r="S17" s="12">
        <f t="shared" si="2"/>
        <v>0</v>
      </c>
      <c r="T17" s="28">
        <f t="shared" si="3"/>
        <v>0</v>
      </c>
      <c r="U17" s="9">
        <v>10</v>
      </c>
      <c r="V17" s="9"/>
      <c r="W17" s="9"/>
      <c r="X17" s="9"/>
      <c r="Y17" s="9">
        <v>10</v>
      </c>
      <c r="Z17" s="10">
        <f>+U17+Y17</f>
        <v>20</v>
      </c>
      <c r="AA17" s="30">
        <f t="shared" si="5"/>
        <v>100</v>
      </c>
      <c r="AB17" s="60">
        <f>+(P17+AA17)/3</f>
        <v>66.666666666666671</v>
      </c>
      <c r="AC17" s="63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5"/>
        <v>0</v>
      </c>
      <c r="AB18" s="60">
        <f t="shared" si="6"/>
        <v>0</v>
      </c>
      <c r="AC18" s="64"/>
    </row>
    <row r="19" spans="1:29" ht="27.6" x14ac:dyDescent="0.3">
      <c r="A19" s="24" t="s">
        <v>35</v>
      </c>
      <c r="B19" s="24"/>
      <c r="C19" s="24" t="s">
        <v>694</v>
      </c>
      <c r="D19" s="23"/>
      <c r="E19" s="20"/>
      <c r="F19" s="21"/>
      <c r="G19" s="23"/>
      <c r="H19" s="23"/>
      <c r="I19" s="3" t="s">
        <v>77</v>
      </c>
      <c r="J19" s="9"/>
      <c r="K19" s="9"/>
      <c r="L19" s="10">
        <f t="shared" si="0"/>
        <v>0</v>
      </c>
      <c r="M19" s="10"/>
      <c r="N19" s="10"/>
      <c r="O19" s="10"/>
      <c r="P19" s="38">
        <f t="shared" si="1"/>
        <v>0</v>
      </c>
      <c r="Q19" s="11"/>
      <c r="R19" s="11"/>
      <c r="S19" s="12">
        <f t="shared" si="2"/>
        <v>0</v>
      </c>
      <c r="T19" s="28">
        <f t="shared" si="3"/>
        <v>0</v>
      </c>
      <c r="U19" s="9"/>
      <c r="V19" s="9"/>
      <c r="W19" s="9"/>
      <c r="X19" s="9"/>
      <c r="Y19" s="9"/>
      <c r="Z19" s="10">
        <f t="shared" si="4"/>
        <v>0</v>
      </c>
      <c r="AA19" s="30">
        <f t="shared" si="5"/>
        <v>0</v>
      </c>
      <c r="AB19" s="60">
        <f t="shared" si="6"/>
        <v>0</v>
      </c>
      <c r="AC19" s="64"/>
    </row>
    <row r="20" spans="1:29" ht="27.6" x14ac:dyDescent="0.3">
      <c r="A20" s="24" t="s">
        <v>35</v>
      </c>
      <c r="B20" s="24"/>
      <c r="C20" s="24" t="s">
        <v>853</v>
      </c>
      <c r="D20" s="23"/>
      <c r="E20" s="20"/>
      <c r="F20" s="21"/>
      <c r="G20" s="23"/>
      <c r="H20" s="23"/>
      <c r="I20" s="3" t="s">
        <v>78</v>
      </c>
      <c r="J20" s="9"/>
      <c r="K20" s="9"/>
      <c r="L20" s="10">
        <f t="shared" si="0"/>
        <v>0</v>
      </c>
      <c r="M20" s="10"/>
      <c r="N20" s="10"/>
      <c r="O20" s="10"/>
      <c r="P20" s="38">
        <f t="shared" si="1"/>
        <v>0</v>
      </c>
      <c r="Q20" s="11"/>
      <c r="R20" s="11"/>
      <c r="S20" s="12">
        <f t="shared" si="2"/>
        <v>0</v>
      </c>
      <c r="T20" s="28">
        <f t="shared" si="3"/>
        <v>0</v>
      </c>
      <c r="U20" s="9"/>
      <c r="V20" s="9"/>
      <c r="W20" s="9"/>
      <c r="X20" s="9"/>
      <c r="Y20" s="9"/>
      <c r="Z20" s="10">
        <f t="shared" si="4"/>
        <v>0</v>
      </c>
      <c r="AA20" s="30">
        <f t="shared" si="5"/>
        <v>0</v>
      </c>
      <c r="AB20" s="60">
        <f t="shared" si="6"/>
        <v>0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5"/>
        <v>0</v>
      </c>
      <c r="AB21" s="60">
        <f t="shared" si="6"/>
        <v>0</v>
      </c>
      <c r="AC21" s="64"/>
    </row>
    <row r="22" spans="1:29" ht="27.6" x14ac:dyDescent="0.3">
      <c r="A22" s="24" t="s">
        <v>79</v>
      </c>
      <c r="B22" s="24" t="s">
        <v>35</v>
      </c>
      <c r="C22" s="24" t="s">
        <v>694</v>
      </c>
      <c r="D22" s="23"/>
      <c r="E22" s="20"/>
      <c r="F22" s="21"/>
      <c r="G22" s="23"/>
      <c r="H22" s="23"/>
      <c r="I22" s="3" t="s">
        <v>88</v>
      </c>
      <c r="J22" s="9"/>
      <c r="K22" s="9"/>
      <c r="L22" s="10">
        <f t="shared" si="0"/>
        <v>0</v>
      </c>
      <c r="M22" s="10"/>
      <c r="N22" s="10"/>
      <c r="O22" s="10"/>
      <c r="P22" s="38">
        <f t="shared" si="1"/>
        <v>0</v>
      </c>
      <c r="Q22" s="11"/>
      <c r="R22" s="11"/>
      <c r="S22" s="12">
        <f t="shared" si="2"/>
        <v>0</v>
      </c>
      <c r="T22" s="28">
        <f t="shared" si="3"/>
        <v>0</v>
      </c>
      <c r="U22" s="9"/>
      <c r="V22" s="9"/>
      <c r="W22" s="9"/>
      <c r="X22" s="9"/>
      <c r="Y22" s="9"/>
      <c r="Z22" s="10">
        <f t="shared" si="4"/>
        <v>0</v>
      </c>
      <c r="AA22" s="30">
        <f t="shared" si="5"/>
        <v>0</v>
      </c>
      <c r="AB22" s="60">
        <f t="shared" si="6"/>
        <v>0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5"/>
        <v>0</v>
      </c>
      <c r="AB23" s="60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>+U24+Y24</f>
        <v>20</v>
      </c>
      <c r="AA24" s="30">
        <f t="shared" si="5"/>
        <v>100</v>
      </c>
      <c r="AB24" s="60">
        <f>+(P24+AA24)/3</f>
        <v>66.666666666666671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5"/>
        <v>0</v>
      </c>
      <c r="AB25" s="60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694</v>
      </c>
      <c r="D26" s="23"/>
      <c r="E26" s="20"/>
      <c r="F26" s="21"/>
      <c r="G26" s="23"/>
      <c r="H26" s="23"/>
      <c r="I26" s="3" t="s">
        <v>108</v>
      </c>
      <c r="J26" s="9"/>
      <c r="K26" s="9"/>
      <c r="L26" s="10">
        <f t="shared" si="0"/>
        <v>0</v>
      </c>
      <c r="M26" s="10"/>
      <c r="N26" s="10"/>
      <c r="O26" s="10"/>
      <c r="P26" s="38">
        <f t="shared" si="1"/>
        <v>0</v>
      </c>
      <c r="Q26" s="11"/>
      <c r="R26" s="11"/>
      <c r="S26" s="12">
        <f t="shared" si="2"/>
        <v>0</v>
      </c>
      <c r="T26" s="28">
        <f t="shared" si="3"/>
        <v>0</v>
      </c>
      <c r="U26" s="9"/>
      <c r="V26" s="9"/>
      <c r="W26" s="9"/>
      <c r="X26" s="9"/>
      <c r="Y26" s="9"/>
      <c r="Z26" s="10">
        <f t="shared" si="4"/>
        <v>0</v>
      </c>
      <c r="AA26" s="30">
        <f t="shared" si="5"/>
        <v>0</v>
      </c>
      <c r="AB26" s="60">
        <f t="shared" si="6"/>
        <v>0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5"/>
        <v>0</v>
      </c>
      <c r="AB27" s="60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>
        <f>202+63</f>
        <v>265</v>
      </c>
      <c r="K28" s="9">
        <v>244</v>
      </c>
      <c r="L28" s="10">
        <f t="shared" si="0"/>
        <v>21</v>
      </c>
      <c r="M28" s="10"/>
      <c r="N28" s="10"/>
      <c r="O28" s="10"/>
      <c r="P28" s="38">
        <f t="shared" si="1"/>
        <v>92.075471698113205</v>
      </c>
      <c r="Q28" s="11"/>
      <c r="R28" s="11"/>
      <c r="S28" s="12">
        <f t="shared" si="2"/>
        <v>0</v>
      </c>
      <c r="T28" s="28">
        <f t="shared" si="3"/>
        <v>0</v>
      </c>
      <c r="U28" s="9">
        <v>9</v>
      </c>
      <c r="V28" s="9"/>
      <c r="W28" s="9"/>
      <c r="X28" s="9"/>
      <c r="Y28" s="9">
        <v>10</v>
      </c>
      <c r="Z28" s="10">
        <f>+U28+Y28</f>
        <v>19</v>
      </c>
      <c r="AA28" s="30">
        <f t="shared" si="5"/>
        <v>95</v>
      </c>
      <c r="AB28" s="60">
        <f>+(P28+AA28)/3</f>
        <v>62.358490566037737</v>
      </c>
      <c r="AC28" s="63"/>
    </row>
    <row r="29" spans="1:29" ht="27.6" x14ac:dyDescent="0.3">
      <c r="A29" s="24" t="s">
        <v>35</v>
      </c>
      <c r="B29" s="24" t="s">
        <v>64</v>
      </c>
      <c r="C29" s="24" t="s">
        <v>694</v>
      </c>
      <c r="D29" s="23"/>
      <c r="E29" s="20"/>
      <c r="F29" s="21"/>
      <c r="G29" s="23"/>
      <c r="H29" s="23"/>
      <c r="I29" s="3" t="s">
        <v>114</v>
      </c>
      <c r="J29" s="9"/>
      <c r="K29" s="9"/>
      <c r="L29" s="10">
        <f t="shared" si="0"/>
        <v>0</v>
      </c>
      <c r="M29" s="10"/>
      <c r="N29" s="10"/>
      <c r="O29" s="10"/>
      <c r="P29" s="38">
        <f t="shared" si="1"/>
        <v>0</v>
      </c>
      <c r="Q29" s="11"/>
      <c r="R29" s="11"/>
      <c r="S29" s="12">
        <f t="shared" si="2"/>
        <v>0</v>
      </c>
      <c r="T29" s="28">
        <f t="shared" si="3"/>
        <v>0</v>
      </c>
      <c r="U29" s="9"/>
      <c r="V29" s="9"/>
      <c r="W29" s="9"/>
      <c r="X29" s="9"/>
      <c r="Y29" s="9"/>
      <c r="Z29" s="10">
        <f t="shared" si="4"/>
        <v>0</v>
      </c>
      <c r="AA29" s="30">
        <f t="shared" si="5"/>
        <v>0</v>
      </c>
      <c r="AB29" s="60">
        <f t="shared" si="6"/>
        <v>0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/>
      <c r="E30" s="20"/>
      <c r="F30" s="21"/>
      <c r="G30" s="23"/>
      <c r="H30" s="23"/>
      <c r="I30" s="3" t="s">
        <v>115</v>
      </c>
      <c r="J30" s="9"/>
      <c r="K30" s="9"/>
      <c r="L30" s="10">
        <f t="shared" si="0"/>
        <v>0</v>
      </c>
      <c r="M30" s="10"/>
      <c r="N30" s="10"/>
      <c r="O30" s="10"/>
      <c r="P30" s="38">
        <f t="shared" si="1"/>
        <v>0</v>
      </c>
      <c r="Q30" s="11"/>
      <c r="R30" s="11"/>
      <c r="S30" s="12">
        <f t="shared" si="2"/>
        <v>0</v>
      </c>
      <c r="T30" s="28">
        <f t="shared" si="3"/>
        <v>0</v>
      </c>
      <c r="U30" s="9"/>
      <c r="V30" s="9"/>
      <c r="W30" s="9"/>
      <c r="X30" s="9"/>
      <c r="Y30" s="9"/>
      <c r="Z30" s="10">
        <f t="shared" si="4"/>
        <v>0</v>
      </c>
      <c r="AA30" s="30">
        <f t="shared" si="5"/>
        <v>0</v>
      </c>
      <c r="AB30" s="60">
        <f t="shared" si="6"/>
        <v>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5"/>
        <v>0</v>
      </c>
      <c r="AB31" s="60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>
        <v>7</v>
      </c>
      <c r="K32" s="9">
        <v>7</v>
      </c>
      <c r="L32" s="10">
        <f t="shared" si="0"/>
        <v>0</v>
      </c>
      <c r="M32" s="10"/>
      <c r="N32" s="10"/>
      <c r="O32" s="10"/>
      <c r="P32" s="38">
        <f t="shared" si="1"/>
        <v>100</v>
      </c>
      <c r="Q32" s="11"/>
      <c r="R32" s="11"/>
      <c r="S32" s="12">
        <f t="shared" si="2"/>
        <v>0</v>
      </c>
      <c r="T32" s="28">
        <f t="shared" si="3"/>
        <v>0</v>
      </c>
      <c r="U32" s="9">
        <v>10</v>
      </c>
      <c r="V32" s="9"/>
      <c r="W32" s="9"/>
      <c r="X32" s="9"/>
      <c r="Y32" s="9">
        <v>10</v>
      </c>
      <c r="Z32" s="10">
        <f>+U32+Y32</f>
        <v>20</v>
      </c>
      <c r="AA32" s="30">
        <f t="shared" si="5"/>
        <v>100</v>
      </c>
      <c r="AB32" s="60">
        <f>+(P32+AA32)/3</f>
        <v>66.666666666666671</v>
      </c>
      <c r="AC32" s="63"/>
    </row>
    <row r="33" spans="1:29" ht="27.6" x14ac:dyDescent="0.3">
      <c r="A33" s="24" t="s">
        <v>36</v>
      </c>
      <c r="B33" s="24" t="s">
        <v>35</v>
      </c>
      <c r="C33" s="24" t="s">
        <v>694</v>
      </c>
      <c r="D33" s="23"/>
      <c r="E33" s="20"/>
      <c r="F33" s="21"/>
      <c r="G33" s="23"/>
      <c r="H33" s="23"/>
      <c r="I33" s="3" t="s">
        <v>127</v>
      </c>
      <c r="J33" s="9"/>
      <c r="K33" s="9"/>
      <c r="L33" s="10">
        <f t="shared" si="0"/>
        <v>0</v>
      </c>
      <c r="M33" s="10"/>
      <c r="N33" s="10"/>
      <c r="O33" s="10"/>
      <c r="P33" s="38">
        <f t="shared" si="1"/>
        <v>0</v>
      </c>
      <c r="Q33" s="11"/>
      <c r="R33" s="11"/>
      <c r="S33" s="12">
        <f t="shared" si="2"/>
        <v>0</v>
      </c>
      <c r="T33" s="28">
        <f t="shared" si="3"/>
        <v>0</v>
      </c>
      <c r="U33" s="9"/>
      <c r="V33" s="9"/>
      <c r="W33" s="9"/>
      <c r="X33" s="9"/>
      <c r="Y33" s="9"/>
      <c r="Z33" s="10">
        <f t="shared" si="4"/>
        <v>0</v>
      </c>
      <c r="AA33" s="30">
        <f t="shared" si="5"/>
        <v>0</v>
      </c>
      <c r="AB33" s="60">
        <f t="shared" si="6"/>
        <v>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1</v>
      </c>
      <c r="K34" s="9">
        <v>1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ref="Z34:Z35" si="9">+U34+Y34</f>
        <v>20</v>
      </c>
      <c r="AA34" s="30">
        <f t="shared" si="5"/>
        <v>100</v>
      </c>
      <c r="AB34" s="60">
        <f t="shared" ref="AB34:AB35" si="10">+(P34+AA34)/3</f>
        <v>66.666666666666671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>
        <v>11</v>
      </c>
      <c r="K35" s="9">
        <v>10</v>
      </c>
      <c r="L35" s="10">
        <f t="shared" si="0"/>
        <v>1</v>
      </c>
      <c r="M35" s="10"/>
      <c r="N35" s="10"/>
      <c r="O35" s="10"/>
      <c r="P35" s="38">
        <f t="shared" si="1"/>
        <v>90.909090909090907</v>
      </c>
      <c r="Q35" s="11"/>
      <c r="R35" s="11"/>
      <c r="S35" s="12">
        <f t="shared" si="2"/>
        <v>0</v>
      </c>
      <c r="T35" s="28">
        <f t="shared" si="3"/>
        <v>0</v>
      </c>
      <c r="U35" s="9">
        <v>9</v>
      </c>
      <c r="V35" s="9"/>
      <c r="W35" s="9"/>
      <c r="X35" s="9"/>
      <c r="Y35" s="9">
        <v>10</v>
      </c>
      <c r="Z35" s="10">
        <f t="shared" si="9"/>
        <v>19</v>
      </c>
      <c r="AA35" s="30">
        <f t="shared" si="5"/>
        <v>95</v>
      </c>
      <c r="AB35" s="60">
        <f t="shared" si="10"/>
        <v>61.969696969696969</v>
      </c>
      <c r="AC35" s="63"/>
    </row>
    <row r="36" spans="1:29" ht="41.4" x14ac:dyDescent="0.3">
      <c r="A36" s="24" t="s">
        <v>36</v>
      </c>
      <c r="B36" s="24" t="s">
        <v>35</v>
      </c>
      <c r="C36" s="24" t="s">
        <v>694</v>
      </c>
      <c r="D36" s="23"/>
      <c r="E36" s="20"/>
      <c r="F36" s="21"/>
      <c r="G36" s="23"/>
      <c r="H36" s="23"/>
      <c r="I36" s="3" t="s">
        <v>130</v>
      </c>
      <c r="J36" s="9"/>
      <c r="K36" s="9"/>
      <c r="L36" s="10">
        <f t="shared" si="0"/>
        <v>0</v>
      </c>
      <c r="M36" s="10"/>
      <c r="N36" s="10"/>
      <c r="O36" s="10"/>
      <c r="P36" s="38">
        <f t="shared" si="1"/>
        <v>0</v>
      </c>
      <c r="Q36" s="11"/>
      <c r="R36" s="11"/>
      <c r="S36" s="12">
        <f t="shared" si="2"/>
        <v>0</v>
      </c>
      <c r="T36" s="28">
        <f t="shared" si="3"/>
        <v>0</v>
      </c>
      <c r="U36" s="9"/>
      <c r="V36" s="9"/>
      <c r="W36" s="9"/>
      <c r="X36" s="9"/>
      <c r="Y36" s="9"/>
      <c r="Z36" s="10">
        <f t="shared" si="4"/>
        <v>0</v>
      </c>
      <c r="AA36" s="30">
        <f t="shared" si="5"/>
        <v>0</v>
      </c>
      <c r="AB36" s="60">
        <f t="shared" si="6"/>
        <v>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1</v>
      </c>
      <c r="K37" s="9">
        <v>1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>+U37+Y37</f>
        <v>20</v>
      </c>
      <c r="AA37" s="30">
        <f t="shared" si="5"/>
        <v>100</v>
      </c>
      <c r="AB37" s="60">
        <f>+(P37+AA37)/3</f>
        <v>66.666666666666671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5"/>
        <v>0</v>
      </c>
      <c r="AB38" s="60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/>
      <c r="E39" s="20"/>
      <c r="F39" s="21"/>
      <c r="G39" s="23"/>
      <c r="H39" s="23"/>
      <c r="I39" s="3" t="s">
        <v>155</v>
      </c>
      <c r="J39" s="9"/>
      <c r="K39" s="9"/>
      <c r="L39" s="10">
        <f t="shared" si="0"/>
        <v>0</v>
      </c>
      <c r="M39" s="10"/>
      <c r="N39" s="10"/>
      <c r="O39" s="10"/>
      <c r="P39" s="38">
        <f t="shared" si="1"/>
        <v>0</v>
      </c>
      <c r="Q39" s="11"/>
      <c r="R39" s="11"/>
      <c r="S39" s="12">
        <f t="shared" si="2"/>
        <v>0</v>
      </c>
      <c r="T39" s="28">
        <f t="shared" si="3"/>
        <v>0</v>
      </c>
      <c r="U39" s="9"/>
      <c r="V39" s="9"/>
      <c r="W39" s="9"/>
      <c r="X39" s="9"/>
      <c r="Y39" s="9"/>
      <c r="Z39" s="10">
        <f>+U39+Y39</f>
        <v>0</v>
      </c>
      <c r="AA39" s="30">
        <f t="shared" si="5"/>
        <v>0</v>
      </c>
      <c r="AB39" s="60">
        <f>+(P39+AA39)/3</f>
        <v>0</v>
      </c>
      <c r="AC39" s="63"/>
    </row>
    <row r="40" spans="1:29" ht="27.6" x14ac:dyDescent="0.3">
      <c r="A40" s="24" t="s">
        <v>84</v>
      </c>
      <c r="B40" s="24" t="s">
        <v>35</v>
      </c>
      <c r="C40" s="24" t="s">
        <v>694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5"/>
        <v>0</v>
      </c>
      <c r="AB40" s="60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5"/>
        <v>0</v>
      </c>
      <c r="AB41" s="60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>+U42+Y42</f>
        <v>0</v>
      </c>
      <c r="AA42" s="30">
        <f t="shared" si="5"/>
        <v>0</v>
      </c>
      <c r="AB42" s="60">
        <f>+(P42+AA42)/3</f>
        <v>0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5"/>
        <v>0</v>
      </c>
      <c r="AB43" s="60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ref="Z44:Z50" si="11">+U44+Y44</f>
        <v>0</v>
      </c>
      <c r="AA44" s="30">
        <f t="shared" si="5"/>
        <v>0</v>
      </c>
      <c r="AB44" s="60">
        <f t="shared" ref="AB44:AB50" si="12">+(P44+AA44)/3</f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11"/>
        <v>0</v>
      </c>
      <c r="AA45" s="30">
        <f t="shared" si="5"/>
        <v>0</v>
      </c>
      <c r="AB45" s="60">
        <f t="shared" si="12"/>
        <v>0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11"/>
        <v>0</v>
      </c>
      <c r="AA46" s="30">
        <f t="shared" si="5"/>
        <v>0</v>
      </c>
      <c r="AB46" s="60">
        <f t="shared" si="12"/>
        <v>0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11"/>
        <v>0</v>
      </c>
      <c r="AA47" s="30">
        <f t="shared" si="5"/>
        <v>0</v>
      </c>
      <c r="AB47" s="60">
        <f t="shared" si="12"/>
        <v>0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11"/>
        <v>0</v>
      </c>
      <c r="AA48" s="30">
        <f t="shared" si="5"/>
        <v>0</v>
      </c>
      <c r="AB48" s="60">
        <f t="shared" si="12"/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 t="shared" si="11"/>
        <v>0</v>
      </c>
      <c r="AA49" s="30">
        <f t="shared" si="5"/>
        <v>0</v>
      </c>
      <c r="AB49" s="60">
        <f t="shared" si="12"/>
        <v>0</v>
      </c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/>
      <c r="K50" s="9"/>
      <c r="L50" s="10">
        <f t="shared" si="0"/>
        <v>0</v>
      </c>
      <c r="M50" s="10"/>
      <c r="N50" s="10"/>
      <c r="O50" s="10"/>
      <c r="P50" s="38">
        <f t="shared" si="1"/>
        <v>0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 t="shared" si="11"/>
        <v>0</v>
      </c>
      <c r="AA50" s="30">
        <f t="shared" si="5"/>
        <v>0</v>
      </c>
      <c r="AB50" s="60">
        <f t="shared" si="12"/>
        <v>0</v>
      </c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5"/>
        <v>0</v>
      </c>
      <c r="AB51" s="60">
        <f t="shared" si="6"/>
        <v>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5"/>
        <v>0</v>
      </c>
      <c r="AB52" s="60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>+U53+Y53</f>
        <v>0</v>
      </c>
      <c r="AA53" s="30">
        <f t="shared" si="5"/>
        <v>0</v>
      </c>
      <c r="AB53" s="60">
        <f>+(P53+AA53)/3</f>
        <v>0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694</v>
      </c>
      <c r="D54" s="23"/>
      <c r="E54" s="20"/>
      <c r="F54" s="21"/>
      <c r="G54" s="23"/>
      <c r="H54" s="23"/>
      <c r="I54" s="3" t="s">
        <v>190</v>
      </c>
      <c r="J54" s="9"/>
      <c r="K54" s="9"/>
      <c r="L54" s="10">
        <f t="shared" si="0"/>
        <v>0</v>
      </c>
      <c r="M54" s="10"/>
      <c r="N54" s="10"/>
      <c r="O54" s="10"/>
      <c r="P54" s="38">
        <f t="shared" si="1"/>
        <v>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si="4"/>
        <v>0</v>
      </c>
      <c r="AA54" s="30">
        <f t="shared" si="5"/>
        <v>0</v>
      </c>
      <c r="AB54" s="60">
        <f t="shared" si="6"/>
        <v>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/>
      <c r="K55" s="9"/>
      <c r="L55" s="10">
        <f t="shared" si="0"/>
        <v>0</v>
      </c>
      <c r="M55" s="10"/>
      <c r="N55" s="10"/>
      <c r="O55" s="10"/>
      <c r="P55" s="38">
        <f t="shared" si="1"/>
        <v>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ref="Z55:Z56" si="13">+U55+Y55</f>
        <v>0</v>
      </c>
      <c r="AA55" s="30">
        <f t="shared" si="5"/>
        <v>0</v>
      </c>
      <c r="AB55" s="60">
        <f t="shared" ref="AB55:AB56" si="14">+(P55+AA55)/3</f>
        <v>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13"/>
        <v>0</v>
      </c>
      <c r="AA56" s="30">
        <f t="shared" si="5"/>
        <v>0</v>
      </c>
      <c r="AB56" s="60">
        <f t="shared" si="14"/>
        <v>0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5"/>
        <v>0</v>
      </c>
      <c r="AB57" s="60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662</v>
      </c>
      <c r="K58" s="67">
        <f>SUM(K10:K55)</f>
        <v>616</v>
      </c>
      <c r="L58" s="68">
        <f t="shared" si="0"/>
        <v>46</v>
      </c>
      <c r="M58" s="43"/>
      <c r="N58" s="43"/>
      <c r="O58" s="43"/>
      <c r="P58" s="77">
        <f>(K58*100)/J58</f>
        <v>93.051359516616316</v>
      </c>
      <c r="Q58" s="122"/>
      <c r="R58" s="123"/>
      <c r="S58" s="124"/>
      <c r="T58" s="33">
        <f t="shared" ref="T58" si="15">AVERAGEIF(T10:T57,"&gt;0")</f>
        <v>150</v>
      </c>
      <c r="U58" s="69">
        <f>AVERAGEIF(U10:U55,"&gt;0")</f>
        <v>9.4444444444444446</v>
      </c>
      <c r="V58" s="69" t="e">
        <f t="shared" ref="V58:Y58" si="16">AVERAGEIF(V10:V55,"&gt;0")</f>
        <v>#DIV/0!</v>
      </c>
      <c r="W58" s="69" t="e">
        <f t="shared" si="16"/>
        <v>#DIV/0!</v>
      </c>
      <c r="X58" s="69" t="e">
        <f t="shared" si="16"/>
        <v>#DIV/0!</v>
      </c>
      <c r="Y58" s="69">
        <f t="shared" si="16"/>
        <v>10</v>
      </c>
      <c r="Z58" s="70">
        <f t="shared" ref="Z58" si="17">+U58+Y58</f>
        <v>19.444444444444443</v>
      </c>
      <c r="AA58" s="33">
        <f>(Z58*100)/20</f>
        <v>97.222222222222214</v>
      </c>
      <c r="AB58" s="61"/>
      <c r="AC58" s="65"/>
    </row>
  </sheetData>
  <autoFilter ref="A9:AC58" xr:uid="{E18564BA-B97A-4D50-9FAB-DC219834593A}"/>
  <mergeCells count="18">
    <mergeCell ref="U7:AA7"/>
    <mergeCell ref="AB7:AB8"/>
    <mergeCell ref="AC7:AC8"/>
    <mergeCell ref="Q58:S58"/>
    <mergeCell ref="Q7:T7"/>
    <mergeCell ref="A7:C7"/>
    <mergeCell ref="D7:D8"/>
    <mergeCell ref="E7:G7"/>
    <mergeCell ref="I7:I8"/>
    <mergeCell ref="J7:P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H58 F10:G58" xr:uid="{2573F84E-1F8F-4B9F-8976-41BBB1E0DED5}">
      <formula1>INDIRECT(E10)</formula1>
    </dataValidation>
  </dataValidations>
  <pageMargins left="0.7" right="0.7" top="0.75" bottom="0.75" header="0.3" footer="0.3"/>
  <pageSetup scale="75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CC5CE115-A4C9-4864-96F7-0C36FC8F7803}">
          <x14:formula1>
            <xm:f>'Lista desplegable'!$A$2:$A$16</xm:f>
          </x14:formula1>
          <xm:sqref>E10:E58</xm:sqref>
        </x14:dataValidation>
        <x14:dataValidation type="list" allowBlank="1" showInputMessage="1" showErrorMessage="1" xr:uid="{04FF5051-47DB-4E7C-9203-039C61F392F4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779BE8D3-4F72-4487-97F1-AF8FBE080EA3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DDCE1729-BF97-43EE-AD5C-3358345F4E1E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F1083AB0-69AC-49C1-BA65-E5E51EF264B9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9404C793-5410-4814-9D77-DB8C36C5CA46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54CEE7EF-B841-49BF-A203-D6DC535D1715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4B785EB6-CDE7-438C-813B-75F238B33B80}">
          <x14:formula1>
            <xm:f>'Lista desplegable'!$O$13:$O$37</xm:f>
          </x14:formula1>
          <xm:sqref>G4:G5 I4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C8D1D-B6A7-4CD0-B3B0-7354B4C72AE1}">
  <dimension ref="A1:AC58"/>
  <sheetViews>
    <sheetView showGridLines="0" view="pageBreakPreview" topLeftCell="A3" zoomScale="124" zoomScaleNormal="100" zoomScaleSheetLayoutView="100" workbookViewId="0">
      <pane xSplit="9" ySplit="7" topLeftCell="J55" activePane="bottomRight" state="frozen"/>
      <selection pane="topRight" activeCell="J3" sqref="J3"/>
      <selection pane="bottomLeft" activeCell="A10" sqref="A10"/>
      <selection pane="bottomRight" activeCell="J10" sqref="J10:K57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4.55468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7.1093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49"/>
    </row>
    <row r="2" spans="1:29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916</v>
      </c>
      <c r="J4" s="142"/>
      <c r="K4" s="142"/>
      <c r="L4" s="39"/>
      <c r="M4" s="39"/>
      <c r="N4" s="39"/>
      <c r="O4" s="39"/>
      <c r="P4" s="134" t="s">
        <v>5</v>
      </c>
      <c r="Q4" s="134"/>
      <c r="R4" s="135" t="s">
        <v>284</v>
      </c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46"/>
    </row>
    <row r="5" spans="1:29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39"/>
      <c r="N5" s="39"/>
      <c r="O5" s="39"/>
      <c r="P5" s="134" t="s">
        <v>7</v>
      </c>
      <c r="Q5" s="134"/>
      <c r="R5" s="135" t="s">
        <v>8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46"/>
    </row>
    <row r="7" spans="1:29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29"/>
      <c r="O7" s="129"/>
      <c r="P7" s="129"/>
      <c r="Q7" s="130" t="s">
        <v>14</v>
      </c>
      <c r="R7" s="130"/>
      <c r="S7" s="130"/>
      <c r="T7" s="130"/>
      <c r="U7" s="114" t="s">
        <v>15</v>
      </c>
      <c r="V7" s="115"/>
      <c r="W7" s="115"/>
      <c r="X7" s="115"/>
      <c r="Y7" s="115"/>
      <c r="Z7" s="115"/>
      <c r="AA7" s="116"/>
      <c r="AB7" s="117" t="s">
        <v>16</v>
      </c>
      <c r="AC7" s="143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18"/>
      <c r="AC8" s="143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53"/>
    </row>
    <row r="10" spans="1:29" ht="27.6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>
        <v>150</v>
      </c>
      <c r="K10" s="9">
        <v>136</v>
      </c>
      <c r="L10" s="10">
        <f t="shared" ref="L10:L58" si="0">+J10-K10</f>
        <v>14</v>
      </c>
      <c r="M10" s="10"/>
      <c r="N10" s="10"/>
      <c r="O10" s="10"/>
      <c r="P10" s="38">
        <f t="shared" ref="P10:P57" si="1">IFERROR(IF(7&lt;&gt;0, K10*100/J10, IF(J10=K10, K10*100/J10, 0)), 0)</f>
        <v>90.666666666666671</v>
      </c>
      <c r="Q10" s="45"/>
      <c r="R10" s="11"/>
      <c r="S10" s="12">
        <f t="shared" ref="S10:S57" si="2">+Q10-R10</f>
        <v>0</v>
      </c>
      <c r="T10" s="28">
        <f t="shared" ref="T10:T57" si="3">IFERROR(IF(S10&lt;&gt;0, Q10*100/R10, IF(Q10=R10, Q10*100/R10, 0)), 0)</f>
        <v>0</v>
      </c>
      <c r="U10" s="9">
        <v>9</v>
      </c>
      <c r="V10" s="9"/>
      <c r="W10" s="9"/>
      <c r="X10" s="9"/>
      <c r="Y10" s="9">
        <v>10</v>
      </c>
      <c r="Z10" s="10">
        <f>+U10+Y10</f>
        <v>19</v>
      </c>
      <c r="AA10" s="30">
        <f>+Z10*100/20</f>
        <v>95</v>
      </c>
      <c r="AB10" s="32">
        <f>+(P10+AA10)/3</f>
        <v>61.888888888888893</v>
      </c>
      <c r="AC10" s="63"/>
    </row>
    <row r="11" spans="1:29" ht="27.6" x14ac:dyDescent="0.3">
      <c r="A11" s="24" t="s">
        <v>35</v>
      </c>
      <c r="B11" s="24" t="s">
        <v>36</v>
      </c>
      <c r="C11" s="24" t="s">
        <v>694</v>
      </c>
      <c r="D11" s="23"/>
      <c r="E11" s="20"/>
      <c r="F11" s="21"/>
      <c r="G11" s="22"/>
      <c r="H11" s="22"/>
      <c r="I11" s="3" t="s">
        <v>49</v>
      </c>
      <c r="J11" s="9"/>
      <c r="K11" s="9"/>
      <c r="L11" s="10">
        <f t="shared" si="0"/>
        <v>0</v>
      </c>
      <c r="M11" s="10"/>
      <c r="N11" s="10"/>
      <c r="O11" s="10"/>
      <c r="P11" s="38">
        <f t="shared" si="1"/>
        <v>0</v>
      </c>
      <c r="Q11" s="11"/>
      <c r="R11" s="11"/>
      <c r="S11" s="12">
        <f t="shared" si="2"/>
        <v>0</v>
      </c>
      <c r="T11" s="28">
        <f t="shared" si="3"/>
        <v>0</v>
      </c>
      <c r="U11" s="9"/>
      <c r="V11" s="9"/>
      <c r="W11" s="9"/>
      <c r="X11" s="9"/>
      <c r="Y11" s="9"/>
      <c r="Z11" s="10">
        <f t="shared" ref="Z11:Z57" si="4">SUM(U11:Y11)</f>
        <v>0</v>
      </c>
      <c r="AA11" s="30">
        <f t="shared" ref="AA11:AA57" si="5">+Z11*100/20</f>
        <v>0</v>
      </c>
      <c r="AB11" s="32">
        <f t="shared" ref="AB11:AB57" si="6">+(T11+P11+AA11)/3</f>
        <v>0</v>
      </c>
      <c r="AC11" s="64"/>
    </row>
    <row r="12" spans="1:29" ht="21.6" x14ac:dyDescent="0.3">
      <c r="A12" s="24" t="s">
        <v>35</v>
      </c>
      <c r="B12" s="24" t="s">
        <v>35</v>
      </c>
      <c r="C12" s="24" t="s">
        <v>843</v>
      </c>
      <c r="D12" s="23"/>
      <c r="E12" s="20"/>
      <c r="F12" s="21"/>
      <c r="G12" s="22"/>
      <c r="H12" s="22"/>
      <c r="I12" s="3" t="s">
        <v>1009</v>
      </c>
      <c r="J12" s="9"/>
      <c r="K12" s="9"/>
      <c r="L12" s="10">
        <f t="shared" si="0"/>
        <v>0</v>
      </c>
      <c r="M12" s="10"/>
      <c r="N12" s="10"/>
      <c r="O12" s="10"/>
      <c r="P12" s="38">
        <f t="shared" si="1"/>
        <v>0</v>
      </c>
      <c r="Q12" s="11"/>
      <c r="R12" s="11"/>
      <c r="S12" s="12"/>
      <c r="T12" s="28"/>
      <c r="U12" s="9"/>
      <c r="V12" s="9"/>
      <c r="W12" s="9"/>
      <c r="X12" s="9"/>
      <c r="Y12" s="9"/>
      <c r="Z12" s="10">
        <f t="shared" si="4"/>
        <v>0</v>
      </c>
      <c r="AA12" s="30">
        <f t="shared" si="5"/>
        <v>0</v>
      </c>
      <c r="AB12" s="32">
        <f t="shared" si="6"/>
        <v>0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v>66</v>
      </c>
      <c r="K13" s="9">
        <v>49</v>
      </c>
      <c r="L13" s="10">
        <f t="shared" si="0"/>
        <v>17</v>
      </c>
      <c r="M13" s="10"/>
      <c r="N13" s="10"/>
      <c r="O13" s="10"/>
      <c r="P13" s="38">
        <f t="shared" si="1"/>
        <v>74.242424242424249</v>
      </c>
      <c r="Q13" s="11"/>
      <c r="R13" s="11"/>
      <c r="S13" s="12">
        <f t="shared" si="2"/>
        <v>0</v>
      </c>
      <c r="T13" s="28">
        <f t="shared" si="3"/>
        <v>0</v>
      </c>
      <c r="U13" s="9">
        <v>7</v>
      </c>
      <c r="V13" s="9"/>
      <c r="W13" s="9"/>
      <c r="X13" s="9"/>
      <c r="Y13" s="9">
        <v>10</v>
      </c>
      <c r="Z13" s="10">
        <f t="shared" ref="Z13:Z14" si="7">+U13+Y13</f>
        <v>17</v>
      </c>
      <c r="AA13" s="30">
        <f t="shared" si="5"/>
        <v>85</v>
      </c>
      <c r="AB13" s="32">
        <f t="shared" ref="AB13:AB14" si="8">+(P13+AA13)/3</f>
        <v>53.080808080808083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>
        <v>1</v>
      </c>
      <c r="K14" s="9">
        <v>0</v>
      </c>
      <c r="L14" s="10">
        <f t="shared" si="0"/>
        <v>1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>
        <v>0</v>
      </c>
      <c r="V14" s="9"/>
      <c r="W14" s="9"/>
      <c r="X14" s="9"/>
      <c r="Y14" s="9">
        <v>0</v>
      </c>
      <c r="Z14" s="10">
        <f t="shared" si="7"/>
        <v>0</v>
      </c>
      <c r="AA14" s="30">
        <f t="shared" si="5"/>
        <v>0</v>
      </c>
      <c r="AB14" s="32">
        <f t="shared" si="8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694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5"/>
        <v>0</v>
      </c>
      <c r="AB15" s="32">
        <f t="shared" si="6"/>
        <v>0</v>
      </c>
      <c r="AC15" s="64"/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5"/>
        <v>0</v>
      </c>
      <c r="AB16" s="32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>
        <v>53</v>
      </c>
      <c r="K17" s="9">
        <v>52</v>
      </c>
      <c r="L17" s="10">
        <f t="shared" si="0"/>
        <v>1</v>
      </c>
      <c r="M17" s="10"/>
      <c r="N17" s="10"/>
      <c r="O17" s="10"/>
      <c r="P17" s="38">
        <f t="shared" si="1"/>
        <v>98.113207547169807</v>
      </c>
      <c r="Q17" s="11"/>
      <c r="R17" s="11"/>
      <c r="S17" s="12">
        <f t="shared" si="2"/>
        <v>0</v>
      </c>
      <c r="T17" s="28">
        <f t="shared" si="3"/>
        <v>0</v>
      </c>
      <c r="U17" s="9">
        <v>10</v>
      </c>
      <c r="V17" s="9"/>
      <c r="W17" s="9"/>
      <c r="X17" s="9"/>
      <c r="Y17" s="9">
        <v>10</v>
      </c>
      <c r="Z17" s="10">
        <f>+U17+Y17</f>
        <v>20</v>
      </c>
      <c r="AA17" s="30">
        <f t="shared" si="5"/>
        <v>100</v>
      </c>
      <c r="AB17" s="32">
        <f>+(P17+AA17)/3</f>
        <v>66.037735849056602</v>
      </c>
      <c r="AC17" s="63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5"/>
        <v>0</v>
      </c>
      <c r="AB18" s="32">
        <f t="shared" si="6"/>
        <v>0</v>
      </c>
      <c r="AC18" s="64"/>
    </row>
    <row r="19" spans="1:29" ht="27.6" x14ac:dyDescent="0.3">
      <c r="A19" s="24" t="s">
        <v>35</v>
      </c>
      <c r="B19" s="24"/>
      <c r="C19" s="24" t="s">
        <v>694</v>
      </c>
      <c r="D19" s="23"/>
      <c r="E19" s="20"/>
      <c r="F19" s="21"/>
      <c r="G19" s="23"/>
      <c r="H19" s="23"/>
      <c r="I19" s="3" t="s">
        <v>77</v>
      </c>
      <c r="J19" s="9"/>
      <c r="K19" s="9"/>
      <c r="L19" s="10">
        <f t="shared" si="0"/>
        <v>0</v>
      </c>
      <c r="M19" s="10"/>
      <c r="N19" s="10"/>
      <c r="O19" s="10"/>
      <c r="P19" s="38">
        <f t="shared" si="1"/>
        <v>0</v>
      </c>
      <c r="Q19" s="11"/>
      <c r="R19" s="11"/>
      <c r="S19" s="12">
        <f t="shared" si="2"/>
        <v>0</v>
      </c>
      <c r="T19" s="28">
        <f t="shared" si="3"/>
        <v>0</v>
      </c>
      <c r="U19" s="9"/>
      <c r="V19" s="9"/>
      <c r="W19" s="9"/>
      <c r="X19" s="9"/>
      <c r="Y19" s="9"/>
      <c r="Z19" s="10">
        <f t="shared" si="4"/>
        <v>0</v>
      </c>
      <c r="AA19" s="30">
        <f t="shared" si="5"/>
        <v>0</v>
      </c>
      <c r="AB19" s="32">
        <f t="shared" si="6"/>
        <v>0</v>
      </c>
      <c r="AC19" s="64"/>
    </row>
    <row r="20" spans="1:29" ht="27.6" x14ac:dyDescent="0.3">
      <c r="A20" s="24" t="s">
        <v>35</v>
      </c>
      <c r="B20" s="24"/>
      <c r="C20" s="24" t="s">
        <v>853</v>
      </c>
      <c r="D20" s="23"/>
      <c r="E20" s="20"/>
      <c r="F20" s="21"/>
      <c r="G20" s="23"/>
      <c r="H20" s="23"/>
      <c r="I20" s="3" t="s">
        <v>78</v>
      </c>
      <c r="J20" s="9"/>
      <c r="K20" s="9"/>
      <c r="L20" s="10">
        <f t="shared" si="0"/>
        <v>0</v>
      </c>
      <c r="M20" s="10"/>
      <c r="N20" s="10"/>
      <c r="O20" s="10"/>
      <c r="P20" s="38">
        <f t="shared" si="1"/>
        <v>0</v>
      </c>
      <c r="Q20" s="11"/>
      <c r="R20" s="11"/>
      <c r="S20" s="12">
        <f t="shared" si="2"/>
        <v>0</v>
      </c>
      <c r="T20" s="28">
        <f t="shared" si="3"/>
        <v>0</v>
      </c>
      <c r="U20" s="9"/>
      <c r="V20" s="9"/>
      <c r="W20" s="9"/>
      <c r="X20" s="9"/>
      <c r="Y20" s="9"/>
      <c r="Z20" s="10">
        <f t="shared" si="4"/>
        <v>0</v>
      </c>
      <c r="AA20" s="30">
        <f t="shared" si="5"/>
        <v>0</v>
      </c>
      <c r="AB20" s="32">
        <f t="shared" si="6"/>
        <v>0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5"/>
        <v>0</v>
      </c>
      <c r="AB21" s="32">
        <f t="shared" si="6"/>
        <v>0</v>
      </c>
      <c r="AC21" s="64"/>
    </row>
    <row r="22" spans="1:29" ht="27.6" x14ac:dyDescent="0.3">
      <c r="A22" s="24" t="s">
        <v>79</v>
      </c>
      <c r="B22" s="24" t="s">
        <v>35</v>
      </c>
      <c r="C22" s="24" t="s">
        <v>694</v>
      </c>
      <c r="D22" s="23"/>
      <c r="E22" s="20"/>
      <c r="F22" s="21"/>
      <c r="G22" s="23"/>
      <c r="H22" s="23"/>
      <c r="I22" s="3" t="s">
        <v>88</v>
      </c>
      <c r="J22" s="9"/>
      <c r="K22" s="9"/>
      <c r="L22" s="10">
        <f t="shared" si="0"/>
        <v>0</v>
      </c>
      <c r="M22" s="10"/>
      <c r="N22" s="10"/>
      <c r="O22" s="10"/>
      <c r="P22" s="38">
        <f t="shared" si="1"/>
        <v>0</v>
      </c>
      <c r="Q22" s="11"/>
      <c r="R22" s="11"/>
      <c r="S22" s="12">
        <f t="shared" si="2"/>
        <v>0</v>
      </c>
      <c r="T22" s="28">
        <f t="shared" si="3"/>
        <v>0</v>
      </c>
      <c r="U22" s="9"/>
      <c r="V22" s="9"/>
      <c r="W22" s="9"/>
      <c r="X22" s="9"/>
      <c r="Y22" s="9"/>
      <c r="Z22" s="10">
        <f t="shared" si="4"/>
        <v>0</v>
      </c>
      <c r="AA22" s="30">
        <f t="shared" si="5"/>
        <v>0</v>
      </c>
      <c r="AB22" s="32">
        <f t="shared" si="6"/>
        <v>0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5"/>
        <v>0</v>
      </c>
      <c r="AB23" s="32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>+U24+Y24</f>
        <v>20</v>
      </c>
      <c r="AA24" s="30">
        <f t="shared" si="5"/>
        <v>100</v>
      </c>
      <c r="AB24" s="32">
        <f>+(P24+AA24)/3</f>
        <v>66.666666666666671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5"/>
        <v>0</v>
      </c>
      <c r="AB25" s="32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694</v>
      </c>
      <c r="D26" s="23"/>
      <c r="E26" s="20"/>
      <c r="F26" s="21"/>
      <c r="G26" s="23"/>
      <c r="H26" s="23"/>
      <c r="I26" s="3" t="s">
        <v>108</v>
      </c>
      <c r="J26" s="9"/>
      <c r="K26" s="9"/>
      <c r="L26" s="10">
        <f t="shared" si="0"/>
        <v>0</v>
      </c>
      <c r="M26" s="10"/>
      <c r="N26" s="10"/>
      <c r="O26" s="10"/>
      <c r="P26" s="38">
        <f t="shared" si="1"/>
        <v>0</v>
      </c>
      <c r="Q26" s="11"/>
      <c r="R26" s="11"/>
      <c r="S26" s="12">
        <f t="shared" si="2"/>
        <v>0</v>
      </c>
      <c r="T26" s="28">
        <f t="shared" si="3"/>
        <v>0</v>
      </c>
      <c r="U26" s="9"/>
      <c r="V26" s="9"/>
      <c r="W26" s="9"/>
      <c r="X26" s="9"/>
      <c r="Y26" s="9"/>
      <c r="Z26" s="10">
        <f t="shared" si="4"/>
        <v>0</v>
      </c>
      <c r="AA26" s="30">
        <f t="shared" si="5"/>
        <v>0</v>
      </c>
      <c r="AB26" s="32">
        <f t="shared" si="6"/>
        <v>0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5"/>
        <v>0</v>
      </c>
      <c r="AB27" s="32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>
        <v>173</v>
      </c>
      <c r="K28" s="9">
        <v>155</v>
      </c>
      <c r="L28" s="10">
        <f t="shared" si="0"/>
        <v>18</v>
      </c>
      <c r="M28" s="10"/>
      <c r="N28" s="10"/>
      <c r="O28" s="10"/>
      <c r="P28" s="38">
        <f t="shared" si="1"/>
        <v>89.595375722543352</v>
      </c>
      <c r="Q28" s="11"/>
      <c r="R28" s="11"/>
      <c r="S28" s="12">
        <f t="shared" si="2"/>
        <v>0</v>
      </c>
      <c r="T28" s="28">
        <f t="shared" si="3"/>
        <v>0</v>
      </c>
      <c r="U28" s="9">
        <v>9</v>
      </c>
      <c r="V28" s="9"/>
      <c r="W28" s="9"/>
      <c r="X28" s="9"/>
      <c r="Y28" s="9">
        <v>10</v>
      </c>
      <c r="Z28" s="10">
        <f>+U28+Y28</f>
        <v>19</v>
      </c>
      <c r="AA28" s="30">
        <f t="shared" si="5"/>
        <v>95</v>
      </c>
      <c r="AB28" s="32">
        <f>+(P28+AA28)/3</f>
        <v>61.531791907514446</v>
      </c>
      <c r="AC28" s="63"/>
    </row>
    <row r="29" spans="1:29" ht="27.6" x14ac:dyDescent="0.3">
      <c r="A29" s="24" t="s">
        <v>35</v>
      </c>
      <c r="B29" s="24" t="s">
        <v>64</v>
      </c>
      <c r="C29" s="24" t="s">
        <v>694</v>
      </c>
      <c r="D29" s="23"/>
      <c r="E29" s="20"/>
      <c r="F29" s="21"/>
      <c r="G29" s="23"/>
      <c r="H29" s="23"/>
      <c r="I29" s="3" t="s">
        <v>114</v>
      </c>
      <c r="J29" s="9"/>
      <c r="K29" s="9"/>
      <c r="L29" s="10">
        <f t="shared" si="0"/>
        <v>0</v>
      </c>
      <c r="M29" s="10"/>
      <c r="N29" s="10"/>
      <c r="O29" s="10"/>
      <c r="P29" s="38">
        <f t="shared" si="1"/>
        <v>0</v>
      </c>
      <c r="Q29" s="11"/>
      <c r="R29" s="11"/>
      <c r="S29" s="12">
        <f t="shared" si="2"/>
        <v>0</v>
      </c>
      <c r="T29" s="28">
        <f t="shared" si="3"/>
        <v>0</v>
      </c>
      <c r="U29" s="9"/>
      <c r="V29" s="9"/>
      <c r="W29" s="9"/>
      <c r="X29" s="9"/>
      <c r="Y29" s="9"/>
      <c r="Z29" s="10">
        <f t="shared" si="4"/>
        <v>0</v>
      </c>
      <c r="AA29" s="30">
        <f t="shared" si="5"/>
        <v>0</v>
      </c>
      <c r="AB29" s="32">
        <f t="shared" si="6"/>
        <v>0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/>
      <c r="E30" s="20"/>
      <c r="F30" s="21"/>
      <c r="G30" s="23"/>
      <c r="H30" s="23"/>
      <c r="I30" s="3" t="s">
        <v>115</v>
      </c>
      <c r="J30" s="9"/>
      <c r="K30" s="9"/>
      <c r="L30" s="10">
        <f t="shared" si="0"/>
        <v>0</v>
      </c>
      <c r="M30" s="10"/>
      <c r="N30" s="10"/>
      <c r="O30" s="10"/>
      <c r="P30" s="38">
        <f t="shared" si="1"/>
        <v>0</v>
      </c>
      <c r="Q30" s="11"/>
      <c r="R30" s="11"/>
      <c r="S30" s="12">
        <f t="shared" si="2"/>
        <v>0</v>
      </c>
      <c r="T30" s="28">
        <f t="shared" si="3"/>
        <v>0</v>
      </c>
      <c r="U30" s="9"/>
      <c r="V30" s="9"/>
      <c r="W30" s="9"/>
      <c r="X30" s="9"/>
      <c r="Y30" s="9"/>
      <c r="Z30" s="10">
        <f t="shared" si="4"/>
        <v>0</v>
      </c>
      <c r="AA30" s="30">
        <f t="shared" si="5"/>
        <v>0</v>
      </c>
      <c r="AB30" s="32">
        <f t="shared" si="6"/>
        <v>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5"/>
        <v>0</v>
      </c>
      <c r="AB31" s="32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>
        <v>5</v>
      </c>
      <c r="K32" s="9">
        <v>5</v>
      </c>
      <c r="L32" s="10">
        <f t="shared" si="0"/>
        <v>0</v>
      </c>
      <c r="M32" s="10"/>
      <c r="N32" s="10"/>
      <c r="O32" s="10"/>
      <c r="P32" s="38">
        <f t="shared" si="1"/>
        <v>100</v>
      </c>
      <c r="Q32" s="11"/>
      <c r="R32" s="11"/>
      <c r="S32" s="12">
        <f t="shared" si="2"/>
        <v>0</v>
      </c>
      <c r="T32" s="28">
        <f t="shared" si="3"/>
        <v>0</v>
      </c>
      <c r="U32" s="9">
        <v>10</v>
      </c>
      <c r="V32" s="9"/>
      <c r="W32" s="9"/>
      <c r="X32" s="9"/>
      <c r="Y32" s="9">
        <v>10</v>
      </c>
      <c r="Z32" s="10">
        <f>+U32+Y32</f>
        <v>20</v>
      </c>
      <c r="AA32" s="30">
        <f t="shared" si="5"/>
        <v>100</v>
      </c>
      <c r="AB32" s="32">
        <f>+(P32+AA32)/3</f>
        <v>66.666666666666671</v>
      </c>
      <c r="AC32" s="63"/>
    </row>
    <row r="33" spans="1:29" ht="27.6" x14ac:dyDescent="0.3">
      <c r="A33" s="24" t="s">
        <v>36</v>
      </c>
      <c r="B33" s="24" t="s">
        <v>35</v>
      </c>
      <c r="C33" s="24" t="s">
        <v>694</v>
      </c>
      <c r="D33" s="23"/>
      <c r="E33" s="20"/>
      <c r="F33" s="21"/>
      <c r="G33" s="23"/>
      <c r="H33" s="23"/>
      <c r="I33" s="3" t="s">
        <v>127</v>
      </c>
      <c r="J33" s="9"/>
      <c r="K33" s="9"/>
      <c r="L33" s="10">
        <f t="shared" si="0"/>
        <v>0</v>
      </c>
      <c r="M33" s="10"/>
      <c r="N33" s="10"/>
      <c r="O33" s="10"/>
      <c r="P33" s="38">
        <f t="shared" si="1"/>
        <v>0</v>
      </c>
      <c r="Q33" s="11"/>
      <c r="R33" s="11"/>
      <c r="S33" s="12">
        <f t="shared" si="2"/>
        <v>0</v>
      </c>
      <c r="T33" s="28">
        <f t="shared" si="3"/>
        <v>0</v>
      </c>
      <c r="U33" s="9"/>
      <c r="V33" s="9"/>
      <c r="W33" s="9"/>
      <c r="X33" s="9"/>
      <c r="Y33" s="9"/>
      <c r="Z33" s="10">
        <f t="shared" si="4"/>
        <v>0</v>
      </c>
      <c r="AA33" s="30">
        <f t="shared" si="5"/>
        <v>0</v>
      </c>
      <c r="AB33" s="32">
        <f t="shared" si="6"/>
        <v>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1</v>
      </c>
      <c r="K34" s="9">
        <v>1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ref="Z34:Z35" si="9">+U34+Y34</f>
        <v>20</v>
      </c>
      <c r="AA34" s="30">
        <f t="shared" si="5"/>
        <v>100</v>
      </c>
      <c r="AB34" s="32">
        <f t="shared" ref="AB34:AB35" si="10">+(P34+AA34)/3</f>
        <v>66.666666666666671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>
        <v>1</v>
      </c>
      <c r="K35" s="9">
        <v>1</v>
      </c>
      <c r="L35" s="10">
        <f t="shared" si="0"/>
        <v>0</v>
      </c>
      <c r="M35" s="10"/>
      <c r="N35" s="10"/>
      <c r="O35" s="10"/>
      <c r="P35" s="38">
        <f t="shared" si="1"/>
        <v>100</v>
      </c>
      <c r="Q35" s="11"/>
      <c r="R35" s="11"/>
      <c r="S35" s="12">
        <f t="shared" si="2"/>
        <v>0</v>
      </c>
      <c r="T35" s="28">
        <f t="shared" si="3"/>
        <v>0</v>
      </c>
      <c r="U35" s="9">
        <v>10</v>
      </c>
      <c r="V35" s="9"/>
      <c r="W35" s="9"/>
      <c r="X35" s="9"/>
      <c r="Y35" s="9">
        <v>10</v>
      </c>
      <c r="Z35" s="10">
        <f t="shared" si="9"/>
        <v>20</v>
      </c>
      <c r="AA35" s="30">
        <f t="shared" si="5"/>
        <v>100</v>
      </c>
      <c r="AB35" s="32">
        <f t="shared" si="10"/>
        <v>66.666666666666671</v>
      </c>
      <c r="AC35" s="63"/>
    </row>
    <row r="36" spans="1:29" ht="41.4" x14ac:dyDescent="0.3">
      <c r="A36" s="24" t="s">
        <v>36</v>
      </c>
      <c r="B36" s="24" t="s">
        <v>35</v>
      </c>
      <c r="C36" s="24" t="s">
        <v>694</v>
      </c>
      <c r="D36" s="23"/>
      <c r="E36" s="20"/>
      <c r="F36" s="21"/>
      <c r="G36" s="23"/>
      <c r="H36" s="23"/>
      <c r="I36" s="3" t="s">
        <v>130</v>
      </c>
      <c r="J36" s="9"/>
      <c r="K36" s="9"/>
      <c r="L36" s="10">
        <f t="shared" si="0"/>
        <v>0</v>
      </c>
      <c r="M36" s="10"/>
      <c r="N36" s="10"/>
      <c r="O36" s="10"/>
      <c r="P36" s="38">
        <f t="shared" si="1"/>
        <v>0</v>
      </c>
      <c r="Q36" s="11"/>
      <c r="R36" s="11"/>
      <c r="S36" s="12">
        <f t="shared" si="2"/>
        <v>0</v>
      </c>
      <c r="T36" s="28">
        <f t="shared" si="3"/>
        <v>0</v>
      </c>
      <c r="U36" s="9"/>
      <c r="V36" s="9"/>
      <c r="W36" s="9"/>
      <c r="X36" s="9"/>
      <c r="Y36" s="9"/>
      <c r="Z36" s="10">
        <f t="shared" si="4"/>
        <v>0</v>
      </c>
      <c r="AA36" s="30">
        <f t="shared" si="5"/>
        <v>0</v>
      </c>
      <c r="AB36" s="32">
        <f t="shared" si="6"/>
        <v>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1</v>
      </c>
      <c r="K37" s="9">
        <v>1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>+U37+Y37</f>
        <v>20</v>
      </c>
      <c r="AA37" s="30">
        <f t="shared" si="5"/>
        <v>100</v>
      </c>
      <c r="AB37" s="32">
        <f>+(P37+AA37)/3</f>
        <v>66.666666666666671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5"/>
        <v>0</v>
      </c>
      <c r="AB38" s="32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/>
      <c r="E39" s="20"/>
      <c r="F39" s="21"/>
      <c r="G39" s="23"/>
      <c r="H39" s="23"/>
      <c r="I39" s="3" t="s">
        <v>155</v>
      </c>
      <c r="J39" s="9"/>
      <c r="K39" s="9"/>
      <c r="L39" s="10">
        <f t="shared" si="0"/>
        <v>0</v>
      </c>
      <c r="M39" s="10"/>
      <c r="N39" s="10"/>
      <c r="O39" s="10"/>
      <c r="P39" s="38">
        <f t="shared" si="1"/>
        <v>0</v>
      </c>
      <c r="Q39" s="11"/>
      <c r="R39" s="11"/>
      <c r="S39" s="12">
        <f t="shared" si="2"/>
        <v>0</v>
      </c>
      <c r="T39" s="28">
        <f t="shared" si="3"/>
        <v>0</v>
      </c>
      <c r="U39" s="9"/>
      <c r="V39" s="9"/>
      <c r="W39" s="9"/>
      <c r="X39" s="9"/>
      <c r="Y39" s="9"/>
      <c r="Z39" s="10">
        <f>+U39+Y39</f>
        <v>0</v>
      </c>
      <c r="AA39" s="30">
        <f t="shared" si="5"/>
        <v>0</v>
      </c>
      <c r="AB39" s="32">
        <f>+(P39+AA39)/3</f>
        <v>0</v>
      </c>
      <c r="AC39" s="63"/>
    </row>
    <row r="40" spans="1:29" ht="27.6" x14ac:dyDescent="0.3">
      <c r="A40" s="24" t="s">
        <v>84</v>
      </c>
      <c r="B40" s="24" t="s">
        <v>35</v>
      </c>
      <c r="C40" s="24" t="s">
        <v>694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5"/>
        <v>0</v>
      </c>
      <c r="AB40" s="32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5"/>
        <v>0</v>
      </c>
      <c r="AB41" s="32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>+U42+Y42</f>
        <v>0</v>
      </c>
      <c r="AA42" s="30">
        <f t="shared" si="5"/>
        <v>0</v>
      </c>
      <c r="AB42" s="32">
        <f>+(P42+AA42)/3</f>
        <v>0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5"/>
        <v>0</v>
      </c>
      <c r="AB43" s="32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ref="Z44:Z50" si="11">+U44+Y44</f>
        <v>0</v>
      </c>
      <c r="AA44" s="30">
        <f t="shared" si="5"/>
        <v>0</v>
      </c>
      <c r="AB44" s="32">
        <f t="shared" ref="AB44:AB50" si="12">+(P44+AA44)/3</f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11"/>
        <v>0</v>
      </c>
      <c r="AA45" s="30">
        <f t="shared" si="5"/>
        <v>0</v>
      </c>
      <c r="AB45" s="32">
        <f t="shared" si="12"/>
        <v>0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11"/>
        <v>0</v>
      </c>
      <c r="AA46" s="30">
        <f t="shared" si="5"/>
        <v>0</v>
      </c>
      <c r="AB46" s="32">
        <f t="shared" si="12"/>
        <v>0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11"/>
        <v>0</v>
      </c>
      <c r="AA47" s="30">
        <f t="shared" si="5"/>
        <v>0</v>
      </c>
      <c r="AB47" s="32">
        <f t="shared" si="12"/>
        <v>0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11"/>
        <v>0</v>
      </c>
      <c r="AA48" s="30">
        <f t="shared" si="5"/>
        <v>0</v>
      </c>
      <c r="AB48" s="32">
        <f t="shared" si="12"/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 t="shared" si="11"/>
        <v>0</v>
      </c>
      <c r="AA49" s="30">
        <f t="shared" si="5"/>
        <v>0</v>
      </c>
      <c r="AB49" s="32">
        <f t="shared" si="12"/>
        <v>0</v>
      </c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/>
      <c r="K50" s="9"/>
      <c r="L50" s="10">
        <f t="shared" si="0"/>
        <v>0</v>
      </c>
      <c r="M50" s="10"/>
      <c r="N50" s="10"/>
      <c r="O50" s="10"/>
      <c r="P50" s="38">
        <f t="shared" si="1"/>
        <v>0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 t="shared" si="11"/>
        <v>0</v>
      </c>
      <c r="AA50" s="30">
        <f t="shared" si="5"/>
        <v>0</v>
      </c>
      <c r="AB50" s="32">
        <f t="shared" si="12"/>
        <v>0</v>
      </c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5"/>
        <v>0</v>
      </c>
      <c r="AB51" s="32">
        <f t="shared" si="6"/>
        <v>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5"/>
        <v>0</v>
      </c>
      <c r="AB52" s="32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>+U53+Y53</f>
        <v>0</v>
      </c>
      <c r="AA53" s="30">
        <f t="shared" si="5"/>
        <v>0</v>
      </c>
      <c r="AB53" s="32">
        <f>+(P53+AA53)/3</f>
        <v>0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694</v>
      </c>
      <c r="D54" s="23"/>
      <c r="E54" s="20"/>
      <c r="F54" s="21"/>
      <c r="G54" s="23"/>
      <c r="H54" s="23"/>
      <c r="I54" s="3" t="s">
        <v>190</v>
      </c>
      <c r="J54" s="9"/>
      <c r="K54" s="9"/>
      <c r="L54" s="10">
        <f t="shared" si="0"/>
        <v>0</v>
      </c>
      <c r="M54" s="10"/>
      <c r="N54" s="10"/>
      <c r="O54" s="10"/>
      <c r="P54" s="38">
        <f t="shared" si="1"/>
        <v>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si="4"/>
        <v>0</v>
      </c>
      <c r="AA54" s="30">
        <f t="shared" si="5"/>
        <v>0</v>
      </c>
      <c r="AB54" s="32">
        <f t="shared" si="6"/>
        <v>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/>
      <c r="K55" s="9"/>
      <c r="L55" s="10">
        <f t="shared" si="0"/>
        <v>0</v>
      </c>
      <c r="M55" s="10"/>
      <c r="N55" s="10"/>
      <c r="O55" s="10"/>
      <c r="P55" s="38">
        <f t="shared" si="1"/>
        <v>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ref="Z55:Z56" si="13">+U55+Y55</f>
        <v>0</v>
      </c>
      <c r="AA55" s="30">
        <f t="shared" si="5"/>
        <v>0</v>
      </c>
      <c r="AB55" s="32">
        <f t="shared" ref="AB55:AB56" si="14">+(P55+AA55)/3</f>
        <v>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13"/>
        <v>0</v>
      </c>
      <c r="AA56" s="30">
        <f t="shared" si="5"/>
        <v>0</v>
      </c>
      <c r="AB56" s="32">
        <f t="shared" si="14"/>
        <v>0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5"/>
        <v>0</v>
      </c>
      <c r="AB57" s="32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452</v>
      </c>
      <c r="K58" s="67">
        <f>SUM(K10:K55)</f>
        <v>401</v>
      </c>
      <c r="L58" s="68">
        <f t="shared" si="0"/>
        <v>51</v>
      </c>
      <c r="M58" s="43"/>
      <c r="N58" s="43"/>
      <c r="O58" s="43"/>
      <c r="P58" s="33">
        <f>(K58*100)/J58</f>
        <v>88.716814159292042</v>
      </c>
      <c r="Q58" s="122"/>
      <c r="R58" s="123"/>
      <c r="S58" s="124"/>
      <c r="T58" s="33">
        <f t="shared" ref="T58" si="15">AVERAGEIF(T10:T57,"&gt;0")</f>
        <v>150</v>
      </c>
      <c r="U58" s="69">
        <f>AVERAGEIF(U10:U55,"&gt;0")</f>
        <v>9.4444444444444446</v>
      </c>
      <c r="V58" s="69" t="e">
        <f t="shared" ref="V58:X58" si="16">AVERAGEIF(V10:V55,"&gt;0")</f>
        <v>#DIV/0!</v>
      </c>
      <c r="W58" s="69" t="e">
        <f t="shared" si="16"/>
        <v>#DIV/0!</v>
      </c>
      <c r="X58" s="69" t="e">
        <f t="shared" si="16"/>
        <v>#DIV/0!</v>
      </c>
      <c r="Y58" s="69">
        <f>AVERAGEIF(Y10:Y55,"&gt;0")</f>
        <v>10</v>
      </c>
      <c r="Z58" s="70">
        <f>+U58+Y58</f>
        <v>19.444444444444443</v>
      </c>
      <c r="AA58" s="33">
        <f>(Z58*100)/20</f>
        <v>97.222222222222214</v>
      </c>
      <c r="AB58" s="33"/>
      <c r="AC58" s="65"/>
    </row>
  </sheetData>
  <autoFilter ref="A9:AC58" xr:uid="{766C8D1D-B6A7-4CD0-B3B0-7354B4C72AE1}"/>
  <mergeCells count="18">
    <mergeCell ref="U7:AA7"/>
    <mergeCell ref="AB7:AB8"/>
    <mergeCell ref="AC7:AC8"/>
    <mergeCell ref="Q58:S58"/>
    <mergeCell ref="Q7:T7"/>
    <mergeCell ref="A7:C7"/>
    <mergeCell ref="D7:D8"/>
    <mergeCell ref="E7:G7"/>
    <mergeCell ref="I7:I8"/>
    <mergeCell ref="J7:P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H58 F10:G58" xr:uid="{36C95676-9AA3-4797-99BB-5121CEDC3D76}">
      <formula1>INDIRECT(E10)</formula1>
    </dataValidation>
  </dataValidations>
  <pageMargins left="0.7" right="0.7" top="0.75" bottom="0.75" header="0.3" footer="0.3"/>
  <pageSetup scale="75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8BBDD74E-5039-49B0-A303-8BC8E18D305C}">
          <x14:formula1>
            <xm:f>'Lista desplegable'!$O$13:$O$37</xm:f>
          </x14:formula1>
          <xm:sqref>G4:G5 I4</xm:sqref>
        </x14:dataValidation>
        <x14:dataValidation type="list" allowBlank="1" showInputMessage="1" showErrorMessage="1" xr:uid="{8778CB4A-4C97-4CE8-8585-25BC83BFE729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0F3502DB-C5CB-4956-A109-C460712F0273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3B098190-734E-4E0B-B89C-218503D578D1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7935EC91-6455-430C-B324-952DFA2A2A05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7134919D-A203-49CE-B30B-407B38305F42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4D32B8AF-1BC1-49B8-AF6F-2480371AB222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28073A8A-769E-485D-9710-F924517F9FD1}">
          <x14:formula1>
            <xm:f>'Lista desplegable'!$A$2:$A$16</xm:f>
          </x14:formula1>
          <xm:sqref>E10:E58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4E8F0-E2D2-41CA-95B6-0D361695E69E}">
  <dimension ref="A1:AC59"/>
  <sheetViews>
    <sheetView showGridLines="0" view="pageBreakPreview" topLeftCell="A3" zoomScale="124" zoomScaleNormal="100" zoomScaleSheetLayoutView="100" workbookViewId="0">
      <pane xSplit="9" ySplit="7" topLeftCell="J56" activePane="bottomRight" state="frozen"/>
      <selection pane="topRight" activeCell="J3" sqref="J3"/>
      <selection pane="bottomLeft" activeCell="A10" sqref="A10"/>
      <selection pane="bottomRight" activeCell="J10" sqref="J10:K58"/>
    </sheetView>
  </sheetViews>
  <sheetFormatPr baseColWidth="10" defaultColWidth="10.88671875" defaultRowHeight="14.4" x14ac:dyDescent="0.3"/>
  <cols>
    <col min="1" max="1" width="5.5546875" style="2" customWidth="1"/>
    <col min="2" max="2" width="4.5546875" style="2" customWidth="1"/>
    <col min="3" max="3" width="8.5546875" style="2" customWidth="1"/>
    <col min="4" max="4" width="6.4414062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4.55468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49"/>
    </row>
    <row r="2" spans="1:29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3</v>
      </c>
      <c r="J4" s="142"/>
      <c r="K4" s="142"/>
      <c r="L4" s="39"/>
      <c r="M4" s="39"/>
      <c r="N4" s="39"/>
      <c r="O4" s="39"/>
      <c r="P4" s="134" t="s">
        <v>5</v>
      </c>
      <c r="Q4" s="134"/>
      <c r="R4" s="135" t="s">
        <v>284</v>
      </c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46"/>
    </row>
    <row r="5" spans="1:29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39"/>
      <c r="N5" s="39"/>
      <c r="O5" s="39"/>
      <c r="P5" s="134" t="s">
        <v>7</v>
      </c>
      <c r="Q5" s="134"/>
      <c r="R5" s="135" t="s">
        <v>8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46"/>
    </row>
    <row r="7" spans="1:29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29"/>
      <c r="O7" s="129"/>
      <c r="P7" s="129"/>
      <c r="Q7" s="130" t="s">
        <v>14</v>
      </c>
      <c r="R7" s="130"/>
      <c r="S7" s="130"/>
      <c r="T7" s="130"/>
      <c r="U7" s="114" t="s">
        <v>15</v>
      </c>
      <c r="V7" s="115"/>
      <c r="W7" s="115"/>
      <c r="X7" s="115"/>
      <c r="Y7" s="115"/>
      <c r="Z7" s="115"/>
      <c r="AA7" s="116"/>
      <c r="AB7" s="144" t="s">
        <v>16</v>
      </c>
      <c r="AC7" s="146" t="s">
        <v>1004</v>
      </c>
    </row>
    <row r="8" spans="1:29" ht="78" customHeight="1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45"/>
      <c r="AC8" s="146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59"/>
      <c r="AC9" s="62"/>
    </row>
    <row r="10" spans="1:29" ht="27.6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>
        <v>376</v>
      </c>
      <c r="K10" s="9">
        <f>316+25</f>
        <v>341</v>
      </c>
      <c r="L10" s="10">
        <f t="shared" ref="L10:L58" si="0">+J10-K10</f>
        <v>35</v>
      </c>
      <c r="M10" s="10"/>
      <c r="N10" s="10"/>
      <c r="O10" s="10"/>
      <c r="P10" s="38">
        <f t="shared" ref="P10:P58" si="1">IFERROR(IF(7&lt;&gt;0, K10*100/J10, IF(J10=K10, K10*100/J10, 0)), 0)</f>
        <v>90.691489361702125</v>
      </c>
      <c r="Q10" s="45">
        <v>16</v>
      </c>
      <c r="R10" s="45">
        <v>17</v>
      </c>
      <c r="S10" s="12">
        <f t="shared" ref="S10:S58" si="2">+Q10-R10</f>
        <v>-1</v>
      </c>
      <c r="T10" s="28">
        <f t="shared" ref="T10:T58" si="3">IFERROR(IF(S10&lt;&gt;0, Q10*100/R10, IF(Q10=R10, Q10*100/R10, 0)), 0)</f>
        <v>94.117647058823536</v>
      </c>
      <c r="U10" s="9">
        <v>8</v>
      </c>
      <c r="V10" s="9"/>
      <c r="W10" s="9"/>
      <c r="X10" s="9"/>
      <c r="Y10" s="9">
        <v>10</v>
      </c>
      <c r="Z10" s="10">
        <f>U10+Y10</f>
        <v>18</v>
      </c>
      <c r="AA10" s="30">
        <f>+Z10*100/20</f>
        <v>90</v>
      </c>
      <c r="AB10" s="60">
        <f>+(P10+AA10)/2</f>
        <v>90.345744680851055</v>
      </c>
      <c r="AC10" s="63"/>
    </row>
    <row r="11" spans="1:29" ht="27.6" x14ac:dyDescent="0.3">
      <c r="A11" s="24" t="s">
        <v>35</v>
      </c>
      <c r="B11" s="24" t="s">
        <v>36</v>
      </c>
      <c r="C11" s="24" t="s">
        <v>694</v>
      </c>
      <c r="D11" s="23"/>
      <c r="E11" s="20"/>
      <c r="F11" s="21"/>
      <c r="G11" s="22"/>
      <c r="H11" s="22"/>
      <c r="I11" s="3" t="s">
        <v>49</v>
      </c>
      <c r="J11" s="9"/>
      <c r="K11" s="9"/>
      <c r="L11" s="10">
        <f t="shared" si="0"/>
        <v>0</v>
      </c>
      <c r="M11" s="10"/>
      <c r="N11" s="10"/>
      <c r="O11" s="10"/>
      <c r="P11" s="38">
        <f t="shared" si="1"/>
        <v>0</v>
      </c>
      <c r="Q11" s="11"/>
      <c r="R11" s="11"/>
      <c r="S11" s="12">
        <f t="shared" si="2"/>
        <v>0</v>
      </c>
      <c r="T11" s="28">
        <f t="shared" si="3"/>
        <v>0</v>
      </c>
      <c r="U11" s="9"/>
      <c r="V11" s="9"/>
      <c r="W11" s="9"/>
      <c r="X11" s="9"/>
      <c r="Y11" s="9"/>
      <c r="Z11" s="10">
        <f t="shared" ref="Z11:Z58" si="4">SUM(U11:Y11)</f>
        <v>0</v>
      </c>
      <c r="AA11" s="30">
        <f t="shared" ref="AA11:AA58" si="5">+Z11*100/20</f>
        <v>0</v>
      </c>
      <c r="AB11" s="60">
        <f t="shared" ref="AB11:AB58" si="6">+(T11+P11+AA11)/3</f>
        <v>0</v>
      </c>
      <c r="AC11" s="64"/>
    </row>
    <row r="12" spans="1:29" ht="21.6" x14ac:dyDescent="0.3">
      <c r="A12" s="24" t="s">
        <v>35</v>
      </c>
      <c r="B12" s="24" t="s">
        <v>35</v>
      </c>
      <c r="C12" s="24" t="s">
        <v>843</v>
      </c>
      <c r="D12" s="23"/>
      <c r="E12" s="20"/>
      <c r="F12" s="21"/>
      <c r="G12" s="22"/>
      <c r="H12" s="22"/>
      <c r="I12" s="3" t="s">
        <v>1009</v>
      </c>
      <c r="J12" s="9"/>
      <c r="K12" s="9"/>
      <c r="L12" s="10">
        <f t="shared" si="0"/>
        <v>0</v>
      </c>
      <c r="M12" s="10"/>
      <c r="N12" s="10"/>
      <c r="O12" s="10"/>
      <c r="P12" s="38">
        <f t="shared" si="1"/>
        <v>0</v>
      </c>
      <c r="Q12" s="11"/>
      <c r="R12" s="11"/>
      <c r="S12" s="12"/>
      <c r="T12" s="28"/>
      <c r="U12" s="9"/>
      <c r="V12" s="9"/>
      <c r="W12" s="9"/>
      <c r="X12" s="9"/>
      <c r="Y12" s="9"/>
      <c r="Z12" s="10">
        <f t="shared" si="4"/>
        <v>0</v>
      </c>
      <c r="AA12" s="30">
        <f t="shared" si="5"/>
        <v>0</v>
      </c>
      <c r="AB12" s="60">
        <f t="shared" si="6"/>
        <v>0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f>31+16</f>
        <v>47</v>
      </c>
      <c r="K13" s="9">
        <v>28</v>
      </c>
      <c r="L13" s="10">
        <f t="shared" si="0"/>
        <v>19</v>
      </c>
      <c r="M13" s="10"/>
      <c r="N13" s="10"/>
      <c r="O13" s="10"/>
      <c r="P13" s="38">
        <f t="shared" si="1"/>
        <v>59.574468085106382</v>
      </c>
      <c r="Q13" s="45">
        <v>9</v>
      </c>
      <c r="R13" s="45">
        <v>8</v>
      </c>
      <c r="S13" s="12">
        <f t="shared" si="2"/>
        <v>1</v>
      </c>
      <c r="T13" s="28">
        <f t="shared" si="3"/>
        <v>112.5</v>
      </c>
      <c r="U13" s="9">
        <v>5</v>
      </c>
      <c r="V13" s="9"/>
      <c r="W13" s="9"/>
      <c r="X13" s="9"/>
      <c r="Y13" s="9">
        <v>10</v>
      </c>
      <c r="Z13" s="10">
        <f t="shared" si="4"/>
        <v>15</v>
      </c>
      <c r="AA13" s="30">
        <f t="shared" si="5"/>
        <v>75</v>
      </c>
      <c r="AB13" s="60">
        <f t="shared" ref="AB13:AB14" si="7">+(P13+AA13)/2</f>
        <v>67.287234042553195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>
        <v>1</v>
      </c>
      <c r="K14" s="9">
        <v>0</v>
      </c>
      <c r="L14" s="10">
        <f t="shared" si="0"/>
        <v>1</v>
      </c>
      <c r="M14" s="10"/>
      <c r="N14" s="10"/>
      <c r="O14" s="10"/>
      <c r="P14" s="38">
        <f t="shared" si="1"/>
        <v>0</v>
      </c>
      <c r="Q14" s="45">
        <v>0</v>
      </c>
      <c r="R14" s="45">
        <v>0</v>
      </c>
      <c r="S14" s="12">
        <f t="shared" si="2"/>
        <v>0</v>
      </c>
      <c r="T14" s="28">
        <f t="shared" si="3"/>
        <v>0</v>
      </c>
      <c r="U14" s="9">
        <v>0</v>
      </c>
      <c r="V14" s="9"/>
      <c r="W14" s="9"/>
      <c r="X14" s="9"/>
      <c r="Y14" s="9">
        <v>0</v>
      </c>
      <c r="Z14" s="10">
        <f t="shared" si="4"/>
        <v>0</v>
      </c>
      <c r="AA14" s="30">
        <f t="shared" si="5"/>
        <v>0</v>
      </c>
      <c r="AB14" s="60">
        <f t="shared" si="7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694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5"/>
        <v>0</v>
      </c>
      <c r="AB15" s="60">
        <f t="shared" si="6"/>
        <v>0</v>
      </c>
      <c r="AC15" s="64"/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5"/>
        <v>0</v>
      </c>
      <c r="AB16" s="60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>
        <v>84</v>
      </c>
      <c r="K17" s="9">
        <v>81</v>
      </c>
      <c r="L17" s="10">
        <f t="shared" si="0"/>
        <v>3</v>
      </c>
      <c r="M17" s="10"/>
      <c r="N17" s="10"/>
      <c r="O17" s="10"/>
      <c r="P17" s="38">
        <f t="shared" si="1"/>
        <v>96.428571428571431</v>
      </c>
      <c r="Q17" s="45">
        <v>16</v>
      </c>
      <c r="R17" s="45">
        <v>8</v>
      </c>
      <c r="S17" s="12">
        <f t="shared" si="2"/>
        <v>8</v>
      </c>
      <c r="T17" s="28">
        <f t="shared" si="3"/>
        <v>200</v>
      </c>
      <c r="U17" s="9">
        <v>9</v>
      </c>
      <c r="V17" s="9"/>
      <c r="W17" s="9"/>
      <c r="X17" s="9"/>
      <c r="Y17" s="9">
        <v>5</v>
      </c>
      <c r="Z17" s="10">
        <f t="shared" si="4"/>
        <v>14</v>
      </c>
      <c r="AA17" s="30">
        <f t="shared" si="5"/>
        <v>70</v>
      </c>
      <c r="AB17" s="60">
        <f>+(P17+AA17)/2</f>
        <v>83.214285714285722</v>
      </c>
      <c r="AC17" s="63" t="s">
        <v>1018</v>
      </c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5"/>
        <v>0</v>
      </c>
      <c r="AB18" s="60">
        <f t="shared" si="6"/>
        <v>0</v>
      </c>
      <c r="AC18" s="64"/>
    </row>
    <row r="19" spans="1:29" ht="27.6" x14ac:dyDescent="0.3">
      <c r="A19" s="24" t="s">
        <v>35</v>
      </c>
      <c r="B19" s="24"/>
      <c r="C19" s="24" t="s">
        <v>694</v>
      </c>
      <c r="D19" s="23"/>
      <c r="E19" s="20"/>
      <c r="F19" s="21"/>
      <c r="G19" s="23"/>
      <c r="H19" s="23"/>
      <c r="I19" s="3" t="s">
        <v>77</v>
      </c>
      <c r="J19" s="9"/>
      <c r="K19" s="9"/>
      <c r="L19" s="10">
        <f t="shared" si="0"/>
        <v>0</v>
      </c>
      <c r="M19" s="10"/>
      <c r="N19" s="10"/>
      <c r="O19" s="10"/>
      <c r="P19" s="38">
        <f t="shared" si="1"/>
        <v>0</v>
      </c>
      <c r="Q19" s="11"/>
      <c r="R19" s="11"/>
      <c r="S19" s="12">
        <f t="shared" si="2"/>
        <v>0</v>
      </c>
      <c r="T19" s="28">
        <f t="shared" si="3"/>
        <v>0</v>
      </c>
      <c r="U19" s="9"/>
      <c r="V19" s="9"/>
      <c r="W19" s="9"/>
      <c r="X19" s="9"/>
      <c r="Y19" s="9"/>
      <c r="Z19" s="10">
        <f t="shared" si="4"/>
        <v>0</v>
      </c>
      <c r="AA19" s="30">
        <f t="shared" si="5"/>
        <v>0</v>
      </c>
      <c r="AB19" s="60">
        <f t="shared" si="6"/>
        <v>0</v>
      </c>
      <c r="AC19" s="64"/>
    </row>
    <row r="20" spans="1:29" ht="27.6" x14ac:dyDescent="0.3">
      <c r="A20" s="24" t="s">
        <v>35</v>
      </c>
      <c r="B20" s="24"/>
      <c r="C20" s="24" t="s">
        <v>853</v>
      </c>
      <c r="D20" s="23"/>
      <c r="E20" s="20"/>
      <c r="F20" s="21"/>
      <c r="G20" s="23"/>
      <c r="H20" s="23"/>
      <c r="I20" s="3" t="s">
        <v>78</v>
      </c>
      <c r="J20" s="9"/>
      <c r="K20" s="9"/>
      <c r="L20" s="10">
        <f t="shared" si="0"/>
        <v>0</v>
      </c>
      <c r="M20" s="10"/>
      <c r="N20" s="10"/>
      <c r="O20" s="10"/>
      <c r="P20" s="38">
        <f t="shared" si="1"/>
        <v>0</v>
      </c>
      <c r="Q20" s="11"/>
      <c r="R20" s="11"/>
      <c r="S20" s="12">
        <f t="shared" si="2"/>
        <v>0</v>
      </c>
      <c r="T20" s="28">
        <f t="shared" si="3"/>
        <v>0</v>
      </c>
      <c r="U20" s="9"/>
      <c r="V20" s="9"/>
      <c r="W20" s="9"/>
      <c r="X20" s="9"/>
      <c r="Y20" s="9"/>
      <c r="Z20" s="10">
        <f t="shared" si="4"/>
        <v>0</v>
      </c>
      <c r="AA20" s="30">
        <f t="shared" si="5"/>
        <v>0</v>
      </c>
      <c r="AB20" s="60">
        <f t="shared" si="6"/>
        <v>0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5"/>
        <v>0</v>
      </c>
      <c r="AB21" s="60">
        <f t="shared" si="6"/>
        <v>0</v>
      </c>
      <c r="AC21" s="64"/>
    </row>
    <row r="22" spans="1:29" ht="27.6" x14ac:dyDescent="0.3">
      <c r="A22" s="24" t="s">
        <v>79</v>
      </c>
      <c r="B22" s="24" t="s">
        <v>35</v>
      </c>
      <c r="C22" s="24" t="s">
        <v>694</v>
      </c>
      <c r="D22" s="23"/>
      <c r="E22" s="20"/>
      <c r="F22" s="21"/>
      <c r="G22" s="23"/>
      <c r="H22" s="23"/>
      <c r="I22" s="3" t="s">
        <v>88</v>
      </c>
      <c r="J22" s="9"/>
      <c r="K22" s="9"/>
      <c r="L22" s="10">
        <f t="shared" si="0"/>
        <v>0</v>
      </c>
      <c r="M22" s="10"/>
      <c r="N22" s="10"/>
      <c r="O22" s="10"/>
      <c r="P22" s="38">
        <f t="shared" si="1"/>
        <v>0</v>
      </c>
      <c r="Q22" s="11"/>
      <c r="R22" s="11"/>
      <c r="S22" s="12">
        <f t="shared" si="2"/>
        <v>0</v>
      </c>
      <c r="T22" s="28">
        <f t="shared" si="3"/>
        <v>0</v>
      </c>
      <c r="U22" s="9"/>
      <c r="V22" s="9"/>
      <c r="W22" s="9"/>
      <c r="X22" s="9"/>
      <c r="Y22" s="9"/>
      <c r="Z22" s="10">
        <f t="shared" si="4"/>
        <v>0</v>
      </c>
      <c r="AA22" s="30">
        <f t="shared" si="5"/>
        <v>0</v>
      </c>
      <c r="AB22" s="60">
        <f t="shared" si="6"/>
        <v>0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5"/>
        <v>0</v>
      </c>
      <c r="AB23" s="60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45">
        <v>1</v>
      </c>
      <c r="R24" s="45">
        <v>1</v>
      </c>
      <c r="S24" s="12">
        <f t="shared" si="2"/>
        <v>0</v>
      </c>
      <c r="T24" s="28">
        <f t="shared" si="3"/>
        <v>100</v>
      </c>
      <c r="U24" s="9">
        <v>10</v>
      </c>
      <c r="V24" s="9"/>
      <c r="W24" s="9"/>
      <c r="X24" s="9"/>
      <c r="Y24" s="9">
        <v>9</v>
      </c>
      <c r="Z24" s="10">
        <f t="shared" si="4"/>
        <v>19</v>
      </c>
      <c r="AA24" s="30">
        <f t="shared" si="5"/>
        <v>95</v>
      </c>
      <c r="AB24" s="60">
        <f>+(P24+AA24)/2</f>
        <v>97.5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5"/>
        <v>0</v>
      </c>
      <c r="AB25" s="60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694</v>
      </c>
      <c r="D26" s="23"/>
      <c r="E26" s="20"/>
      <c r="F26" s="21"/>
      <c r="G26" s="23"/>
      <c r="H26" s="23"/>
      <c r="I26" s="3" t="s">
        <v>108</v>
      </c>
      <c r="J26" s="9"/>
      <c r="K26" s="9"/>
      <c r="L26" s="10">
        <f t="shared" si="0"/>
        <v>0</v>
      </c>
      <c r="M26" s="10"/>
      <c r="N26" s="10"/>
      <c r="O26" s="10"/>
      <c r="P26" s="38">
        <f t="shared" si="1"/>
        <v>0</v>
      </c>
      <c r="Q26" s="11"/>
      <c r="R26" s="11"/>
      <c r="S26" s="12">
        <f t="shared" si="2"/>
        <v>0</v>
      </c>
      <c r="T26" s="28">
        <f t="shared" si="3"/>
        <v>0</v>
      </c>
      <c r="U26" s="9"/>
      <c r="V26" s="9"/>
      <c r="W26" s="9"/>
      <c r="X26" s="9"/>
      <c r="Y26" s="9"/>
      <c r="Z26" s="10">
        <f t="shared" si="4"/>
        <v>0</v>
      </c>
      <c r="AA26" s="30">
        <f t="shared" si="5"/>
        <v>0</v>
      </c>
      <c r="AB26" s="60">
        <f t="shared" si="6"/>
        <v>0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5"/>
        <v>0</v>
      </c>
      <c r="AB27" s="60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>
        <f>212+80+128</f>
        <v>420</v>
      </c>
      <c r="K28" s="9">
        <f>543-126</f>
        <v>417</v>
      </c>
      <c r="L28" s="10">
        <f t="shared" si="0"/>
        <v>3</v>
      </c>
      <c r="M28" s="10"/>
      <c r="N28" s="10"/>
      <c r="O28" s="10"/>
      <c r="P28" s="38">
        <f t="shared" si="1"/>
        <v>99.285714285714292</v>
      </c>
      <c r="Q28" s="45">
        <v>17</v>
      </c>
      <c r="R28" s="45"/>
      <c r="S28" s="12">
        <f t="shared" si="2"/>
        <v>17</v>
      </c>
      <c r="T28" s="28">
        <f t="shared" si="3"/>
        <v>0</v>
      </c>
      <c r="U28" s="9">
        <v>10</v>
      </c>
      <c r="V28" s="9"/>
      <c r="W28" s="9"/>
      <c r="X28" s="9"/>
      <c r="Y28" s="9">
        <v>10</v>
      </c>
      <c r="Z28" s="10">
        <f t="shared" si="4"/>
        <v>20</v>
      </c>
      <c r="AA28" s="30">
        <f t="shared" si="5"/>
        <v>100</v>
      </c>
      <c r="AB28" s="60">
        <f>+(P28+AA28)/2</f>
        <v>99.642857142857139</v>
      </c>
      <c r="AC28" s="63" t="s">
        <v>1019</v>
      </c>
    </row>
    <row r="29" spans="1:29" ht="27.6" x14ac:dyDescent="0.3">
      <c r="A29" s="24" t="s">
        <v>35</v>
      </c>
      <c r="B29" s="24" t="s">
        <v>64</v>
      </c>
      <c r="C29" s="24" t="s">
        <v>694</v>
      </c>
      <c r="D29" s="23"/>
      <c r="E29" s="20"/>
      <c r="F29" s="21"/>
      <c r="G29" s="23"/>
      <c r="H29" s="23"/>
      <c r="I29" s="3" t="s">
        <v>114</v>
      </c>
      <c r="J29" s="9"/>
      <c r="K29" s="9"/>
      <c r="L29" s="10">
        <f t="shared" si="0"/>
        <v>0</v>
      </c>
      <c r="M29" s="10"/>
      <c r="N29" s="10"/>
      <c r="O29" s="10"/>
      <c r="P29" s="38">
        <f t="shared" si="1"/>
        <v>0</v>
      </c>
      <c r="Q29" s="11"/>
      <c r="R29" s="11"/>
      <c r="S29" s="12">
        <f t="shared" si="2"/>
        <v>0</v>
      </c>
      <c r="T29" s="28">
        <f t="shared" si="3"/>
        <v>0</v>
      </c>
      <c r="U29" s="9"/>
      <c r="V29" s="9"/>
      <c r="W29" s="9"/>
      <c r="X29" s="9"/>
      <c r="Y29" s="9"/>
      <c r="Z29" s="10">
        <f t="shared" si="4"/>
        <v>0</v>
      </c>
      <c r="AA29" s="30">
        <f t="shared" si="5"/>
        <v>0</v>
      </c>
      <c r="AB29" s="60">
        <f t="shared" si="6"/>
        <v>0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/>
      <c r="E30" s="20"/>
      <c r="F30" s="21"/>
      <c r="G30" s="23"/>
      <c r="H30" s="23"/>
      <c r="I30" s="3" t="s">
        <v>115</v>
      </c>
      <c r="J30" s="9"/>
      <c r="K30" s="9"/>
      <c r="L30" s="10">
        <f t="shared" si="0"/>
        <v>0</v>
      </c>
      <c r="M30" s="10"/>
      <c r="N30" s="10"/>
      <c r="O30" s="10"/>
      <c r="P30" s="38">
        <f t="shared" si="1"/>
        <v>0</v>
      </c>
      <c r="Q30" s="11"/>
      <c r="R30" s="11"/>
      <c r="S30" s="12">
        <f t="shared" si="2"/>
        <v>0</v>
      </c>
      <c r="T30" s="28">
        <f t="shared" si="3"/>
        <v>0</v>
      </c>
      <c r="U30" s="9"/>
      <c r="V30" s="9"/>
      <c r="W30" s="9"/>
      <c r="X30" s="9"/>
      <c r="Y30" s="9"/>
      <c r="Z30" s="10">
        <f t="shared" si="4"/>
        <v>0</v>
      </c>
      <c r="AA30" s="30">
        <f t="shared" si="5"/>
        <v>0</v>
      </c>
      <c r="AB30" s="60">
        <f t="shared" si="6"/>
        <v>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5"/>
        <v>0</v>
      </c>
      <c r="AB31" s="60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>
        <v>6</v>
      </c>
      <c r="K32" s="9">
        <v>6</v>
      </c>
      <c r="L32" s="10">
        <f t="shared" si="0"/>
        <v>0</v>
      </c>
      <c r="M32" s="10"/>
      <c r="N32" s="10"/>
      <c r="O32" s="10"/>
      <c r="P32" s="38">
        <f t="shared" si="1"/>
        <v>100</v>
      </c>
      <c r="Q32" s="45"/>
      <c r="R32" s="45"/>
      <c r="S32" s="12">
        <f t="shared" si="2"/>
        <v>0</v>
      </c>
      <c r="T32" s="28">
        <f t="shared" si="3"/>
        <v>0</v>
      </c>
      <c r="U32" s="9">
        <v>10</v>
      </c>
      <c r="V32" s="9"/>
      <c r="W32" s="9"/>
      <c r="X32" s="9"/>
      <c r="Y32" s="9">
        <v>10</v>
      </c>
      <c r="Z32" s="10">
        <f t="shared" si="4"/>
        <v>20</v>
      </c>
      <c r="AA32" s="30">
        <f t="shared" si="5"/>
        <v>100</v>
      </c>
      <c r="AB32" s="60">
        <f>+(P32+AA32)/2</f>
        <v>100</v>
      </c>
      <c r="AC32" s="63"/>
    </row>
    <row r="33" spans="1:29" ht="27.6" x14ac:dyDescent="0.3">
      <c r="A33" s="24" t="s">
        <v>36</v>
      </c>
      <c r="B33" s="24" t="s">
        <v>35</v>
      </c>
      <c r="C33" s="24" t="s">
        <v>694</v>
      </c>
      <c r="D33" s="23"/>
      <c r="E33" s="20"/>
      <c r="F33" s="21"/>
      <c r="G33" s="23"/>
      <c r="H33" s="23"/>
      <c r="I33" s="3" t="s">
        <v>127</v>
      </c>
      <c r="J33" s="9"/>
      <c r="K33" s="9"/>
      <c r="L33" s="10">
        <f t="shared" si="0"/>
        <v>0</v>
      </c>
      <c r="M33" s="10"/>
      <c r="N33" s="10"/>
      <c r="O33" s="10"/>
      <c r="P33" s="38">
        <f t="shared" si="1"/>
        <v>0</v>
      </c>
      <c r="Q33" s="11"/>
      <c r="R33" s="11"/>
      <c r="S33" s="12">
        <f t="shared" si="2"/>
        <v>0</v>
      </c>
      <c r="T33" s="28">
        <f t="shared" si="3"/>
        <v>0</v>
      </c>
      <c r="U33" s="9"/>
      <c r="V33" s="9"/>
      <c r="W33" s="9"/>
      <c r="X33" s="9"/>
      <c r="Y33" s="9"/>
      <c r="Z33" s="10">
        <f t="shared" si="4"/>
        <v>0</v>
      </c>
      <c r="AA33" s="30">
        <f t="shared" si="5"/>
        <v>0</v>
      </c>
      <c r="AB33" s="60">
        <f t="shared" si="6"/>
        <v>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2</v>
      </c>
      <c r="K34" s="9">
        <v>1</v>
      </c>
      <c r="L34" s="10">
        <f t="shared" si="0"/>
        <v>1</v>
      </c>
      <c r="M34" s="10"/>
      <c r="N34" s="10"/>
      <c r="O34" s="10"/>
      <c r="P34" s="38">
        <f t="shared" si="1"/>
        <v>50</v>
      </c>
      <c r="Q34" s="45"/>
      <c r="R34" s="45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si="4"/>
        <v>20</v>
      </c>
      <c r="AA34" s="30">
        <f t="shared" si="5"/>
        <v>100</v>
      </c>
      <c r="AB34" s="60">
        <f t="shared" ref="AB34:AB35" si="8">+(P34+AA34)/2</f>
        <v>75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>
        <v>16</v>
      </c>
      <c r="K35" s="9">
        <v>15</v>
      </c>
      <c r="L35" s="10">
        <f t="shared" si="0"/>
        <v>1</v>
      </c>
      <c r="M35" s="10"/>
      <c r="N35" s="10"/>
      <c r="O35" s="10"/>
      <c r="P35" s="38">
        <f t="shared" si="1"/>
        <v>93.75</v>
      </c>
      <c r="Q35" s="45"/>
      <c r="R35" s="45"/>
      <c r="S35" s="12">
        <f t="shared" si="2"/>
        <v>0</v>
      </c>
      <c r="T35" s="28">
        <f t="shared" si="3"/>
        <v>0</v>
      </c>
      <c r="U35" s="9">
        <v>9</v>
      </c>
      <c r="V35" s="9"/>
      <c r="W35" s="9"/>
      <c r="X35" s="9"/>
      <c r="Y35" s="9">
        <v>10</v>
      </c>
      <c r="Z35" s="10">
        <f t="shared" si="4"/>
        <v>19</v>
      </c>
      <c r="AA35" s="30">
        <f t="shared" si="5"/>
        <v>95</v>
      </c>
      <c r="AB35" s="60">
        <f t="shared" si="8"/>
        <v>94.375</v>
      </c>
      <c r="AC35" s="63" t="s">
        <v>1020</v>
      </c>
    </row>
    <row r="36" spans="1:29" ht="41.4" x14ac:dyDescent="0.3">
      <c r="A36" s="24" t="s">
        <v>36</v>
      </c>
      <c r="B36" s="24" t="s">
        <v>35</v>
      </c>
      <c r="C36" s="24" t="s">
        <v>694</v>
      </c>
      <c r="D36" s="23"/>
      <c r="E36" s="20"/>
      <c r="F36" s="21"/>
      <c r="G36" s="23"/>
      <c r="H36" s="23"/>
      <c r="I36" s="3" t="s">
        <v>130</v>
      </c>
      <c r="J36" s="9"/>
      <c r="K36" s="9"/>
      <c r="L36" s="10">
        <f t="shared" si="0"/>
        <v>0</v>
      </c>
      <c r="M36" s="10"/>
      <c r="N36" s="10"/>
      <c r="O36" s="10"/>
      <c r="P36" s="38">
        <f t="shared" si="1"/>
        <v>0</v>
      </c>
      <c r="Q36" s="11"/>
      <c r="R36" s="11"/>
      <c r="S36" s="12">
        <f t="shared" si="2"/>
        <v>0</v>
      </c>
      <c r="T36" s="28">
        <f t="shared" si="3"/>
        <v>0</v>
      </c>
      <c r="U36" s="9"/>
      <c r="V36" s="9"/>
      <c r="W36" s="9"/>
      <c r="X36" s="9"/>
      <c r="Y36" s="9"/>
      <c r="Z36" s="10">
        <f t="shared" si="4"/>
        <v>0</v>
      </c>
      <c r="AA36" s="30">
        <f t="shared" si="5"/>
        <v>0</v>
      </c>
      <c r="AB36" s="60">
        <f t="shared" si="6"/>
        <v>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2</v>
      </c>
      <c r="K37" s="9">
        <v>1</v>
      </c>
      <c r="L37" s="10">
        <f t="shared" si="0"/>
        <v>1</v>
      </c>
      <c r="M37" s="10"/>
      <c r="N37" s="10"/>
      <c r="O37" s="10"/>
      <c r="P37" s="38">
        <f t="shared" si="1"/>
        <v>50</v>
      </c>
      <c r="Q37" s="45"/>
      <c r="R37" s="45"/>
      <c r="S37" s="12">
        <f t="shared" si="2"/>
        <v>0</v>
      </c>
      <c r="T37" s="28">
        <f t="shared" si="3"/>
        <v>0</v>
      </c>
      <c r="U37" s="9">
        <v>5</v>
      </c>
      <c r="V37" s="9"/>
      <c r="W37" s="9"/>
      <c r="X37" s="9"/>
      <c r="Y37" s="9">
        <v>10</v>
      </c>
      <c r="Z37" s="10">
        <f t="shared" si="4"/>
        <v>15</v>
      </c>
      <c r="AA37" s="30">
        <f t="shared" si="5"/>
        <v>75</v>
      </c>
      <c r="AB37" s="60">
        <f>+(P37+AA37)/2</f>
        <v>62.5</v>
      </c>
      <c r="AC37" s="63" t="s">
        <v>1021</v>
      </c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5"/>
        <v>0</v>
      </c>
      <c r="AB38" s="60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/>
      <c r="E39" s="20"/>
      <c r="F39" s="21"/>
      <c r="G39" s="23"/>
      <c r="H39" s="23"/>
      <c r="I39" s="3" t="s">
        <v>155</v>
      </c>
      <c r="J39" s="9">
        <v>1</v>
      </c>
      <c r="K39" s="9">
        <v>1</v>
      </c>
      <c r="L39" s="10">
        <f t="shared" si="0"/>
        <v>0</v>
      </c>
      <c r="M39" s="10"/>
      <c r="N39" s="10"/>
      <c r="O39" s="10"/>
      <c r="P39" s="38">
        <f t="shared" si="1"/>
        <v>100</v>
      </c>
      <c r="Q39" s="45"/>
      <c r="R39" s="45"/>
      <c r="S39" s="12">
        <f t="shared" si="2"/>
        <v>0</v>
      </c>
      <c r="T39" s="28">
        <f t="shared" si="3"/>
        <v>0</v>
      </c>
      <c r="U39" s="9"/>
      <c r="V39" s="9"/>
      <c r="W39" s="9"/>
      <c r="X39" s="9"/>
      <c r="Y39" s="9"/>
      <c r="Z39" s="10">
        <f t="shared" si="4"/>
        <v>0</v>
      </c>
      <c r="AA39" s="30">
        <f t="shared" si="5"/>
        <v>0</v>
      </c>
      <c r="AB39" s="60">
        <f>+(P39+AA39)/2</f>
        <v>50</v>
      </c>
      <c r="AC39" s="63"/>
    </row>
    <row r="40" spans="1:29" ht="27.6" x14ac:dyDescent="0.3">
      <c r="A40" s="24" t="s">
        <v>84</v>
      </c>
      <c r="B40" s="24" t="s">
        <v>35</v>
      </c>
      <c r="C40" s="24" t="s">
        <v>694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5"/>
        <v>0</v>
      </c>
      <c r="AB40" s="60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5"/>
        <v>0</v>
      </c>
      <c r="AB41" s="60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>
        <v>1</v>
      </c>
      <c r="K42" s="9">
        <v>1</v>
      </c>
      <c r="L42" s="10">
        <f t="shared" si="0"/>
        <v>0</v>
      </c>
      <c r="M42" s="10"/>
      <c r="N42" s="10"/>
      <c r="O42" s="10"/>
      <c r="P42" s="38">
        <f t="shared" si="1"/>
        <v>100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 t="shared" si="4"/>
        <v>0</v>
      </c>
      <c r="AA42" s="30">
        <f t="shared" si="5"/>
        <v>0</v>
      </c>
      <c r="AB42" s="60">
        <f t="shared" si="6"/>
        <v>33.333333333333336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5"/>
        <v>0</v>
      </c>
      <c r="AB43" s="60">
        <f t="shared" si="6"/>
        <v>0</v>
      </c>
      <c r="AC43" s="64"/>
    </row>
    <row r="44" spans="1:29" ht="78.599999999999994" customHeight="1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>
        <v>0</v>
      </c>
      <c r="K44" s="9">
        <v>0</v>
      </c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si="4"/>
        <v>0</v>
      </c>
      <c r="AA44" s="30">
        <f t="shared" si="5"/>
        <v>0</v>
      </c>
      <c r="AB44" s="60">
        <f t="shared" si="6"/>
        <v>0</v>
      </c>
      <c r="AC44" s="63" t="s">
        <v>1022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>
        <v>20</v>
      </c>
      <c r="K45" s="9">
        <v>15</v>
      </c>
      <c r="L45" s="10">
        <f t="shared" si="0"/>
        <v>5</v>
      </c>
      <c r="M45" s="10"/>
      <c r="N45" s="10">
        <v>5</v>
      </c>
      <c r="O45" s="10"/>
      <c r="P45" s="38">
        <f t="shared" si="1"/>
        <v>75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4"/>
        <v>0</v>
      </c>
      <c r="AA45" s="30">
        <f t="shared" si="5"/>
        <v>0</v>
      </c>
      <c r="AB45" s="60">
        <f t="shared" si="6"/>
        <v>25</v>
      </c>
      <c r="AC45" s="63"/>
    </row>
    <row r="46" spans="1:29" ht="41.4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1023</v>
      </c>
      <c r="J46" s="9">
        <v>50</v>
      </c>
      <c r="K46" s="9">
        <v>48</v>
      </c>
      <c r="L46" s="10">
        <f t="shared" si="0"/>
        <v>2</v>
      </c>
      <c r="M46" s="10"/>
      <c r="N46" s="10">
        <v>2</v>
      </c>
      <c r="O46" s="10">
        <v>0</v>
      </c>
      <c r="P46" s="38">
        <f t="shared" si="1"/>
        <v>96</v>
      </c>
      <c r="Q46" s="45"/>
      <c r="R46" s="45"/>
      <c r="S46" s="12">
        <f t="shared" si="2"/>
        <v>0</v>
      </c>
      <c r="T46" s="44">
        <f t="shared" si="3"/>
        <v>0</v>
      </c>
      <c r="U46" s="9">
        <v>2</v>
      </c>
      <c r="V46" s="9"/>
      <c r="W46" s="9"/>
      <c r="X46" s="9"/>
      <c r="Y46" s="9"/>
      <c r="Z46" s="10">
        <f t="shared" si="4"/>
        <v>2</v>
      </c>
      <c r="AA46" s="30">
        <f t="shared" si="5"/>
        <v>10</v>
      </c>
      <c r="AB46" s="60">
        <f t="shared" si="6"/>
        <v>35.333333333333336</v>
      </c>
      <c r="AC46" s="63"/>
    </row>
    <row r="47" spans="1:29" ht="41.4" x14ac:dyDescent="0.3">
      <c r="A47" s="24" t="s">
        <v>103</v>
      </c>
      <c r="B47" s="24"/>
      <c r="C47" s="24" t="s">
        <v>863</v>
      </c>
      <c r="D47" s="23" t="s">
        <v>862</v>
      </c>
      <c r="E47" s="20"/>
      <c r="F47" s="21"/>
      <c r="G47" s="23"/>
      <c r="H47" s="23"/>
      <c r="I47" s="3" t="s">
        <v>1024</v>
      </c>
      <c r="J47" s="9">
        <v>101</v>
      </c>
      <c r="K47" s="9">
        <v>100</v>
      </c>
      <c r="L47" s="10">
        <f t="shared" si="0"/>
        <v>1</v>
      </c>
      <c r="M47" s="10"/>
      <c r="N47" s="10">
        <v>1</v>
      </c>
      <c r="O47" s="10"/>
      <c r="P47" s="38">
        <f t="shared" si="1"/>
        <v>99.009900990099013</v>
      </c>
      <c r="Q47" s="45"/>
      <c r="R47" s="45"/>
      <c r="S47" s="12"/>
      <c r="T47" s="44"/>
      <c r="U47" s="9">
        <v>0</v>
      </c>
      <c r="V47" s="9"/>
      <c r="W47" s="9"/>
      <c r="X47" s="9"/>
      <c r="Y47" s="9"/>
      <c r="Z47" s="10">
        <f>SUM(U47:Y47)</f>
        <v>0</v>
      </c>
      <c r="AA47" s="30">
        <f t="shared" si="5"/>
        <v>0</v>
      </c>
      <c r="AB47" s="60"/>
      <c r="AC47" s="63"/>
    </row>
    <row r="48" spans="1:29" ht="27.6" x14ac:dyDescent="0.3">
      <c r="A48" s="24" t="s">
        <v>103</v>
      </c>
      <c r="B48" s="24" t="s">
        <v>84</v>
      </c>
      <c r="C48" s="24" t="s">
        <v>863</v>
      </c>
      <c r="D48" s="23" t="s">
        <v>862</v>
      </c>
      <c r="E48" s="20"/>
      <c r="F48" s="21"/>
      <c r="G48" s="23"/>
      <c r="H48" s="23"/>
      <c r="I48" s="3" t="s">
        <v>174</v>
      </c>
      <c r="J48" s="9">
        <v>1</v>
      </c>
      <c r="K48" s="9">
        <v>0</v>
      </c>
      <c r="L48" s="10">
        <f t="shared" ref="L48:L51" si="9">+J48-K48</f>
        <v>1</v>
      </c>
      <c r="M48" s="10"/>
      <c r="N48" s="10"/>
      <c r="O48" s="10">
        <v>0</v>
      </c>
      <c r="P48" s="38">
        <f t="shared" ref="P48:P51" si="10">IFERROR(IF(7&lt;&gt;0, K48*100/J48, IF(J48=K48, K48*100/J48, 0)), 0)</f>
        <v>0</v>
      </c>
      <c r="Q48" s="45"/>
      <c r="R48" s="45"/>
      <c r="S48" s="12">
        <f t="shared" ref="S48:S51" si="11">+Q48-R48</f>
        <v>0</v>
      </c>
      <c r="T48" s="44">
        <f t="shared" ref="T48:T51" si="12">IFERROR(IF(S48&lt;&gt;0, Q48*100/R48, IF(Q48=R48, Q48*100/R48, 0)), 0)</f>
        <v>0</v>
      </c>
      <c r="U48" s="9"/>
      <c r="V48" s="9"/>
      <c r="W48" s="9"/>
      <c r="X48" s="9"/>
      <c r="Y48" s="9"/>
      <c r="Z48" s="10">
        <f t="shared" ref="Z48:Z51" si="13">SUM(U48:Y48)</f>
        <v>0</v>
      </c>
      <c r="AA48" s="30">
        <f t="shared" si="5"/>
        <v>0</v>
      </c>
      <c r="AB48" s="60">
        <f t="shared" ref="AB48:AB51" si="14">+(T48+P48+AA48)/3</f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1012</v>
      </c>
      <c r="J49" s="9">
        <v>60</v>
      </c>
      <c r="K49" s="9">
        <v>60</v>
      </c>
      <c r="L49" s="10">
        <f t="shared" si="9"/>
        <v>0</v>
      </c>
      <c r="M49" s="10"/>
      <c r="N49" s="10"/>
      <c r="O49" s="10">
        <v>0</v>
      </c>
      <c r="P49" s="38">
        <f t="shared" si="10"/>
        <v>100</v>
      </c>
      <c r="Q49" s="45"/>
      <c r="R49" s="45"/>
      <c r="S49" s="12">
        <f t="shared" si="11"/>
        <v>0</v>
      </c>
      <c r="T49" s="44">
        <f t="shared" si="12"/>
        <v>0</v>
      </c>
      <c r="U49" s="9"/>
      <c r="V49" s="9"/>
      <c r="W49" s="9"/>
      <c r="X49" s="9"/>
      <c r="Y49" s="9"/>
      <c r="Z49" s="10">
        <f t="shared" si="13"/>
        <v>0</v>
      </c>
      <c r="AA49" s="30">
        <f t="shared" si="5"/>
        <v>0</v>
      </c>
      <c r="AB49" s="60">
        <f t="shared" si="14"/>
        <v>33.333333333333336</v>
      </c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1013</v>
      </c>
      <c r="J50" s="9">
        <v>28</v>
      </c>
      <c r="K50" s="9">
        <v>28</v>
      </c>
      <c r="L50" s="10">
        <f t="shared" si="9"/>
        <v>0</v>
      </c>
      <c r="M50" s="10"/>
      <c r="N50" s="10"/>
      <c r="O50" s="10">
        <v>0</v>
      </c>
      <c r="P50" s="38">
        <f t="shared" si="10"/>
        <v>100</v>
      </c>
      <c r="Q50" s="45"/>
      <c r="R50" s="45"/>
      <c r="S50" s="12">
        <f t="shared" si="11"/>
        <v>0</v>
      </c>
      <c r="T50" s="44">
        <f t="shared" si="12"/>
        <v>0</v>
      </c>
      <c r="U50" s="9"/>
      <c r="V50" s="9"/>
      <c r="W50" s="9"/>
      <c r="X50" s="9"/>
      <c r="Y50" s="9"/>
      <c r="Z50" s="10">
        <f t="shared" si="13"/>
        <v>0</v>
      </c>
      <c r="AA50" s="30">
        <f t="shared" si="5"/>
        <v>0</v>
      </c>
      <c r="AB50" s="60">
        <f t="shared" si="14"/>
        <v>33.333333333333336</v>
      </c>
      <c r="AC50" s="63"/>
    </row>
    <row r="51" spans="1:29" ht="27.6" x14ac:dyDescent="0.3">
      <c r="A51" s="24" t="s">
        <v>103</v>
      </c>
      <c r="B51" s="24"/>
      <c r="C51" s="24" t="s">
        <v>863</v>
      </c>
      <c r="D51" s="23" t="s">
        <v>862</v>
      </c>
      <c r="E51" s="20"/>
      <c r="F51" s="21"/>
      <c r="G51" s="23"/>
      <c r="H51" s="23"/>
      <c r="I51" s="3" t="s">
        <v>1014</v>
      </c>
      <c r="J51" s="9">
        <v>70</v>
      </c>
      <c r="K51" s="9">
        <v>21</v>
      </c>
      <c r="L51" s="10">
        <f t="shared" si="9"/>
        <v>49</v>
      </c>
      <c r="M51" s="10"/>
      <c r="N51" s="10"/>
      <c r="O51" s="10">
        <v>0</v>
      </c>
      <c r="P51" s="38">
        <f t="shared" si="10"/>
        <v>30</v>
      </c>
      <c r="Q51" s="45"/>
      <c r="R51" s="45"/>
      <c r="S51" s="12">
        <f t="shared" si="11"/>
        <v>0</v>
      </c>
      <c r="T51" s="44">
        <f t="shared" si="12"/>
        <v>0</v>
      </c>
      <c r="U51" s="9"/>
      <c r="V51" s="9"/>
      <c r="W51" s="9"/>
      <c r="X51" s="9"/>
      <c r="Y51" s="9"/>
      <c r="Z51" s="10">
        <f t="shared" si="13"/>
        <v>0</v>
      </c>
      <c r="AA51" s="30">
        <f t="shared" si="5"/>
        <v>0</v>
      </c>
      <c r="AB51" s="60">
        <f t="shared" si="14"/>
        <v>10</v>
      </c>
      <c r="AC51" s="63"/>
    </row>
    <row r="52" spans="1:29" ht="27.6" x14ac:dyDescent="0.3">
      <c r="A52" s="24" t="s">
        <v>103</v>
      </c>
      <c r="B52" s="24" t="s">
        <v>36</v>
      </c>
      <c r="C52" s="24" t="s">
        <v>863</v>
      </c>
      <c r="D52" s="23"/>
      <c r="E52" s="20"/>
      <c r="F52" s="21"/>
      <c r="G52" s="23"/>
      <c r="H52" s="23"/>
      <c r="I52" s="3" t="s">
        <v>179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5"/>
        <v>0</v>
      </c>
      <c r="AB52" s="60">
        <f t="shared" si="6"/>
        <v>0</v>
      </c>
      <c r="AC52" s="64"/>
    </row>
    <row r="53" spans="1:29" ht="27.6" x14ac:dyDescent="0.3">
      <c r="A53" s="24" t="s">
        <v>103</v>
      </c>
      <c r="B53" s="24" t="s">
        <v>35</v>
      </c>
      <c r="C53" s="24" t="s">
        <v>863</v>
      </c>
      <c r="D53" s="23"/>
      <c r="E53" s="20"/>
      <c r="F53" s="21"/>
      <c r="G53" s="23"/>
      <c r="H53" s="23"/>
      <c r="I53" s="3" t="s">
        <v>181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 t="shared" si="4"/>
        <v>0</v>
      </c>
      <c r="AA53" s="30">
        <f t="shared" si="5"/>
        <v>0</v>
      </c>
      <c r="AB53" s="60">
        <f t="shared" si="6"/>
        <v>0</v>
      </c>
      <c r="AC53" s="64"/>
    </row>
    <row r="54" spans="1:29" ht="41.4" x14ac:dyDescent="0.3">
      <c r="A54" s="24" t="s">
        <v>105</v>
      </c>
      <c r="B54" s="24" t="s">
        <v>35</v>
      </c>
      <c r="C54" s="24" t="s">
        <v>831</v>
      </c>
      <c r="D54" s="23" t="s">
        <v>862</v>
      </c>
      <c r="E54" s="20"/>
      <c r="F54" s="21"/>
      <c r="G54" s="23"/>
      <c r="H54" s="23"/>
      <c r="I54" s="3" t="s">
        <v>189</v>
      </c>
      <c r="J54" s="9">
        <f>9+3+3</f>
        <v>15</v>
      </c>
      <c r="K54" s="9">
        <v>15</v>
      </c>
      <c r="L54" s="10">
        <f t="shared" ref="L54" si="15">+J54-K54</f>
        <v>0</v>
      </c>
      <c r="M54" s="10"/>
      <c r="N54" s="10"/>
      <c r="O54" s="10"/>
      <c r="P54" s="38">
        <f t="shared" ref="P54" si="16">IFERROR(IF(7&lt;&gt;0, K54*100/J54, IF(J54=K54, K54*100/J54, 0)), 0)</f>
        <v>100</v>
      </c>
      <c r="Q54" s="45"/>
      <c r="R54" s="45"/>
      <c r="S54" s="12">
        <f t="shared" ref="S54" si="17">+Q54-R54</f>
        <v>0</v>
      </c>
      <c r="T54" s="44">
        <f t="shared" ref="T54" si="18">IFERROR(IF(S54&lt;&gt;0, Q54*100/R54, IF(Q54=R54, Q54*100/R54, 0)), 0)</f>
        <v>0</v>
      </c>
      <c r="U54" s="9"/>
      <c r="V54" s="9"/>
      <c r="W54" s="9"/>
      <c r="X54" s="9"/>
      <c r="Y54" s="9"/>
      <c r="Z54" s="10">
        <f t="shared" ref="Z54" si="19">SUM(U54:Y54)</f>
        <v>0</v>
      </c>
      <c r="AA54" s="30">
        <f t="shared" si="5"/>
        <v>0</v>
      </c>
      <c r="AB54" s="60">
        <f>+(P54+AA54)/2</f>
        <v>50</v>
      </c>
      <c r="AC54" s="63" t="s">
        <v>1015</v>
      </c>
    </row>
    <row r="55" spans="1:29" ht="41.4" x14ac:dyDescent="0.3">
      <c r="A55" s="24" t="s">
        <v>105</v>
      </c>
      <c r="B55" s="24" t="s">
        <v>35</v>
      </c>
      <c r="C55" s="24" t="s">
        <v>694</v>
      </c>
      <c r="D55" s="23"/>
      <c r="E55" s="20"/>
      <c r="F55" s="21"/>
      <c r="G55" s="23"/>
      <c r="H55" s="23"/>
      <c r="I55" s="3" t="s">
        <v>190</v>
      </c>
      <c r="J55" s="9"/>
      <c r="K55" s="9"/>
      <c r="L55" s="10">
        <f t="shared" si="0"/>
        <v>0</v>
      </c>
      <c r="M55" s="10"/>
      <c r="N55" s="10"/>
      <c r="O55" s="10"/>
      <c r="P55" s="38">
        <f t="shared" si="1"/>
        <v>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si="4"/>
        <v>0</v>
      </c>
      <c r="AA55" s="30">
        <f t="shared" si="5"/>
        <v>0</v>
      </c>
      <c r="AB55" s="60">
        <f t="shared" si="6"/>
        <v>0</v>
      </c>
      <c r="AC55" s="64"/>
    </row>
    <row r="56" spans="1:29" ht="41.4" x14ac:dyDescent="0.3">
      <c r="A56" s="24" t="s">
        <v>105</v>
      </c>
      <c r="B56" s="24" t="s">
        <v>35</v>
      </c>
      <c r="C56" s="24" t="s">
        <v>853</v>
      </c>
      <c r="D56" s="23" t="s">
        <v>862</v>
      </c>
      <c r="E56" s="20"/>
      <c r="F56" s="21"/>
      <c r="G56" s="23"/>
      <c r="H56" s="23"/>
      <c r="I56" s="3" t="s">
        <v>191</v>
      </c>
      <c r="J56" s="9">
        <v>2</v>
      </c>
      <c r="K56" s="9">
        <v>2</v>
      </c>
      <c r="L56" s="10">
        <f t="shared" ref="L56:L57" si="20">+J56-K56</f>
        <v>0</v>
      </c>
      <c r="M56" s="10"/>
      <c r="N56" s="10"/>
      <c r="O56" s="10"/>
      <c r="P56" s="38">
        <f t="shared" ref="P56:P57" si="21">IFERROR(IF(7&lt;&gt;0, K56*100/J56, IF(J56=K56, K56*100/J56, 0)), 0)</f>
        <v>100</v>
      </c>
      <c r="Q56" s="45"/>
      <c r="R56" s="45"/>
      <c r="S56" s="12">
        <f t="shared" ref="S56:S57" si="22">+Q56-R56</f>
        <v>0</v>
      </c>
      <c r="T56" s="44">
        <f t="shared" ref="T56:T57" si="23">IFERROR(IF(S56&lt;&gt;0, Q56*100/R56, IF(Q56=R56, Q56*100/R56, 0)), 0)</f>
        <v>0</v>
      </c>
      <c r="U56" s="9"/>
      <c r="V56" s="9"/>
      <c r="W56" s="9"/>
      <c r="X56" s="9"/>
      <c r="Y56" s="9"/>
      <c r="Z56" s="10">
        <f t="shared" ref="Z56:Z57" si="24">SUM(U56:Y56)</f>
        <v>0</v>
      </c>
      <c r="AA56" s="30">
        <f t="shared" si="5"/>
        <v>0</v>
      </c>
      <c r="AB56" s="60">
        <f>+(P56+AA56)/2</f>
        <v>50</v>
      </c>
      <c r="AC56" s="63" t="s">
        <v>1015</v>
      </c>
    </row>
    <row r="57" spans="1:29" ht="33.6" customHeight="1" x14ac:dyDescent="0.3">
      <c r="A57" s="24" t="s">
        <v>105</v>
      </c>
      <c r="B57" s="24"/>
      <c r="C57" s="24" t="s">
        <v>95</v>
      </c>
      <c r="D57" s="23"/>
      <c r="E57" s="20"/>
      <c r="F57" s="21"/>
      <c r="G57" s="23"/>
      <c r="H57" s="23"/>
      <c r="I57" s="3" t="s">
        <v>193</v>
      </c>
      <c r="J57" s="9"/>
      <c r="K57" s="9"/>
      <c r="L57" s="10">
        <f t="shared" si="20"/>
        <v>0</v>
      </c>
      <c r="M57" s="10"/>
      <c r="N57" s="10"/>
      <c r="O57" s="10">
        <v>0</v>
      </c>
      <c r="P57" s="38">
        <f t="shared" si="21"/>
        <v>0</v>
      </c>
      <c r="Q57" s="45"/>
      <c r="R57" s="45"/>
      <c r="S57" s="12">
        <f t="shared" si="22"/>
        <v>0</v>
      </c>
      <c r="T57" s="44">
        <f t="shared" si="23"/>
        <v>0</v>
      </c>
      <c r="U57" s="9"/>
      <c r="V57" s="9"/>
      <c r="W57" s="9"/>
      <c r="X57" s="9"/>
      <c r="Y57" s="9"/>
      <c r="Z57" s="10">
        <f t="shared" si="24"/>
        <v>0</v>
      </c>
      <c r="AA57" s="30">
        <f t="shared" si="5"/>
        <v>0</v>
      </c>
      <c r="AB57" s="60">
        <f t="shared" ref="AB57" si="25">+(T57+P57+AA57)/3</f>
        <v>0</v>
      </c>
      <c r="AC57" s="63"/>
    </row>
    <row r="58" spans="1:29" ht="27.6" x14ac:dyDescent="0.3">
      <c r="A58" s="24" t="s">
        <v>182</v>
      </c>
      <c r="B58" s="24"/>
      <c r="C58" s="24" t="s">
        <v>95</v>
      </c>
      <c r="D58" s="23"/>
      <c r="E58" s="20"/>
      <c r="F58" s="21"/>
      <c r="G58" s="23"/>
      <c r="H58" s="23"/>
      <c r="I58" s="3" t="s">
        <v>203</v>
      </c>
      <c r="J58" s="9"/>
      <c r="K58" s="9"/>
      <c r="L58" s="10">
        <f t="shared" si="0"/>
        <v>0</v>
      </c>
      <c r="M58" s="10"/>
      <c r="N58" s="10"/>
      <c r="O58" s="10"/>
      <c r="P58" s="38">
        <f t="shared" si="1"/>
        <v>0</v>
      </c>
      <c r="Q58" s="11"/>
      <c r="R58" s="11"/>
      <c r="S58" s="12">
        <f t="shared" si="2"/>
        <v>0</v>
      </c>
      <c r="T58" s="28">
        <f t="shared" si="3"/>
        <v>0</v>
      </c>
      <c r="U58" s="9"/>
      <c r="V58" s="9"/>
      <c r="W58" s="9"/>
      <c r="X58" s="9"/>
      <c r="Y58" s="9"/>
      <c r="Z58" s="10">
        <f t="shared" si="4"/>
        <v>0</v>
      </c>
      <c r="AA58" s="30">
        <f t="shared" si="5"/>
        <v>0</v>
      </c>
      <c r="AB58" s="60">
        <f t="shared" si="6"/>
        <v>0</v>
      </c>
      <c r="AC58" s="64"/>
    </row>
    <row r="59" spans="1:29" ht="15" customHeight="1" x14ac:dyDescent="0.3">
      <c r="A59" s="71" t="s">
        <v>1016</v>
      </c>
      <c r="B59" s="56" t="s">
        <v>1016</v>
      </c>
      <c r="C59" s="72" t="s">
        <v>1016</v>
      </c>
      <c r="D59" s="72" t="s">
        <v>1016</v>
      </c>
      <c r="E59" s="56"/>
      <c r="F59" s="56"/>
      <c r="G59" s="56"/>
      <c r="H59" s="56"/>
      <c r="I59" s="57"/>
      <c r="J59" s="57">
        <f>SUM(J11:J56)</f>
        <v>928</v>
      </c>
      <c r="K59" s="57">
        <f>SUM(K11:K56)</f>
        <v>841</v>
      </c>
      <c r="L59" s="58">
        <f>+J59-K59</f>
        <v>87</v>
      </c>
      <c r="M59" s="43"/>
      <c r="N59" s="43"/>
      <c r="O59" s="43"/>
      <c r="P59" s="33">
        <f>(K59*100)/J59</f>
        <v>90.625</v>
      </c>
      <c r="Q59" s="122"/>
      <c r="R59" s="123"/>
      <c r="S59" s="124"/>
      <c r="T59" s="33">
        <f t="shared" ref="T59:X59" si="26">AVERAGEIF(T10:T58,"&gt;0")</f>
        <v>126.65441176470588</v>
      </c>
      <c r="U59" s="33">
        <f t="shared" si="26"/>
        <v>7.8</v>
      </c>
      <c r="V59" s="33" t="e">
        <f t="shared" si="26"/>
        <v>#DIV/0!</v>
      </c>
      <c r="W59" s="33" t="e">
        <f t="shared" si="26"/>
        <v>#DIV/0!</v>
      </c>
      <c r="X59" s="33" t="e">
        <f t="shared" si="26"/>
        <v>#DIV/0!</v>
      </c>
      <c r="Y59" s="69">
        <f>AVERAGEIF(Y11:Y56,"&gt;0")</f>
        <v>9.25</v>
      </c>
      <c r="Z59" s="70">
        <f>+U59+Y59</f>
        <v>17.05</v>
      </c>
      <c r="AA59" s="33">
        <f>(Z59*100)/20</f>
        <v>85.25</v>
      </c>
      <c r="AB59" s="61"/>
      <c r="AC59" s="65"/>
    </row>
  </sheetData>
  <autoFilter ref="A9:AC59" xr:uid="{9544E8F0-E2D2-41CA-95B6-0D361695E69E}"/>
  <mergeCells count="18">
    <mergeCell ref="A7:C7"/>
    <mergeCell ref="D7:D8"/>
    <mergeCell ref="E7:G7"/>
    <mergeCell ref="I7:I8"/>
    <mergeCell ref="J7:P7"/>
    <mergeCell ref="U7:AA7"/>
    <mergeCell ref="AB7:AB8"/>
    <mergeCell ref="AC7:AC8"/>
    <mergeCell ref="Q59:S59"/>
    <mergeCell ref="Q7:T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F10:G58" xr:uid="{7E4B5DBB-5EE1-480F-A1D7-97910CD8C55B}">
      <formula1>INDIRECT(E10)</formula1>
    </dataValidation>
  </dataValidations>
  <pageMargins left="0.7" right="0.7" top="0.75" bottom="0.75" header="0.3" footer="0.3"/>
  <pageSetup scale="62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5FB2A76C-724F-4B61-8AC9-2104CE13A863}">
          <x14:formula1>
            <xm:f>'Lista desplegable'!$A$2:$A$16</xm:f>
          </x14:formula1>
          <xm:sqref>E10:E58</xm:sqref>
        </x14:dataValidation>
        <x14:dataValidation type="list" allowBlank="1" showInputMessage="1" showErrorMessage="1" xr:uid="{60368530-7A4E-4846-AF0B-1786CCDAD6BB}">
          <x14:formula1>
            <xm:f>'Lista desplegable'!$C$44:$C$54</xm:f>
          </x14:formula1>
          <xm:sqref>A10:B58</xm:sqref>
        </x14:dataValidation>
        <x14:dataValidation type="list" allowBlank="1" showInputMessage="1" showErrorMessage="1" xr:uid="{3C33178A-DB7B-4E26-85A3-E7882D64C3FA}">
          <x14:formula1>
            <xm:f>'Lista desplegable'!$C$12:$C$28</xm:f>
          </x14:formula1>
          <xm:sqref>C10:C58</xm:sqref>
        </x14:dataValidation>
        <x14:dataValidation type="list" allowBlank="1" showInputMessage="1" showErrorMessage="1" xr:uid="{4A32933E-5CA7-4438-A4A0-C6BB2BC25904}">
          <x14:formula1>
            <xm:f>'Lista desplegable'!$D$11:$D$21</xm:f>
          </x14:formula1>
          <xm:sqref>U10:Y58</xm:sqref>
        </x14:dataValidation>
        <x14:dataValidation type="list" allowBlank="1" showInputMessage="1" showErrorMessage="1" xr:uid="{F57F639D-1FE8-4D99-A30C-B70C6C8BDC4F}">
          <x14:formula1>
            <xm:f>'Lista desplegable'!$D$12:$D$31</xm:f>
          </x14:formula1>
          <xm:sqref>H10:H58</xm:sqref>
        </x14:dataValidation>
        <x14:dataValidation type="list" allowBlank="1" showInputMessage="1" showErrorMessage="1" xr:uid="{519EC37E-EB9C-4343-A674-FE265C1F7713}">
          <x14:formula1>
            <xm:f>'Lista desplegable'!$B$13:$B$28</xm:f>
          </x14:formula1>
          <xm:sqref>D10:D58</xm:sqref>
        </x14:dataValidation>
        <x14:dataValidation type="list" allowBlank="1" showInputMessage="1" showErrorMessage="1" xr:uid="{B4FCAB99-F5F2-4CED-A9E6-A05B995A718D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D0609CB8-CB6D-4427-B7CE-00BB12A08A17}">
          <x14:formula1>
            <xm:f>'Lista desplegable'!$O$13:$O$37</xm:f>
          </x14:formula1>
          <xm:sqref>G4:G5 I4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20917-61E3-4BF3-86F2-0F584925151A}">
  <dimension ref="A1:AC58"/>
  <sheetViews>
    <sheetView showGridLines="0" view="pageBreakPreview" topLeftCell="A3" zoomScale="124" zoomScaleNormal="100" zoomScaleSheetLayoutView="100" workbookViewId="0">
      <pane xSplit="9" ySplit="7" topLeftCell="J55" activePane="bottomRight" state="frozen"/>
      <selection pane="topRight" activeCell="J3" sqref="J3"/>
      <selection pane="bottomLeft" activeCell="A10" sqref="A10"/>
      <selection pane="bottomRight" activeCell="J10" sqref="J10:K57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4.55468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49"/>
    </row>
    <row r="2" spans="1:29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884</v>
      </c>
      <c r="J4" s="142"/>
      <c r="K4" s="142"/>
      <c r="L4" s="39"/>
      <c r="M4" s="39"/>
      <c r="N4" s="39"/>
      <c r="O4" s="39"/>
      <c r="P4" s="134" t="s">
        <v>5</v>
      </c>
      <c r="Q4" s="134"/>
      <c r="R4" s="135" t="s">
        <v>284</v>
      </c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46"/>
    </row>
    <row r="5" spans="1:29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39"/>
      <c r="N5" s="39"/>
      <c r="O5" s="39"/>
      <c r="P5" s="134" t="s">
        <v>7</v>
      </c>
      <c r="Q5" s="134"/>
      <c r="R5" s="135" t="s">
        <v>8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46"/>
    </row>
    <row r="7" spans="1:29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29"/>
      <c r="O7" s="129"/>
      <c r="P7" s="129"/>
      <c r="Q7" s="130" t="s">
        <v>14</v>
      </c>
      <c r="R7" s="130"/>
      <c r="S7" s="130"/>
      <c r="T7" s="130"/>
      <c r="U7" s="114" t="s">
        <v>15</v>
      </c>
      <c r="V7" s="115"/>
      <c r="W7" s="115"/>
      <c r="X7" s="115"/>
      <c r="Y7" s="115"/>
      <c r="Z7" s="115"/>
      <c r="AA7" s="116"/>
      <c r="AB7" s="117" t="s">
        <v>16</v>
      </c>
      <c r="AC7" s="143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18"/>
      <c r="AC8" s="143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62"/>
    </row>
    <row r="10" spans="1:29" ht="27.6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>
        <v>268</v>
      </c>
      <c r="K10" s="9">
        <f>163+4</f>
        <v>167</v>
      </c>
      <c r="L10" s="10">
        <f t="shared" ref="L10:L57" si="0">+J10-K10</f>
        <v>101</v>
      </c>
      <c r="M10" s="10"/>
      <c r="N10" s="10"/>
      <c r="O10" s="10"/>
      <c r="P10" s="38">
        <f t="shared" ref="P10:P57" si="1">IFERROR(IF(7&lt;&gt;0, K10*100/J10, IF(J10=K10, K10*100/J10, 0)), 0)</f>
        <v>62.313432835820898</v>
      </c>
      <c r="Q10" s="45">
        <v>16</v>
      </c>
      <c r="R10" s="11">
        <v>20</v>
      </c>
      <c r="S10" s="12">
        <f t="shared" ref="S10:S57" si="2">+Q10-R10</f>
        <v>-4</v>
      </c>
      <c r="T10" s="28">
        <f t="shared" ref="T10:T57" si="3">IFERROR(IF(S10&lt;&gt;0, Q10*100/R10, IF(Q10=R10, Q10*100/R10, 0)), 0)</f>
        <v>80</v>
      </c>
      <c r="U10" s="9">
        <v>5</v>
      </c>
      <c r="V10" s="9"/>
      <c r="W10" s="9"/>
      <c r="X10" s="9"/>
      <c r="Y10" s="9">
        <v>10</v>
      </c>
      <c r="Z10" s="10">
        <f>+U10+Y10</f>
        <v>15</v>
      </c>
      <c r="AA10" s="30">
        <f>+Z10*100/20</f>
        <v>75</v>
      </c>
      <c r="AB10" s="32">
        <f>+(P10+AA10)/2</f>
        <v>68.656716417910445</v>
      </c>
      <c r="AC10" s="63"/>
    </row>
    <row r="11" spans="1:29" ht="27.6" x14ac:dyDescent="0.3">
      <c r="A11" s="24" t="s">
        <v>35</v>
      </c>
      <c r="B11" s="24" t="s">
        <v>36</v>
      </c>
      <c r="C11" s="24" t="s">
        <v>694</v>
      </c>
      <c r="D11" s="23"/>
      <c r="E11" s="20"/>
      <c r="F11" s="21"/>
      <c r="G11" s="22"/>
      <c r="H11" s="22"/>
      <c r="I11" s="3" t="s">
        <v>49</v>
      </c>
      <c r="J11" s="9"/>
      <c r="K11" s="9"/>
      <c r="L11" s="10">
        <f t="shared" si="0"/>
        <v>0</v>
      </c>
      <c r="M11" s="10"/>
      <c r="N11" s="10"/>
      <c r="O11" s="10"/>
      <c r="P11" s="38">
        <f t="shared" si="1"/>
        <v>0</v>
      </c>
      <c r="Q11" s="11"/>
      <c r="R11" s="11"/>
      <c r="S11" s="12">
        <f t="shared" si="2"/>
        <v>0</v>
      </c>
      <c r="T11" s="28">
        <f t="shared" si="3"/>
        <v>0</v>
      </c>
      <c r="U11" s="9"/>
      <c r="V11" s="9"/>
      <c r="W11" s="9"/>
      <c r="X11" s="9"/>
      <c r="Y11" s="9"/>
      <c r="Z11" s="10">
        <f t="shared" ref="Z11:Z57" si="4">SUM(U11:Y11)</f>
        <v>0</v>
      </c>
      <c r="AA11" s="30">
        <f t="shared" ref="AA11:AA57" si="5">+Z11*100/20</f>
        <v>0</v>
      </c>
      <c r="AB11" s="32">
        <f t="shared" ref="AB11:AB57" si="6">+(T11+P11+AA11)/3</f>
        <v>0</v>
      </c>
      <c r="AC11" s="64"/>
    </row>
    <row r="12" spans="1:29" ht="21.6" x14ac:dyDescent="0.3">
      <c r="A12" s="24" t="s">
        <v>35</v>
      </c>
      <c r="B12" s="24" t="s">
        <v>35</v>
      </c>
      <c r="C12" s="24" t="s">
        <v>843</v>
      </c>
      <c r="D12" s="23"/>
      <c r="E12" s="20"/>
      <c r="F12" s="21"/>
      <c r="G12" s="22"/>
      <c r="H12" s="22"/>
      <c r="I12" s="3" t="s">
        <v>1009</v>
      </c>
      <c r="J12" s="9"/>
      <c r="K12" s="9"/>
      <c r="L12" s="10">
        <f t="shared" si="0"/>
        <v>0</v>
      </c>
      <c r="M12" s="10"/>
      <c r="N12" s="10"/>
      <c r="O12" s="10"/>
      <c r="P12" s="38">
        <f t="shared" si="1"/>
        <v>0</v>
      </c>
      <c r="Q12" s="11"/>
      <c r="R12" s="11"/>
      <c r="S12" s="12"/>
      <c r="T12" s="28"/>
      <c r="U12" s="9"/>
      <c r="V12" s="9"/>
      <c r="W12" s="9"/>
      <c r="X12" s="9"/>
      <c r="Y12" s="9"/>
      <c r="Z12" s="10">
        <f t="shared" si="4"/>
        <v>0</v>
      </c>
      <c r="AA12" s="30">
        <f t="shared" si="5"/>
        <v>0</v>
      </c>
      <c r="AB12" s="32">
        <f t="shared" si="6"/>
        <v>0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f>19+22+19</f>
        <v>60</v>
      </c>
      <c r="K13" s="9">
        <v>60</v>
      </c>
      <c r="L13" s="10">
        <f t="shared" si="0"/>
        <v>0</v>
      </c>
      <c r="M13" s="10"/>
      <c r="N13" s="10"/>
      <c r="O13" s="10"/>
      <c r="P13" s="38">
        <f t="shared" si="1"/>
        <v>100</v>
      </c>
      <c r="Q13" s="45">
        <v>9</v>
      </c>
      <c r="R13" s="11">
        <v>9</v>
      </c>
      <c r="S13" s="12">
        <f t="shared" si="2"/>
        <v>0</v>
      </c>
      <c r="T13" s="28">
        <f t="shared" si="3"/>
        <v>100</v>
      </c>
      <c r="U13" s="9">
        <v>10</v>
      </c>
      <c r="V13" s="9"/>
      <c r="W13" s="9"/>
      <c r="X13" s="9"/>
      <c r="Y13" s="9">
        <v>10</v>
      </c>
      <c r="Z13" s="10">
        <f t="shared" ref="Z13:Z14" si="7">+U13+Y13</f>
        <v>20</v>
      </c>
      <c r="AA13" s="30">
        <f t="shared" si="5"/>
        <v>100</v>
      </c>
      <c r="AB13" s="32">
        <f t="shared" ref="AB13:AB14" si="8">+(P13+AA13)/2</f>
        <v>100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>
        <v>1</v>
      </c>
      <c r="K14" s="9">
        <v>0</v>
      </c>
      <c r="L14" s="10">
        <f t="shared" si="0"/>
        <v>1</v>
      </c>
      <c r="M14" s="10"/>
      <c r="N14" s="10"/>
      <c r="O14" s="10"/>
      <c r="P14" s="38">
        <f t="shared" si="1"/>
        <v>0</v>
      </c>
      <c r="Q14" s="45">
        <v>0</v>
      </c>
      <c r="R14" s="45">
        <v>0</v>
      </c>
      <c r="S14" s="12">
        <f t="shared" si="2"/>
        <v>0</v>
      </c>
      <c r="T14" s="28">
        <f t="shared" si="3"/>
        <v>0</v>
      </c>
      <c r="U14" s="9">
        <v>0</v>
      </c>
      <c r="V14" s="9"/>
      <c r="W14" s="9"/>
      <c r="X14" s="9"/>
      <c r="Y14" s="9">
        <v>0</v>
      </c>
      <c r="Z14" s="10">
        <f t="shared" si="7"/>
        <v>0</v>
      </c>
      <c r="AA14" s="30">
        <f t="shared" si="5"/>
        <v>0</v>
      </c>
      <c r="AB14" s="32">
        <f t="shared" si="8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694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5"/>
        <v>0</v>
      </c>
      <c r="AB15" s="32">
        <f t="shared" si="6"/>
        <v>0</v>
      </c>
      <c r="AC15" s="64"/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5"/>
        <v>0</v>
      </c>
      <c r="AB16" s="32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>
        <v>70</v>
      </c>
      <c r="K17" s="9">
        <v>69</v>
      </c>
      <c r="L17" s="10">
        <f t="shared" si="0"/>
        <v>1</v>
      </c>
      <c r="M17" s="10"/>
      <c r="N17" s="10"/>
      <c r="O17" s="10"/>
      <c r="P17" s="38">
        <f t="shared" si="1"/>
        <v>98.571428571428569</v>
      </c>
      <c r="Q17" s="11"/>
      <c r="R17" s="11"/>
      <c r="S17" s="12">
        <f t="shared" si="2"/>
        <v>0</v>
      </c>
      <c r="T17" s="28">
        <f t="shared" si="3"/>
        <v>0</v>
      </c>
      <c r="U17" s="9">
        <v>9</v>
      </c>
      <c r="V17" s="9"/>
      <c r="W17" s="9"/>
      <c r="X17" s="9"/>
      <c r="Y17" s="9">
        <v>10</v>
      </c>
      <c r="Z17" s="10">
        <f>+U17+Y17</f>
        <v>19</v>
      </c>
      <c r="AA17" s="30">
        <f t="shared" si="5"/>
        <v>95</v>
      </c>
      <c r="AB17" s="32">
        <f>+(P17+AA17)/2</f>
        <v>96.785714285714278</v>
      </c>
      <c r="AC17" s="63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5"/>
        <v>0</v>
      </c>
      <c r="AB18" s="32">
        <f t="shared" si="6"/>
        <v>0</v>
      </c>
      <c r="AC18" s="64"/>
    </row>
    <row r="19" spans="1:29" ht="27.6" x14ac:dyDescent="0.3">
      <c r="A19" s="24" t="s">
        <v>35</v>
      </c>
      <c r="B19" s="24"/>
      <c r="C19" s="24" t="s">
        <v>694</v>
      </c>
      <c r="D19" s="23"/>
      <c r="E19" s="20"/>
      <c r="F19" s="21"/>
      <c r="G19" s="23"/>
      <c r="H19" s="23"/>
      <c r="I19" s="3" t="s">
        <v>77</v>
      </c>
      <c r="J19" s="9"/>
      <c r="K19" s="9"/>
      <c r="L19" s="10">
        <f t="shared" si="0"/>
        <v>0</v>
      </c>
      <c r="M19" s="10"/>
      <c r="N19" s="10"/>
      <c r="O19" s="10"/>
      <c r="P19" s="38">
        <f t="shared" si="1"/>
        <v>0</v>
      </c>
      <c r="Q19" s="11"/>
      <c r="R19" s="11"/>
      <c r="S19" s="12">
        <f t="shared" si="2"/>
        <v>0</v>
      </c>
      <c r="T19" s="28">
        <f t="shared" si="3"/>
        <v>0</v>
      </c>
      <c r="U19" s="9"/>
      <c r="V19" s="9"/>
      <c r="W19" s="9"/>
      <c r="X19" s="9"/>
      <c r="Y19" s="9"/>
      <c r="Z19" s="10">
        <f t="shared" si="4"/>
        <v>0</v>
      </c>
      <c r="AA19" s="30">
        <f t="shared" si="5"/>
        <v>0</v>
      </c>
      <c r="AB19" s="32">
        <f t="shared" si="6"/>
        <v>0</v>
      </c>
      <c r="AC19" s="64"/>
    </row>
    <row r="20" spans="1:29" ht="27.6" x14ac:dyDescent="0.3">
      <c r="A20" s="24" t="s">
        <v>35</v>
      </c>
      <c r="B20" s="24"/>
      <c r="C20" s="24" t="s">
        <v>853</v>
      </c>
      <c r="D20" s="23"/>
      <c r="E20" s="20"/>
      <c r="F20" s="21"/>
      <c r="G20" s="23"/>
      <c r="H20" s="23"/>
      <c r="I20" s="3" t="s">
        <v>78</v>
      </c>
      <c r="J20" s="9"/>
      <c r="K20" s="9"/>
      <c r="L20" s="10">
        <f t="shared" si="0"/>
        <v>0</v>
      </c>
      <c r="M20" s="10"/>
      <c r="N20" s="10"/>
      <c r="O20" s="10"/>
      <c r="P20" s="38">
        <f t="shared" si="1"/>
        <v>0</v>
      </c>
      <c r="Q20" s="11"/>
      <c r="R20" s="11"/>
      <c r="S20" s="12">
        <f t="shared" si="2"/>
        <v>0</v>
      </c>
      <c r="T20" s="28">
        <f t="shared" si="3"/>
        <v>0</v>
      </c>
      <c r="U20" s="9"/>
      <c r="V20" s="9"/>
      <c r="W20" s="9"/>
      <c r="X20" s="9"/>
      <c r="Y20" s="9"/>
      <c r="Z20" s="10">
        <f t="shared" si="4"/>
        <v>0</v>
      </c>
      <c r="AA20" s="30">
        <f t="shared" si="5"/>
        <v>0</v>
      </c>
      <c r="AB20" s="32">
        <f t="shared" si="6"/>
        <v>0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5"/>
        <v>0</v>
      </c>
      <c r="AB21" s="32">
        <f t="shared" si="6"/>
        <v>0</v>
      </c>
      <c r="AC21" s="64"/>
    </row>
    <row r="22" spans="1:29" ht="27.6" x14ac:dyDescent="0.3">
      <c r="A22" s="24" t="s">
        <v>79</v>
      </c>
      <c r="B22" s="24" t="s">
        <v>35</v>
      </c>
      <c r="C22" s="24" t="s">
        <v>694</v>
      </c>
      <c r="D22" s="23"/>
      <c r="E22" s="20"/>
      <c r="F22" s="21"/>
      <c r="G22" s="23"/>
      <c r="H22" s="23"/>
      <c r="I22" s="3" t="s">
        <v>88</v>
      </c>
      <c r="J22" s="9"/>
      <c r="K22" s="9"/>
      <c r="L22" s="10">
        <f t="shared" si="0"/>
        <v>0</v>
      </c>
      <c r="M22" s="10"/>
      <c r="N22" s="10"/>
      <c r="O22" s="10"/>
      <c r="P22" s="38">
        <f t="shared" si="1"/>
        <v>0</v>
      </c>
      <c r="Q22" s="11"/>
      <c r="R22" s="11"/>
      <c r="S22" s="12">
        <f t="shared" si="2"/>
        <v>0</v>
      </c>
      <c r="T22" s="28">
        <f t="shared" si="3"/>
        <v>0</v>
      </c>
      <c r="U22" s="9"/>
      <c r="V22" s="9"/>
      <c r="W22" s="9"/>
      <c r="X22" s="9"/>
      <c r="Y22" s="9"/>
      <c r="Z22" s="10">
        <f t="shared" si="4"/>
        <v>0</v>
      </c>
      <c r="AA22" s="30">
        <f t="shared" si="5"/>
        <v>0</v>
      </c>
      <c r="AB22" s="32">
        <f t="shared" si="6"/>
        <v>0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5"/>
        <v>0</v>
      </c>
      <c r="AB23" s="32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>+U24+Y24</f>
        <v>20</v>
      </c>
      <c r="AA24" s="30">
        <f t="shared" si="5"/>
        <v>100</v>
      </c>
      <c r="AB24" s="32">
        <f>+(P24+AA24)/2</f>
        <v>100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5"/>
        <v>0</v>
      </c>
      <c r="AB25" s="32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694</v>
      </c>
      <c r="D26" s="23"/>
      <c r="E26" s="20"/>
      <c r="F26" s="21"/>
      <c r="G26" s="23"/>
      <c r="H26" s="23"/>
      <c r="I26" s="3" t="s">
        <v>108</v>
      </c>
      <c r="J26" s="9"/>
      <c r="K26" s="9"/>
      <c r="L26" s="10">
        <f t="shared" si="0"/>
        <v>0</v>
      </c>
      <c r="M26" s="10"/>
      <c r="N26" s="10"/>
      <c r="O26" s="10"/>
      <c r="P26" s="38">
        <f t="shared" si="1"/>
        <v>0</v>
      </c>
      <c r="Q26" s="11"/>
      <c r="R26" s="11"/>
      <c r="S26" s="12">
        <f t="shared" si="2"/>
        <v>0</v>
      </c>
      <c r="T26" s="28">
        <f t="shared" si="3"/>
        <v>0</v>
      </c>
      <c r="U26" s="9"/>
      <c r="V26" s="9"/>
      <c r="W26" s="9"/>
      <c r="X26" s="9"/>
      <c r="Y26" s="9"/>
      <c r="Z26" s="10">
        <f t="shared" si="4"/>
        <v>0</v>
      </c>
      <c r="AA26" s="30">
        <f t="shared" si="5"/>
        <v>0</v>
      </c>
      <c r="AB26" s="32">
        <f t="shared" si="6"/>
        <v>0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5"/>
        <v>0</v>
      </c>
      <c r="AB27" s="32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>
        <f>130+117+68</f>
        <v>315</v>
      </c>
      <c r="K28" s="9">
        <v>305</v>
      </c>
      <c r="L28" s="10">
        <f t="shared" si="0"/>
        <v>10</v>
      </c>
      <c r="M28" s="10"/>
      <c r="N28" s="10"/>
      <c r="O28" s="10"/>
      <c r="P28" s="38">
        <f t="shared" si="1"/>
        <v>96.825396825396822</v>
      </c>
      <c r="Q28" s="11"/>
      <c r="R28" s="11"/>
      <c r="S28" s="12">
        <f t="shared" si="2"/>
        <v>0</v>
      </c>
      <c r="T28" s="28">
        <f t="shared" si="3"/>
        <v>0</v>
      </c>
      <c r="U28" s="9">
        <v>10</v>
      </c>
      <c r="V28" s="9"/>
      <c r="W28" s="9"/>
      <c r="X28" s="9"/>
      <c r="Y28" s="9">
        <v>10</v>
      </c>
      <c r="Z28" s="10">
        <f>+U28+Y28</f>
        <v>20</v>
      </c>
      <c r="AA28" s="30">
        <f t="shared" si="5"/>
        <v>100</v>
      </c>
      <c r="AB28" s="32">
        <f>+(P28+AA28)/2</f>
        <v>98.412698412698404</v>
      </c>
      <c r="AC28" s="63"/>
    </row>
    <row r="29" spans="1:29" ht="27.6" x14ac:dyDescent="0.3">
      <c r="A29" s="24" t="s">
        <v>35</v>
      </c>
      <c r="B29" s="24" t="s">
        <v>64</v>
      </c>
      <c r="C29" s="24" t="s">
        <v>694</v>
      </c>
      <c r="D29" s="23"/>
      <c r="E29" s="20"/>
      <c r="F29" s="21"/>
      <c r="G29" s="23"/>
      <c r="H29" s="23"/>
      <c r="I29" s="3" t="s">
        <v>114</v>
      </c>
      <c r="J29" s="9"/>
      <c r="K29" s="9"/>
      <c r="L29" s="10">
        <f t="shared" si="0"/>
        <v>0</v>
      </c>
      <c r="M29" s="10"/>
      <c r="N29" s="10"/>
      <c r="O29" s="10"/>
      <c r="P29" s="38">
        <f t="shared" si="1"/>
        <v>0</v>
      </c>
      <c r="Q29" s="11"/>
      <c r="R29" s="11"/>
      <c r="S29" s="12">
        <f t="shared" si="2"/>
        <v>0</v>
      </c>
      <c r="T29" s="28">
        <f t="shared" si="3"/>
        <v>0</v>
      </c>
      <c r="U29" s="9"/>
      <c r="V29" s="9"/>
      <c r="W29" s="9"/>
      <c r="X29" s="9"/>
      <c r="Y29" s="9"/>
      <c r="Z29" s="10">
        <f t="shared" si="4"/>
        <v>0</v>
      </c>
      <c r="AA29" s="30">
        <f t="shared" si="5"/>
        <v>0</v>
      </c>
      <c r="AB29" s="32">
        <f t="shared" si="6"/>
        <v>0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/>
      <c r="E30" s="20"/>
      <c r="F30" s="21"/>
      <c r="G30" s="23"/>
      <c r="H30" s="23"/>
      <c r="I30" s="3" t="s">
        <v>115</v>
      </c>
      <c r="J30" s="9"/>
      <c r="K30" s="9"/>
      <c r="L30" s="10">
        <f t="shared" si="0"/>
        <v>0</v>
      </c>
      <c r="M30" s="10"/>
      <c r="N30" s="10"/>
      <c r="O30" s="10"/>
      <c r="P30" s="38">
        <f t="shared" si="1"/>
        <v>0</v>
      </c>
      <c r="Q30" s="11"/>
      <c r="R30" s="11"/>
      <c r="S30" s="12">
        <f t="shared" si="2"/>
        <v>0</v>
      </c>
      <c r="T30" s="28">
        <f t="shared" si="3"/>
        <v>0</v>
      </c>
      <c r="U30" s="9"/>
      <c r="V30" s="9"/>
      <c r="W30" s="9"/>
      <c r="X30" s="9"/>
      <c r="Y30" s="9"/>
      <c r="Z30" s="10">
        <f t="shared" si="4"/>
        <v>0</v>
      </c>
      <c r="AA30" s="30">
        <f t="shared" si="5"/>
        <v>0</v>
      </c>
      <c r="AB30" s="32">
        <f t="shared" si="6"/>
        <v>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5"/>
        <v>0</v>
      </c>
      <c r="AB31" s="32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>
        <v>7</v>
      </c>
      <c r="K32" s="9">
        <v>7</v>
      </c>
      <c r="L32" s="10">
        <f t="shared" si="0"/>
        <v>0</v>
      </c>
      <c r="M32" s="10"/>
      <c r="N32" s="10"/>
      <c r="O32" s="10"/>
      <c r="P32" s="38">
        <f t="shared" si="1"/>
        <v>100</v>
      </c>
      <c r="Q32" s="11"/>
      <c r="R32" s="11"/>
      <c r="S32" s="12">
        <f t="shared" si="2"/>
        <v>0</v>
      </c>
      <c r="T32" s="28">
        <f t="shared" si="3"/>
        <v>0</v>
      </c>
      <c r="U32" s="9">
        <v>10</v>
      </c>
      <c r="V32" s="9"/>
      <c r="W32" s="9"/>
      <c r="X32" s="9"/>
      <c r="Y32" s="9">
        <v>10</v>
      </c>
      <c r="Z32" s="10">
        <f>+U32+Y32</f>
        <v>20</v>
      </c>
      <c r="AA32" s="30">
        <f t="shared" si="5"/>
        <v>100</v>
      </c>
      <c r="AB32" s="32">
        <f>+(P32+AA32)/2</f>
        <v>100</v>
      </c>
      <c r="AC32" s="63"/>
    </row>
    <row r="33" spans="1:29" ht="27.6" x14ac:dyDescent="0.3">
      <c r="A33" s="24" t="s">
        <v>36</v>
      </c>
      <c r="B33" s="24" t="s">
        <v>35</v>
      </c>
      <c r="C33" s="24" t="s">
        <v>694</v>
      </c>
      <c r="D33" s="23"/>
      <c r="E33" s="20"/>
      <c r="F33" s="21"/>
      <c r="G33" s="23"/>
      <c r="H33" s="23"/>
      <c r="I33" s="3" t="s">
        <v>127</v>
      </c>
      <c r="J33" s="9"/>
      <c r="K33" s="9"/>
      <c r="L33" s="10">
        <f t="shared" si="0"/>
        <v>0</v>
      </c>
      <c r="M33" s="10"/>
      <c r="N33" s="10"/>
      <c r="O33" s="10"/>
      <c r="P33" s="38">
        <f t="shared" si="1"/>
        <v>0</v>
      </c>
      <c r="Q33" s="11"/>
      <c r="R33" s="11"/>
      <c r="S33" s="12">
        <f t="shared" si="2"/>
        <v>0</v>
      </c>
      <c r="T33" s="28">
        <f t="shared" si="3"/>
        <v>0</v>
      </c>
      <c r="U33" s="9"/>
      <c r="V33" s="9"/>
      <c r="W33" s="9"/>
      <c r="X33" s="9"/>
      <c r="Y33" s="9"/>
      <c r="Z33" s="10">
        <f t="shared" si="4"/>
        <v>0</v>
      </c>
      <c r="AA33" s="30">
        <f t="shared" si="5"/>
        <v>0</v>
      </c>
      <c r="AB33" s="32">
        <f t="shared" si="6"/>
        <v>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2</v>
      </c>
      <c r="K34" s="9">
        <v>2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ref="Z34:Z35" si="9">+U34+Y34</f>
        <v>20</v>
      </c>
      <c r="AA34" s="30">
        <f t="shared" si="5"/>
        <v>100</v>
      </c>
      <c r="AB34" s="32">
        <f t="shared" ref="AB34:AB35" si="10">+(P34+AA34)/2</f>
        <v>100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>
        <v>16</v>
      </c>
      <c r="K35" s="9">
        <v>15</v>
      </c>
      <c r="L35" s="10">
        <f t="shared" si="0"/>
        <v>1</v>
      </c>
      <c r="M35" s="10"/>
      <c r="N35" s="10"/>
      <c r="O35" s="10"/>
      <c r="P35" s="38">
        <f t="shared" si="1"/>
        <v>93.75</v>
      </c>
      <c r="Q35" s="11"/>
      <c r="R35" s="11"/>
      <c r="S35" s="12">
        <f t="shared" si="2"/>
        <v>0</v>
      </c>
      <c r="T35" s="28">
        <f t="shared" si="3"/>
        <v>0</v>
      </c>
      <c r="U35" s="9">
        <v>9</v>
      </c>
      <c r="V35" s="9">
        <v>10</v>
      </c>
      <c r="W35" s="9"/>
      <c r="X35" s="9"/>
      <c r="Y35" s="9">
        <v>10</v>
      </c>
      <c r="Z35" s="10">
        <f t="shared" si="9"/>
        <v>19</v>
      </c>
      <c r="AA35" s="30">
        <f t="shared" si="5"/>
        <v>95</v>
      </c>
      <c r="AB35" s="32">
        <f t="shared" si="10"/>
        <v>94.375</v>
      </c>
      <c r="AC35" s="63"/>
    </row>
    <row r="36" spans="1:29" ht="41.4" x14ac:dyDescent="0.3">
      <c r="A36" s="24" t="s">
        <v>36</v>
      </c>
      <c r="B36" s="24" t="s">
        <v>35</v>
      </c>
      <c r="C36" s="24" t="s">
        <v>694</v>
      </c>
      <c r="D36" s="23"/>
      <c r="E36" s="20"/>
      <c r="F36" s="21"/>
      <c r="G36" s="23"/>
      <c r="H36" s="23"/>
      <c r="I36" s="3" t="s">
        <v>130</v>
      </c>
      <c r="J36" s="9"/>
      <c r="K36" s="9"/>
      <c r="L36" s="10">
        <f t="shared" si="0"/>
        <v>0</v>
      </c>
      <c r="M36" s="10"/>
      <c r="N36" s="10"/>
      <c r="O36" s="10"/>
      <c r="P36" s="38">
        <f t="shared" si="1"/>
        <v>0</v>
      </c>
      <c r="Q36" s="11"/>
      <c r="R36" s="11"/>
      <c r="S36" s="12">
        <f t="shared" si="2"/>
        <v>0</v>
      </c>
      <c r="T36" s="28">
        <f t="shared" si="3"/>
        <v>0</v>
      </c>
      <c r="U36" s="9"/>
      <c r="V36" s="9"/>
      <c r="W36" s="9"/>
      <c r="X36" s="9"/>
      <c r="Y36" s="9"/>
      <c r="Z36" s="10">
        <f t="shared" si="4"/>
        <v>0</v>
      </c>
      <c r="AA36" s="30">
        <f t="shared" si="5"/>
        <v>0</v>
      </c>
      <c r="AB36" s="32">
        <f t="shared" si="6"/>
        <v>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2</v>
      </c>
      <c r="K37" s="9">
        <v>2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>+U37+Y37</f>
        <v>20</v>
      </c>
      <c r="AA37" s="30">
        <f t="shared" si="5"/>
        <v>100</v>
      </c>
      <c r="AB37" s="32">
        <f>+(P37+AA37)/2</f>
        <v>100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5"/>
        <v>0</v>
      </c>
      <c r="AB38" s="32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 t="s">
        <v>862</v>
      </c>
      <c r="E39" s="20"/>
      <c r="F39" s="21"/>
      <c r="G39" s="23"/>
      <c r="H39" s="23"/>
      <c r="I39" s="3" t="s">
        <v>155</v>
      </c>
      <c r="J39" s="9">
        <v>1</v>
      </c>
      <c r="K39" s="9">
        <v>1</v>
      </c>
      <c r="L39" s="10">
        <f t="shared" si="0"/>
        <v>0</v>
      </c>
      <c r="M39" s="10"/>
      <c r="N39" s="10"/>
      <c r="O39" s="10"/>
      <c r="P39" s="38">
        <f t="shared" si="1"/>
        <v>100</v>
      </c>
      <c r="Q39" s="11"/>
      <c r="R39" s="11"/>
      <c r="S39" s="12">
        <f t="shared" si="2"/>
        <v>0</v>
      </c>
      <c r="T39" s="28">
        <f t="shared" si="3"/>
        <v>0</v>
      </c>
      <c r="U39" s="9">
        <v>10</v>
      </c>
      <c r="V39" s="9"/>
      <c r="W39" s="9"/>
      <c r="X39" s="9"/>
      <c r="Y39" s="9">
        <v>10</v>
      </c>
      <c r="Z39" s="10">
        <f>+U39+Y39</f>
        <v>20</v>
      </c>
      <c r="AA39" s="30">
        <f t="shared" si="5"/>
        <v>100</v>
      </c>
      <c r="AB39" s="32">
        <f>+(P39+AA39)/2</f>
        <v>100</v>
      </c>
      <c r="AC39" s="63"/>
    </row>
    <row r="40" spans="1:29" ht="27.6" x14ac:dyDescent="0.3">
      <c r="A40" s="24" t="s">
        <v>84</v>
      </c>
      <c r="B40" s="24" t="s">
        <v>35</v>
      </c>
      <c r="C40" s="24" t="s">
        <v>694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5"/>
        <v>0</v>
      </c>
      <c r="AB40" s="32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5"/>
        <v>0</v>
      </c>
      <c r="AB41" s="32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 t="shared" si="4"/>
        <v>0</v>
      </c>
      <c r="AA42" s="30">
        <f t="shared" si="5"/>
        <v>0</v>
      </c>
      <c r="AB42" s="32">
        <f t="shared" si="6"/>
        <v>0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5"/>
        <v>0</v>
      </c>
      <c r="AB43" s="32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si="4"/>
        <v>0</v>
      </c>
      <c r="AA44" s="30">
        <f t="shared" si="5"/>
        <v>0</v>
      </c>
      <c r="AB44" s="32">
        <f t="shared" si="6"/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4"/>
        <v>0</v>
      </c>
      <c r="AA45" s="30">
        <f t="shared" si="5"/>
        <v>0</v>
      </c>
      <c r="AB45" s="32">
        <f t="shared" si="6"/>
        <v>0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4"/>
        <v>0</v>
      </c>
      <c r="AA46" s="30">
        <f t="shared" si="5"/>
        <v>0</v>
      </c>
      <c r="AB46" s="32">
        <f t="shared" si="6"/>
        <v>50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4"/>
        <v>0</v>
      </c>
      <c r="AA47" s="30">
        <f t="shared" si="5"/>
        <v>0</v>
      </c>
      <c r="AB47" s="32">
        <f t="shared" si="6"/>
        <v>0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4"/>
        <v>0</v>
      </c>
      <c r="AA48" s="30">
        <f t="shared" si="5"/>
        <v>0</v>
      </c>
      <c r="AB48" s="32">
        <f t="shared" si="6"/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>SUM(U49:Y49)</f>
        <v>0</v>
      </c>
      <c r="AA49" s="30">
        <f t="shared" si="5"/>
        <v>0</v>
      </c>
      <c r="AB49" s="32"/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>
        <f>65+17</f>
        <v>82</v>
      </c>
      <c r="K50" s="9">
        <v>0</v>
      </c>
      <c r="L50" s="10">
        <f t="shared" si="0"/>
        <v>82</v>
      </c>
      <c r="M50" s="10"/>
      <c r="N50" s="10"/>
      <c r="O50" s="10"/>
      <c r="P50" s="38">
        <f t="shared" si="1"/>
        <v>0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>SUM(U50:Y50)</f>
        <v>0</v>
      </c>
      <c r="AA50" s="30">
        <f t="shared" si="5"/>
        <v>0</v>
      </c>
      <c r="AB50" s="32"/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5"/>
        <v>0</v>
      </c>
      <c r="AB51" s="32">
        <f t="shared" si="6"/>
        <v>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5"/>
        <v>0</v>
      </c>
      <c r="AB52" s="32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>
        <v>15</v>
      </c>
      <c r="K53" s="9">
        <v>15</v>
      </c>
      <c r="L53" s="10">
        <f t="shared" si="0"/>
        <v>0</v>
      </c>
      <c r="M53" s="10"/>
      <c r="N53" s="10"/>
      <c r="O53" s="10"/>
      <c r="P53" s="38">
        <f t="shared" si="1"/>
        <v>100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>+U53+Y53</f>
        <v>0</v>
      </c>
      <c r="AA53" s="30">
        <f t="shared" si="5"/>
        <v>0</v>
      </c>
      <c r="AB53" s="32">
        <f>+(P53+AA53)/2</f>
        <v>50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694</v>
      </c>
      <c r="D54" s="23"/>
      <c r="E54" s="20"/>
      <c r="F54" s="21"/>
      <c r="G54" s="23"/>
      <c r="H54" s="23"/>
      <c r="I54" s="3" t="s">
        <v>190</v>
      </c>
      <c r="J54" s="9"/>
      <c r="K54" s="9"/>
      <c r="L54" s="10">
        <f t="shared" si="0"/>
        <v>0</v>
      </c>
      <c r="M54" s="10"/>
      <c r="N54" s="10"/>
      <c r="O54" s="10"/>
      <c r="P54" s="38">
        <f t="shared" si="1"/>
        <v>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si="4"/>
        <v>0</v>
      </c>
      <c r="AA54" s="30">
        <f t="shared" si="5"/>
        <v>0</v>
      </c>
      <c r="AB54" s="32">
        <f t="shared" si="6"/>
        <v>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>
        <v>2</v>
      </c>
      <c r="K55" s="9">
        <v>2</v>
      </c>
      <c r="L55" s="10">
        <f t="shared" si="0"/>
        <v>0</v>
      </c>
      <c r="M55" s="10"/>
      <c r="N55" s="10"/>
      <c r="O55" s="10"/>
      <c r="P55" s="38">
        <f t="shared" si="1"/>
        <v>100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ref="Z55:Z56" si="11">+U55+Y55</f>
        <v>0</v>
      </c>
      <c r="AA55" s="30">
        <f t="shared" si="5"/>
        <v>0</v>
      </c>
      <c r="AB55" s="32">
        <f t="shared" ref="AB55:AB56" si="12">+(P55+AA55)/2</f>
        <v>50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11"/>
        <v>0</v>
      </c>
      <c r="AA56" s="30">
        <f t="shared" si="5"/>
        <v>0</v>
      </c>
      <c r="AB56" s="32">
        <f t="shared" si="12"/>
        <v>0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5"/>
        <v>0</v>
      </c>
      <c r="AB57" s="32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842</v>
      </c>
      <c r="K58" s="67">
        <f>SUM(K10:K55)</f>
        <v>646</v>
      </c>
      <c r="L58" s="68">
        <f>+J58-K58</f>
        <v>196</v>
      </c>
      <c r="M58" s="43"/>
      <c r="N58" s="43"/>
      <c r="O58" s="43"/>
      <c r="P58" s="33">
        <f>(K58*100)/J58</f>
        <v>76.722090261282659</v>
      </c>
      <c r="Q58" s="122"/>
      <c r="R58" s="123"/>
      <c r="S58" s="124"/>
      <c r="T58" s="33">
        <f t="shared" ref="T58:AB58" si="13">AVERAGEIF(T10:T57,"&gt;0")</f>
        <v>110</v>
      </c>
      <c r="U58" s="33">
        <f t="shared" si="13"/>
        <v>9.3000000000000007</v>
      </c>
      <c r="V58" s="33">
        <f t="shared" si="13"/>
        <v>10</v>
      </c>
      <c r="W58" s="33" t="e">
        <f t="shared" si="13"/>
        <v>#DIV/0!</v>
      </c>
      <c r="X58" s="33" t="e">
        <f t="shared" si="13"/>
        <v>#DIV/0!</v>
      </c>
      <c r="Y58" s="69">
        <f>AVERAGEIF(Y10:Y55,"&gt;0")</f>
        <v>10</v>
      </c>
      <c r="Z58" s="70">
        <f>+U58+Y58</f>
        <v>19.3</v>
      </c>
      <c r="AA58" s="33">
        <f>(Z58*100)/20</f>
        <v>96.5</v>
      </c>
      <c r="AB58" s="33">
        <f t="shared" si="13"/>
        <v>85.248471470486393</v>
      </c>
      <c r="AC58" s="65"/>
    </row>
  </sheetData>
  <autoFilter ref="A9:AC58" xr:uid="{22420917-61E3-4BF3-86F2-0F584925151A}"/>
  <mergeCells count="18">
    <mergeCell ref="U7:AA7"/>
    <mergeCell ref="AB7:AB8"/>
    <mergeCell ref="AC7:AC8"/>
    <mergeCell ref="Q58:S58"/>
    <mergeCell ref="Q7:T7"/>
    <mergeCell ref="A7:C7"/>
    <mergeCell ref="D7:D8"/>
    <mergeCell ref="E7:G7"/>
    <mergeCell ref="I7:I8"/>
    <mergeCell ref="J7:P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H58 F10:G58" xr:uid="{DD127E20-1644-4AE4-9743-17F81457E8F8}">
      <formula1>INDIRECT(E10)</formula1>
    </dataValidation>
  </dataValidations>
  <pageMargins left="0.7" right="0.7" top="0.75" bottom="0.75" header="0.3" footer="0.3"/>
  <pageSetup scale="75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85AAA1D0-64CB-43A8-80AF-347432FF9617}">
          <x14:formula1>
            <xm:f>'Lista desplegable'!$O$13:$O$37</xm:f>
          </x14:formula1>
          <xm:sqref>G4:G5 I4</xm:sqref>
        </x14:dataValidation>
        <x14:dataValidation type="list" allowBlank="1" showInputMessage="1" showErrorMessage="1" xr:uid="{D3D04742-1CE3-4C64-815E-36ACA447C20F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00F346EB-2415-4B0E-A058-F79319A73696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9A0A1679-4AC0-4EAE-8A9F-0A58472B4CF2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B7E1A99D-D6F6-4DA0-ADCB-9EF83E97B502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721DFCD3-E73B-46A1-BE90-75E0041D0EC0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6B4A46D1-F86E-4B3D-A97B-C16C90B75770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E7872D79-5C85-49D5-AD6B-170AB3BFE6B3}">
          <x14:formula1>
            <xm:f>'Lista desplegable'!$A$2:$A$16</xm:f>
          </x14:formula1>
          <xm:sqref>E10:E58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9CC7C-37F3-47EA-9346-9CBF391C9AFD}">
  <dimension ref="A1:AC58"/>
  <sheetViews>
    <sheetView showGridLines="0" view="pageBreakPreview" topLeftCell="A3" zoomScale="124" zoomScaleNormal="100" zoomScaleSheetLayoutView="100" workbookViewId="0">
      <pane xSplit="9" ySplit="7" topLeftCell="J55" activePane="bottomRight" state="frozen"/>
      <selection pane="topRight" activeCell="J3" sqref="J3"/>
      <selection pane="bottomLeft" activeCell="A10" sqref="A10"/>
      <selection pane="bottomRight" activeCell="J10" sqref="J10:K57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4.55468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49"/>
    </row>
    <row r="2" spans="1:29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820</v>
      </c>
      <c r="J4" s="142"/>
      <c r="K4" s="142"/>
      <c r="L4" s="39"/>
      <c r="M4" s="39"/>
      <c r="N4" s="39"/>
      <c r="O4" s="39"/>
      <c r="P4" s="134" t="s">
        <v>5</v>
      </c>
      <c r="Q4" s="134"/>
      <c r="R4" s="135" t="s">
        <v>284</v>
      </c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46"/>
    </row>
    <row r="5" spans="1:29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39"/>
      <c r="N5" s="39"/>
      <c r="O5" s="39"/>
      <c r="P5" s="134" t="s">
        <v>7</v>
      </c>
      <c r="Q5" s="134"/>
      <c r="R5" s="135" t="s">
        <v>8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46"/>
    </row>
    <row r="7" spans="1:29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29"/>
      <c r="O7" s="129"/>
      <c r="P7" s="129"/>
      <c r="Q7" s="130" t="s">
        <v>14</v>
      </c>
      <c r="R7" s="130"/>
      <c r="S7" s="130"/>
      <c r="T7" s="130"/>
      <c r="U7" s="114" t="s">
        <v>15</v>
      </c>
      <c r="V7" s="115"/>
      <c r="W7" s="115"/>
      <c r="X7" s="115"/>
      <c r="Y7" s="115"/>
      <c r="Z7" s="115"/>
      <c r="AA7" s="116"/>
      <c r="AB7" s="117" t="s">
        <v>16</v>
      </c>
      <c r="AC7" s="143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18"/>
      <c r="AC8" s="143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62"/>
    </row>
    <row r="10" spans="1:29" ht="27.6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>
        <v>206</v>
      </c>
      <c r="K10" s="9">
        <f>213+14</f>
        <v>227</v>
      </c>
      <c r="L10" s="10">
        <f t="shared" ref="L10:L57" si="0">+J10-K10</f>
        <v>-21</v>
      </c>
      <c r="M10" s="10"/>
      <c r="N10" s="10"/>
      <c r="O10" s="10"/>
      <c r="P10" s="38">
        <f t="shared" ref="P10:P57" si="1">IFERROR(IF(7&lt;&gt;0, K10*100/J10, IF(J10=K10, K10*100/J10, 0)), 0)</f>
        <v>110.19417475728156</v>
      </c>
      <c r="Q10" s="45">
        <v>16</v>
      </c>
      <c r="R10" s="11">
        <v>16</v>
      </c>
      <c r="S10" s="12">
        <f t="shared" ref="S10:S57" si="2">+Q10-R10</f>
        <v>0</v>
      </c>
      <c r="T10" s="28">
        <f t="shared" ref="T10:T57" si="3">IFERROR(IF(S10&lt;&gt;0, Q10*100/R10, IF(Q10=R10, Q10*100/R10, 0)), 0)</f>
        <v>100</v>
      </c>
      <c r="U10" s="9">
        <v>10</v>
      </c>
      <c r="V10" s="9"/>
      <c r="W10" s="9"/>
      <c r="X10" s="9"/>
      <c r="Y10" s="9">
        <v>10</v>
      </c>
      <c r="Z10" s="10">
        <f>+U10+Y10</f>
        <v>20</v>
      </c>
      <c r="AA10" s="30">
        <f>+Z10*100/20</f>
        <v>100</v>
      </c>
      <c r="AB10" s="32">
        <f>+(P10+AA10)/2</f>
        <v>105.09708737864078</v>
      </c>
      <c r="AC10" s="63"/>
    </row>
    <row r="11" spans="1:29" ht="27.6" x14ac:dyDescent="0.3">
      <c r="A11" s="24" t="s">
        <v>35</v>
      </c>
      <c r="B11" s="24" t="s">
        <v>36</v>
      </c>
      <c r="C11" s="24" t="s">
        <v>694</v>
      </c>
      <c r="D11" s="23"/>
      <c r="E11" s="20"/>
      <c r="F11" s="21"/>
      <c r="G11" s="22"/>
      <c r="H11" s="22"/>
      <c r="I11" s="3" t="s">
        <v>49</v>
      </c>
      <c r="J11" s="9"/>
      <c r="K11" s="9"/>
      <c r="L11" s="10">
        <f t="shared" si="0"/>
        <v>0</v>
      </c>
      <c r="M11" s="10"/>
      <c r="N11" s="10"/>
      <c r="O11" s="10"/>
      <c r="P11" s="38">
        <f t="shared" si="1"/>
        <v>0</v>
      </c>
      <c r="Q11" s="11"/>
      <c r="R11" s="11"/>
      <c r="S11" s="12">
        <f t="shared" si="2"/>
        <v>0</v>
      </c>
      <c r="T11" s="28">
        <f t="shared" si="3"/>
        <v>0</v>
      </c>
      <c r="U11" s="9"/>
      <c r="V11" s="9"/>
      <c r="W11" s="9"/>
      <c r="X11" s="9"/>
      <c r="Y11" s="9"/>
      <c r="Z11" s="10">
        <f t="shared" ref="Z11:Z57" si="4">SUM(U11:Y11)</f>
        <v>0</v>
      </c>
      <c r="AA11" s="30">
        <f t="shared" ref="AA11:AA57" si="5">+Z11*100/20</f>
        <v>0</v>
      </c>
      <c r="AB11" s="32">
        <f t="shared" ref="AB11:AB57" si="6">+(T11+P11+AA11)/3</f>
        <v>0</v>
      </c>
      <c r="AC11" s="64"/>
    </row>
    <row r="12" spans="1:29" ht="21.6" x14ac:dyDescent="0.3">
      <c r="A12" s="24" t="s">
        <v>35</v>
      </c>
      <c r="B12" s="24" t="s">
        <v>35</v>
      </c>
      <c r="C12" s="24" t="s">
        <v>843</v>
      </c>
      <c r="D12" s="23"/>
      <c r="E12" s="20"/>
      <c r="F12" s="21"/>
      <c r="G12" s="22"/>
      <c r="H12" s="22"/>
      <c r="I12" s="3" t="s">
        <v>1009</v>
      </c>
      <c r="J12" s="9"/>
      <c r="K12" s="9"/>
      <c r="L12" s="10">
        <f t="shared" si="0"/>
        <v>0</v>
      </c>
      <c r="M12" s="10"/>
      <c r="N12" s="10"/>
      <c r="O12" s="10"/>
      <c r="P12" s="38">
        <f t="shared" si="1"/>
        <v>0</v>
      </c>
      <c r="Q12" s="11"/>
      <c r="R12" s="11"/>
      <c r="S12" s="12"/>
      <c r="T12" s="28"/>
      <c r="U12" s="9"/>
      <c r="V12" s="9"/>
      <c r="W12" s="9"/>
      <c r="X12" s="9"/>
      <c r="Y12" s="9"/>
      <c r="Z12" s="10">
        <f t="shared" si="4"/>
        <v>0</v>
      </c>
      <c r="AA12" s="30">
        <f t="shared" si="5"/>
        <v>0</v>
      </c>
      <c r="AB12" s="32">
        <f t="shared" si="6"/>
        <v>0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f>13+18</f>
        <v>31</v>
      </c>
      <c r="K13" s="9">
        <v>29</v>
      </c>
      <c r="L13" s="10">
        <f t="shared" si="0"/>
        <v>2</v>
      </c>
      <c r="M13" s="10"/>
      <c r="N13" s="10"/>
      <c r="O13" s="10"/>
      <c r="P13" s="38">
        <f t="shared" si="1"/>
        <v>93.548387096774192</v>
      </c>
      <c r="Q13" s="45">
        <v>9</v>
      </c>
      <c r="R13" s="11">
        <v>8</v>
      </c>
      <c r="S13" s="12">
        <f t="shared" si="2"/>
        <v>1</v>
      </c>
      <c r="T13" s="28">
        <f t="shared" si="3"/>
        <v>112.5</v>
      </c>
      <c r="U13" s="9">
        <v>9</v>
      </c>
      <c r="V13" s="9"/>
      <c r="W13" s="9"/>
      <c r="X13" s="9"/>
      <c r="Y13" s="9">
        <v>10</v>
      </c>
      <c r="Z13" s="10">
        <f t="shared" ref="Z13:Z14" si="7">+U13+Y13</f>
        <v>19</v>
      </c>
      <c r="AA13" s="30">
        <f t="shared" si="5"/>
        <v>95</v>
      </c>
      <c r="AB13" s="32">
        <f t="shared" ref="AB13:AB14" si="8">+(P13+AA13)/2</f>
        <v>94.274193548387103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>
        <v>1</v>
      </c>
      <c r="K14" s="9">
        <v>0</v>
      </c>
      <c r="L14" s="10">
        <f t="shared" si="0"/>
        <v>1</v>
      </c>
      <c r="M14" s="10"/>
      <c r="N14" s="10"/>
      <c r="O14" s="10"/>
      <c r="P14" s="38">
        <f t="shared" si="1"/>
        <v>0</v>
      </c>
      <c r="Q14" s="45">
        <v>0</v>
      </c>
      <c r="R14" s="45">
        <v>0</v>
      </c>
      <c r="S14" s="12">
        <f t="shared" si="2"/>
        <v>0</v>
      </c>
      <c r="T14" s="28">
        <f t="shared" si="3"/>
        <v>0</v>
      </c>
      <c r="U14" s="9">
        <v>0</v>
      </c>
      <c r="V14" s="9"/>
      <c r="W14" s="9"/>
      <c r="X14" s="9"/>
      <c r="Y14" s="9">
        <v>0</v>
      </c>
      <c r="Z14" s="10">
        <f t="shared" si="7"/>
        <v>0</v>
      </c>
      <c r="AA14" s="30">
        <f t="shared" si="5"/>
        <v>0</v>
      </c>
      <c r="AB14" s="32">
        <f t="shared" si="8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694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5"/>
        <v>0</v>
      </c>
      <c r="AB15" s="32">
        <f t="shared" si="6"/>
        <v>0</v>
      </c>
      <c r="AC15" s="64"/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5"/>
        <v>0</v>
      </c>
      <c r="AB16" s="32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>
        <v>74</v>
      </c>
      <c r="K17" s="9">
        <v>74</v>
      </c>
      <c r="L17" s="10">
        <f t="shared" si="0"/>
        <v>0</v>
      </c>
      <c r="M17" s="10"/>
      <c r="N17" s="10"/>
      <c r="O17" s="10"/>
      <c r="P17" s="38">
        <f t="shared" si="1"/>
        <v>100</v>
      </c>
      <c r="Q17" s="11"/>
      <c r="R17" s="11"/>
      <c r="S17" s="12">
        <f t="shared" si="2"/>
        <v>0</v>
      </c>
      <c r="T17" s="28">
        <f t="shared" si="3"/>
        <v>0</v>
      </c>
      <c r="U17" s="9">
        <v>10</v>
      </c>
      <c r="V17" s="9"/>
      <c r="W17" s="9"/>
      <c r="X17" s="9"/>
      <c r="Y17" s="9">
        <v>10</v>
      </c>
      <c r="Z17" s="10">
        <f>+U17+Y17</f>
        <v>20</v>
      </c>
      <c r="AA17" s="30">
        <f t="shared" si="5"/>
        <v>100</v>
      </c>
      <c r="AB17" s="32">
        <f>+(P17+AA17)/2</f>
        <v>100</v>
      </c>
      <c r="AC17" s="63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5"/>
        <v>0</v>
      </c>
      <c r="AB18" s="32">
        <f t="shared" si="6"/>
        <v>0</v>
      </c>
      <c r="AC18" s="64"/>
    </row>
    <row r="19" spans="1:29" ht="27.6" x14ac:dyDescent="0.3">
      <c r="A19" s="24" t="s">
        <v>35</v>
      </c>
      <c r="B19" s="24"/>
      <c r="C19" s="24" t="s">
        <v>694</v>
      </c>
      <c r="D19" s="23"/>
      <c r="E19" s="20"/>
      <c r="F19" s="21"/>
      <c r="G19" s="23"/>
      <c r="H19" s="23"/>
      <c r="I19" s="3" t="s">
        <v>77</v>
      </c>
      <c r="J19" s="9"/>
      <c r="K19" s="9"/>
      <c r="L19" s="10">
        <f t="shared" si="0"/>
        <v>0</v>
      </c>
      <c r="M19" s="10"/>
      <c r="N19" s="10"/>
      <c r="O19" s="10"/>
      <c r="P19" s="38">
        <f t="shared" si="1"/>
        <v>0</v>
      </c>
      <c r="Q19" s="11"/>
      <c r="R19" s="11"/>
      <c r="S19" s="12">
        <f t="shared" si="2"/>
        <v>0</v>
      </c>
      <c r="T19" s="28">
        <f t="shared" si="3"/>
        <v>0</v>
      </c>
      <c r="U19" s="9"/>
      <c r="V19" s="9"/>
      <c r="W19" s="9"/>
      <c r="X19" s="9"/>
      <c r="Y19" s="9"/>
      <c r="Z19" s="10">
        <f t="shared" si="4"/>
        <v>0</v>
      </c>
      <c r="AA19" s="30">
        <f t="shared" si="5"/>
        <v>0</v>
      </c>
      <c r="AB19" s="32">
        <f t="shared" si="6"/>
        <v>0</v>
      </c>
      <c r="AC19" s="64"/>
    </row>
    <row r="20" spans="1:29" ht="27.6" x14ac:dyDescent="0.3">
      <c r="A20" s="24" t="s">
        <v>35</v>
      </c>
      <c r="B20" s="24"/>
      <c r="C20" s="24" t="s">
        <v>853</v>
      </c>
      <c r="D20" s="23"/>
      <c r="E20" s="20"/>
      <c r="F20" s="21"/>
      <c r="G20" s="23"/>
      <c r="H20" s="23"/>
      <c r="I20" s="3" t="s">
        <v>78</v>
      </c>
      <c r="J20" s="9"/>
      <c r="K20" s="9"/>
      <c r="L20" s="10">
        <f t="shared" si="0"/>
        <v>0</v>
      </c>
      <c r="M20" s="10"/>
      <c r="N20" s="10"/>
      <c r="O20" s="10"/>
      <c r="P20" s="38">
        <f t="shared" si="1"/>
        <v>0</v>
      </c>
      <c r="Q20" s="11"/>
      <c r="R20" s="11"/>
      <c r="S20" s="12">
        <f t="shared" si="2"/>
        <v>0</v>
      </c>
      <c r="T20" s="28">
        <f t="shared" si="3"/>
        <v>0</v>
      </c>
      <c r="U20" s="9"/>
      <c r="V20" s="9"/>
      <c r="W20" s="9"/>
      <c r="X20" s="9"/>
      <c r="Y20" s="9"/>
      <c r="Z20" s="10">
        <f t="shared" si="4"/>
        <v>0</v>
      </c>
      <c r="AA20" s="30">
        <f t="shared" si="5"/>
        <v>0</v>
      </c>
      <c r="AB20" s="32">
        <f t="shared" si="6"/>
        <v>0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5"/>
        <v>0</v>
      </c>
      <c r="AB21" s="32">
        <f t="shared" si="6"/>
        <v>0</v>
      </c>
      <c r="AC21" s="64"/>
    </row>
    <row r="22" spans="1:29" ht="27.6" x14ac:dyDescent="0.3">
      <c r="A22" s="24" t="s">
        <v>79</v>
      </c>
      <c r="B22" s="24" t="s">
        <v>35</v>
      </c>
      <c r="C22" s="24" t="s">
        <v>694</v>
      </c>
      <c r="D22" s="23"/>
      <c r="E22" s="20"/>
      <c r="F22" s="21"/>
      <c r="G22" s="23"/>
      <c r="H22" s="23"/>
      <c r="I22" s="3" t="s">
        <v>88</v>
      </c>
      <c r="J22" s="9"/>
      <c r="K22" s="9"/>
      <c r="L22" s="10">
        <f t="shared" si="0"/>
        <v>0</v>
      </c>
      <c r="M22" s="10"/>
      <c r="N22" s="10"/>
      <c r="O22" s="10"/>
      <c r="P22" s="38">
        <f t="shared" si="1"/>
        <v>0</v>
      </c>
      <c r="Q22" s="11"/>
      <c r="R22" s="11"/>
      <c r="S22" s="12">
        <f t="shared" si="2"/>
        <v>0</v>
      </c>
      <c r="T22" s="28">
        <f t="shared" si="3"/>
        <v>0</v>
      </c>
      <c r="U22" s="9"/>
      <c r="V22" s="9"/>
      <c r="W22" s="9"/>
      <c r="X22" s="9"/>
      <c r="Y22" s="9"/>
      <c r="Z22" s="10">
        <f t="shared" si="4"/>
        <v>0</v>
      </c>
      <c r="AA22" s="30">
        <f t="shared" si="5"/>
        <v>0</v>
      </c>
      <c r="AB22" s="32">
        <f t="shared" si="6"/>
        <v>0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5"/>
        <v>0</v>
      </c>
      <c r="AB23" s="32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>+U24+Y24</f>
        <v>20</v>
      </c>
      <c r="AA24" s="30">
        <f t="shared" si="5"/>
        <v>100</v>
      </c>
      <c r="AB24" s="32">
        <f>+(P24+AA24)/2</f>
        <v>100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5"/>
        <v>0</v>
      </c>
      <c r="AB25" s="32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694</v>
      </c>
      <c r="D26" s="23"/>
      <c r="E26" s="20"/>
      <c r="F26" s="21"/>
      <c r="G26" s="23"/>
      <c r="H26" s="23"/>
      <c r="I26" s="3" t="s">
        <v>108</v>
      </c>
      <c r="J26" s="9"/>
      <c r="K26" s="9"/>
      <c r="L26" s="10">
        <f t="shared" si="0"/>
        <v>0</v>
      </c>
      <c r="M26" s="10"/>
      <c r="N26" s="10"/>
      <c r="O26" s="10"/>
      <c r="P26" s="38">
        <f t="shared" si="1"/>
        <v>0</v>
      </c>
      <c r="Q26" s="11"/>
      <c r="R26" s="11"/>
      <c r="S26" s="12">
        <f t="shared" si="2"/>
        <v>0</v>
      </c>
      <c r="T26" s="28">
        <f t="shared" si="3"/>
        <v>0</v>
      </c>
      <c r="U26" s="9"/>
      <c r="V26" s="9"/>
      <c r="W26" s="9"/>
      <c r="X26" s="9"/>
      <c r="Y26" s="9"/>
      <c r="Z26" s="10">
        <f t="shared" si="4"/>
        <v>0</v>
      </c>
      <c r="AA26" s="30">
        <f t="shared" si="5"/>
        <v>0</v>
      </c>
      <c r="AB26" s="32">
        <f t="shared" si="6"/>
        <v>0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5"/>
        <v>0</v>
      </c>
      <c r="AB27" s="32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>
        <f>63+68+109</f>
        <v>240</v>
      </c>
      <c r="K28" s="9">
        <v>238</v>
      </c>
      <c r="L28" s="10">
        <f t="shared" si="0"/>
        <v>2</v>
      </c>
      <c r="M28" s="10"/>
      <c r="N28" s="10"/>
      <c r="O28" s="10"/>
      <c r="P28" s="38">
        <f t="shared" si="1"/>
        <v>99.166666666666671</v>
      </c>
      <c r="Q28" s="11"/>
      <c r="R28" s="11"/>
      <c r="S28" s="12">
        <f t="shared" si="2"/>
        <v>0</v>
      </c>
      <c r="T28" s="28">
        <f t="shared" si="3"/>
        <v>0</v>
      </c>
      <c r="U28" s="9">
        <v>10</v>
      </c>
      <c r="V28" s="9"/>
      <c r="W28" s="9"/>
      <c r="X28" s="9"/>
      <c r="Y28" s="9">
        <v>10</v>
      </c>
      <c r="Z28" s="10">
        <f>+U28+Y28</f>
        <v>20</v>
      </c>
      <c r="AA28" s="30">
        <f t="shared" si="5"/>
        <v>100</v>
      </c>
      <c r="AB28" s="32">
        <f>+(P28+AA28)/2</f>
        <v>99.583333333333343</v>
      </c>
      <c r="AC28" s="63"/>
    </row>
    <row r="29" spans="1:29" ht="27.6" x14ac:dyDescent="0.3">
      <c r="A29" s="24" t="s">
        <v>35</v>
      </c>
      <c r="B29" s="24" t="s">
        <v>64</v>
      </c>
      <c r="C29" s="24" t="s">
        <v>694</v>
      </c>
      <c r="D29" s="23"/>
      <c r="E29" s="20"/>
      <c r="F29" s="21"/>
      <c r="G29" s="23"/>
      <c r="H29" s="23"/>
      <c r="I29" s="3" t="s">
        <v>114</v>
      </c>
      <c r="J29" s="9"/>
      <c r="K29" s="9"/>
      <c r="L29" s="10">
        <f t="shared" si="0"/>
        <v>0</v>
      </c>
      <c r="M29" s="10"/>
      <c r="N29" s="10"/>
      <c r="O29" s="10"/>
      <c r="P29" s="38">
        <f t="shared" si="1"/>
        <v>0</v>
      </c>
      <c r="Q29" s="11"/>
      <c r="R29" s="11"/>
      <c r="S29" s="12">
        <f t="shared" si="2"/>
        <v>0</v>
      </c>
      <c r="T29" s="28">
        <f t="shared" si="3"/>
        <v>0</v>
      </c>
      <c r="U29" s="9"/>
      <c r="V29" s="9"/>
      <c r="W29" s="9"/>
      <c r="X29" s="9"/>
      <c r="Y29" s="9"/>
      <c r="Z29" s="10">
        <f t="shared" si="4"/>
        <v>0</v>
      </c>
      <c r="AA29" s="30">
        <f t="shared" si="5"/>
        <v>0</v>
      </c>
      <c r="AB29" s="32">
        <f t="shared" si="6"/>
        <v>0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/>
      <c r="E30" s="20"/>
      <c r="F30" s="21"/>
      <c r="G30" s="23"/>
      <c r="H30" s="23"/>
      <c r="I30" s="3" t="s">
        <v>115</v>
      </c>
      <c r="J30" s="9"/>
      <c r="K30" s="9"/>
      <c r="L30" s="10">
        <f t="shared" si="0"/>
        <v>0</v>
      </c>
      <c r="M30" s="10"/>
      <c r="N30" s="10"/>
      <c r="O30" s="10"/>
      <c r="P30" s="38">
        <f t="shared" si="1"/>
        <v>0</v>
      </c>
      <c r="Q30" s="11"/>
      <c r="R30" s="11"/>
      <c r="S30" s="12">
        <f t="shared" si="2"/>
        <v>0</v>
      </c>
      <c r="T30" s="28">
        <f t="shared" si="3"/>
        <v>0</v>
      </c>
      <c r="U30" s="9"/>
      <c r="V30" s="9"/>
      <c r="W30" s="9"/>
      <c r="X30" s="9"/>
      <c r="Y30" s="9"/>
      <c r="Z30" s="10">
        <f t="shared" si="4"/>
        <v>0</v>
      </c>
      <c r="AA30" s="30">
        <f t="shared" si="5"/>
        <v>0</v>
      </c>
      <c r="AB30" s="32">
        <f t="shared" si="6"/>
        <v>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5"/>
        <v>0</v>
      </c>
      <c r="AB31" s="32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>
        <v>6</v>
      </c>
      <c r="K32" s="9">
        <v>6</v>
      </c>
      <c r="L32" s="10">
        <f t="shared" si="0"/>
        <v>0</v>
      </c>
      <c r="M32" s="10"/>
      <c r="N32" s="10"/>
      <c r="O32" s="10"/>
      <c r="P32" s="38">
        <f t="shared" si="1"/>
        <v>100</v>
      </c>
      <c r="Q32" s="11"/>
      <c r="R32" s="11"/>
      <c r="S32" s="12">
        <f t="shared" si="2"/>
        <v>0</v>
      </c>
      <c r="T32" s="28">
        <f t="shared" si="3"/>
        <v>0</v>
      </c>
      <c r="U32" s="9">
        <v>10</v>
      </c>
      <c r="V32" s="9"/>
      <c r="W32" s="9"/>
      <c r="X32" s="9"/>
      <c r="Y32" s="9">
        <v>10</v>
      </c>
      <c r="Z32" s="10">
        <f>+U32+Y32</f>
        <v>20</v>
      </c>
      <c r="AA32" s="30">
        <f t="shared" si="5"/>
        <v>100</v>
      </c>
      <c r="AB32" s="32">
        <f>+(P32+AA32)/2</f>
        <v>100</v>
      </c>
      <c r="AC32" s="63"/>
    </row>
    <row r="33" spans="1:29" ht="27.6" x14ac:dyDescent="0.3">
      <c r="A33" s="24" t="s">
        <v>36</v>
      </c>
      <c r="B33" s="24" t="s">
        <v>35</v>
      </c>
      <c r="C33" s="24" t="s">
        <v>694</v>
      </c>
      <c r="D33" s="23"/>
      <c r="E33" s="20"/>
      <c r="F33" s="21"/>
      <c r="G33" s="23"/>
      <c r="H33" s="23"/>
      <c r="I33" s="3" t="s">
        <v>127</v>
      </c>
      <c r="J33" s="9"/>
      <c r="K33" s="9"/>
      <c r="L33" s="10">
        <f t="shared" si="0"/>
        <v>0</v>
      </c>
      <c r="M33" s="10"/>
      <c r="N33" s="10"/>
      <c r="O33" s="10"/>
      <c r="P33" s="38">
        <f t="shared" si="1"/>
        <v>0</v>
      </c>
      <c r="Q33" s="11"/>
      <c r="R33" s="11"/>
      <c r="S33" s="12">
        <f t="shared" si="2"/>
        <v>0</v>
      </c>
      <c r="T33" s="28">
        <f t="shared" si="3"/>
        <v>0</v>
      </c>
      <c r="U33" s="9"/>
      <c r="V33" s="9"/>
      <c r="W33" s="9"/>
      <c r="X33" s="9"/>
      <c r="Y33" s="9"/>
      <c r="Z33" s="10">
        <f t="shared" si="4"/>
        <v>0</v>
      </c>
      <c r="AA33" s="30">
        <f t="shared" si="5"/>
        <v>0</v>
      </c>
      <c r="AB33" s="32">
        <f t="shared" si="6"/>
        <v>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2</v>
      </c>
      <c r="K34" s="9">
        <v>2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ref="Z34:Z35" si="9">+U34+Y34</f>
        <v>20</v>
      </c>
      <c r="AA34" s="30">
        <f t="shared" si="5"/>
        <v>100</v>
      </c>
      <c r="AB34" s="32">
        <f t="shared" ref="AB34:AB35" si="10">+(P34+AA34)/2</f>
        <v>100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>
        <v>16</v>
      </c>
      <c r="K35" s="9">
        <v>15</v>
      </c>
      <c r="L35" s="10">
        <f t="shared" si="0"/>
        <v>1</v>
      </c>
      <c r="M35" s="10"/>
      <c r="N35" s="10"/>
      <c r="O35" s="10"/>
      <c r="P35" s="38">
        <f t="shared" si="1"/>
        <v>93.75</v>
      </c>
      <c r="Q35" s="11"/>
      <c r="R35" s="11"/>
      <c r="S35" s="12">
        <f t="shared" si="2"/>
        <v>0</v>
      </c>
      <c r="T35" s="28">
        <f t="shared" si="3"/>
        <v>0</v>
      </c>
      <c r="U35" s="9">
        <v>9</v>
      </c>
      <c r="V35" s="9"/>
      <c r="W35" s="9"/>
      <c r="X35" s="9"/>
      <c r="Y35" s="9">
        <v>10</v>
      </c>
      <c r="Z35" s="10">
        <f t="shared" si="9"/>
        <v>19</v>
      </c>
      <c r="AA35" s="30">
        <f t="shared" si="5"/>
        <v>95</v>
      </c>
      <c r="AB35" s="32">
        <f t="shared" si="10"/>
        <v>94.375</v>
      </c>
      <c r="AC35" s="63"/>
    </row>
    <row r="36" spans="1:29" ht="41.4" x14ac:dyDescent="0.3">
      <c r="A36" s="24" t="s">
        <v>36</v>
      </c>
      <c r="B36" s="24" t="s">
        <v>35</v>
      </c>
      <c r="C36" s="24" t="s">
        <v>694</v>
      </c>
      <c r="D36" s="23"/>
      <c r="E36" s="20"/>
      <c r="F36" s="21"/>
      <c r="G36" s="23"/>
      <c r="H36" s="23"/>
      <c r="I36" s="3" t="s">
        <v>130</v>
      </c>
      <c r="J36" s="9"/>
      <c r="K36" s="9"/>
      <c r="L36" s="10">
        <f t="shared" si="0"/>
        <v>0</v>
      </c>
      <c r="M36" s="10"/>
      <c r="N36" s="10"/>
      <c r="O36" s="10"/>
      <c r="P36" s="38">
        <f t="shared" si="1"/>
        <v>0</v>
      </c>
      <c r="Q36" s="11"/>
      <c r="R36" s="11"/>
      <c r="S36" s="12">
        <f t="shared" si="2"/>
        <v>0</v>
      </c>
      <c r="T36" s="28">
        <f t="shared" si="3"/>
        <v>0</v>
      </c>
      <c r="U36" s="9"/>
      <c r="V36" s="9"/>
      <c r="W36" s="9"/>
      <c r="X36" s="9"/>
      <c r="Y36" s="9"/>
      <c r="Z36" s="10">
        <f t="shared" si="4"/>
        <v>0</v>
      </c>
      <c r="AA36" s="30">
        <f t="shared" si="5"/>
        <v>0</v>
      </c>
      <c r="AB36" s="32">
        <f t="shared" si="6"/>
        <v>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2</v>
      </c>
      <c r="K37" s="9">
        <v>2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>+U37+Y37</f>
        <v>20</v>
      </c>
      <c r="AA37" s="30">
        <f t="shared" si="5"/>
        <v>100</v>
      </c>
      <c r="AB37" s="32">
        <f>+(P37+AA37)/2</f>
        <v>100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5"/>
        <v>0</v>
      </c>
      <c r="AB38" s="32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/>
      <c r="E39" s="20"/>
      <c r="F39" s="21"/>
      <c r="G39" s="23"/>
      <c r="H39" s="23"/>
      <c r="I39" s="3" t="s">
        <v>155</v>
      </c>
      <c r="J39" s="9">
        <v>1</v>
      </c>
      <c r="K39" s="9">
        <v>1</v>
      </c>
      <c r="L39" s="10">
        <f t="shared" si="0"/>
        <v>0</v>
      </c>
      <c r="M39" s="10"/>
      <c r="N39" s="10"/>
      <c r="O39" s="10"/>
      <c r="P39" s="38">
        <f t="shared" si="1"/>
        <v>100</v>
      </c>
      <c r="Q39" s="11"/>
      <c r="R39" s="11"/>
      <c r="S39" s="12">
        <f t="shared" si="2"/>
        <v>0</v>
      </c>
      <c r="T39" s="28">
        <f t="shared" si="3"/>
        <v>0</v>
      </c>
      <c r="U39" s="9">
        <v>10</v>
      </c>
      <c r="V39" s="9"/>
      <c r="W39" s="9"/>
      <c r="X39" s="9"/>
      <c r="Y39" s="9">
        <v>10</v>
      </c>
      <c r="Z39" s="10">
        <f>+U39+Y39</f>
        <v>20</v>
      </c>
      <c r="AA39" s="30">
        <f t="shared" si="5"/>
        <v>100</v>
      </c>
      <c r="AB39" s="32">
        <f>+(P39+AA39)/2</f>
        <v>100</v>
      </c>
      <c r="AC39" s="63"/>
    </row>
    <row r="40" spans="1:29" ht="27.6" x14ac:dyDescent="0.3">
      <c r="A40" s="24" t="s">
        <v>84</v>
      </c>
      <c r="B40" s="24" t="s">
        <v>35</v>
      </c>
      <c r="C40" s="24" t="s">
        <v>694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5"/>
        <v>0</v>
      </c>
      <c r="AB40" s="32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5"/>
        <v>0</v>
      </c>
      <c r="AB41" s="32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 t="shared" si="4"/>
        <v>0</v>
      </c>
      <c r="AA42" s="30">
        <f t="shared" si="5"/>
        <v>0</v>
      </c>
      <c r="AB42" s="32">
        <f t="shared" si="6"/>
        <v>0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5"/>
        <v>0</v>
      </c>
      <c r="AB43" s="32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si="4"/>
        <v>0</v>
      </c>
      <c r="AA44" s="30">
        <f t="shared" si="5"/>
        <v>0</v>
      </c>
      <c r="AB44" s="32">
        <f t="shared" si="6"/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4"/>
        <v>0</v>
      </c>
      <c r="AA45" s="30">
        <f t="shared" si="5"/>
        <v>0</v>
      </c>
      <c r="AB45" s="32">
        <f t="shared" si="6"/>
        <v>0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4"/>
        <v>0</v>
      </c>
      <c r="AA46" s="30">
        <f t="shared" si="5"/>
        <v>0</v>
      </c>
      <c r="AB46" s="32">
        <f t="shared" si="6"/>
        <v>50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4"/>
        <v>0</v>
      </c>
      <c r="AA47" s="30">
        <f t="shared" si="5"/>
        <v>0</v>
      </c>
      <c r="AB47" s="32">
        <f t="shared" si="6"/>
        <v>0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4"/>
        <v>0</v>
      </c>
      <c r="AA48" s="30">
        <f t="shared" si="5"/>
        <v>0</v>
      </c>
      <c r="AB48" s="32">
        <f t="shared" si="6"/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>SUM(U49:Y49)</f>
        <v>0</v>
      </c>
      <c r="AA49" s="30">
        <f t="shared" si="5"/>
        <v>0</v>
      </c>
      <c r="AB49" s="32"/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>
        <f>26+28</f>
        <v>54</v>
      </c>
      <c r="K50" s="9">
        <f>7+14</f>
        <v>21</v>
      </c>
      <c r="L50" s="10">
        <f t="shared" si="0"/>
        <v>33</v>
      </c>
      <c r="M50" s="10"/>
      <c r="N50" s="10"/>
      <c r="O50" s="10"/>
      <c r="P50" s="38">
        <f t="shared" si="1"/>
        <v>38.888888888888886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>SUM(U50:Y50)</f>
        <v>0</v>
      </c>
      <c r="AA50" s="30">
        <f t="shared" si="5"/>
        <v>0</v>
      </c>
      <c r="AB50" s="32"/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5"/>
        <v>0</v>
      </c>
      <c r="AB51" s="32">
        <f t="shared" si="6"/>
        <v>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5"/>
        <v>0</v>
      </c>
      <c r="AB52" s="32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>
        <v>15</v>
      </c>
      <c r="K53" s="9">
        <v>15</v>
      </c>
      <c r="L53" s="10">
        <f t="shared" si="0"/>
        <v>0</v>
      </c>
      <c r="M53" s="10"/>
      <c r="N53" s="10"/>
      <c r="O53" s="10"/>
      <c r="P53" s="38">
        <f t="shared" si="1"/>
        <v>100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>+U53+Y53</f>
        <v>0</v>
      </c>
      <c r="AA53" s="30">
        <f t="shared" si="5"/>
        <v>0</v>
      </c>
      <c r="AB53" s="32">
        <f>+(P53+AA53)/2</f>
        <v>50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694</v>
      </c>
      <c r="D54" s="23"/>
      <c r="E54" s="20"/>
      <c r="F54" s="21"/>
      <c r="G54" s="23"/>
      <c r="H54" s="23"/>
      <c r="I54" s="3" t="s">
        <v>190</v>
      </c>
      <c r="J54" s="9"/>
      <c r="K54" s="9"/>
      <c r="L54" s="10">
        <f t="shared" si="0"/>
        <v>0</v>
      </c>
      <c r="M54" s="10"/>
      <c r="N54" s="10"/>
      <c r="O54" s="10"/>
      <c r="P54" s="38">
        <f t="shared" si="1"/>
        <v>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si="4"/>
        <v>0</v>
      </c>
      <c r="AA54" s="30">
        <f t="shared" si="5"/>
        <v>0</v>
      </c>
      <c r="AB54" s="32">
        <f t="shared" si="6"/>
        <v>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>
        <v>2</v>
      </c>
      <c r="K55" s="9">
        <v>2</v>
      </c>
      <c r="L55" s="10">
        <f t="shared" si="0"/>
        <v>0</v>
      </c>
      <c r="M55" s="10"/>
      <c r="N55" s="10"/>
      <c r="O55" s="10"/>
      <c r="P55" s="38">
        <f t="shared" si="1"/>
        <v>100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ref="Z55:Z56" si="11">+U55+Y55</f>
        <v>0</v>
      </c>
      <c r="AA55" s="30">
        <f t="shared" si="5"/>
        <v>0</v>
      </c>
      <c r="AB55" s="32">
        <f t="shared" ref="AB55:AB56" si="12">+(P55+AA55)/2</f>
        <v>50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11"/>
        <v>0</v>
      </c>
      <c r="AA56" s="30">
        <f t="shared" si="5"/>
        <v>0</v>
      </c>
      <c r="AB56" s="32">
        <f t="shared" si="12"/>
        <v>0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5"/>
        <v>0</v>
      </c>
      <c r="AB57" s="32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651</v>
      </c>
      <c r="K58" s="67">
        <f>SUM(K10:K55)</f>
        <v>633</v>
      </c>
      <c r="L58" s="68">
        <f>+J58-K58</f>
        <v>18</v>
      </c>
      <c r="M58" s="43"/>
      <c r="N58" s="43"/>
      <c r="O58" s="43"/>
      <c r="P58" s="33">
        <f>(K58*100)/J58</f>
        <v>97.235023041474648</v>
      </c>
      <c r="Q58" s="122"/>
      <c r="R58" s="123"/>
      <c r="S58" s="124"/>
      <c r="T58" s="33">
        <f t="shared" ref="T58:AB58" si="13">AVERAGEIF(T10:T57,"&gt;0")</f>
        <v>120.83333333333333</v>
      </c>
      <c r="U58" s="33">
        <f t="shared" si="13"/>
        <v>9.8000000000000007</v>
      </c>
      <c r="V58" s="33" t="e">
        <f t="shared" si="13"/>
        <v>#DIV/0!</v>
      </c>
      <c r="W58" s="33" t="e">
        <f t="shared" si="13"/>
        <v>#DIV/0!</v>
      </c>
      <c r="X58" s="33" t="e">
        <f t="shared" si="13"/>
        <v>#DIV/0!</v>
      </c>
      <c r="Y58" s="69">
        <f>AVERAGEIF(Y10:Y55,"&gt;0")</f>
        <v>10</v>
      </c>
      <c r="Z58" s="70">
        <f>+U58+Y58</f>
        <v>19.8</v>
      </c>
      <c r="AA58" s="33">
        <f>(Z58*100)/20</f>
        <v>99</v>
      </c>
      <c r="AB58" s="33">
        <f t="shared" si="13"/>
        <v>87.948431866181636</v>
      </c>
      <c r="AC58" s="65"/>
    </row>
  </sheetData>
  <autoFilter ref="A9:AC58" xr:uid="{1F79CC7C-37F3-47EA-9346-9CBF391C9AFD}"/>
  <mergeCells count="18">
    <mergeCell ref="U7:AA7"/>
    <mergeCell ref="AB7:AB8"/>
    <mergeCell ref="AC7:AC8"/>
    <mergeCell ref="Q58:S58"/>
    <mergeCell ref="Q7:T7"/>
    <mergeCell ref="A7:C7"/>
    <mergeCell ref="D7:D8"/>
    <mergeCell ref="E7:G7"/>
    <mergeCell ref="I7:I8"/>
    <mergeCell ref="J7:P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H58 F10:G58" xr:uid="{7D06BF70-DEDC-4DA4-8B74-295C3D4964A4}">
      <formula1>INDIRECT(E10)</formula1>
    </dataValidation>
  </dataValidations>
  <pageMargins left="0.7" right="0.7" top="0.75" bottom="0.75" header="0.3" footer="0.3"/>
  <pageSetup scale="75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150C4B60-0298-4A31-8D88-3E60DF3847E8}">
          <x14:formula1>
            <xm:f>'Lista desplegable'!$A$2:$A$16</xm:f>
          </x14:formula1>
          <xm:sqref>E10:E58</xm:sqref>
        </x14:dataValidation>
        <x14:dataValidation type="list" allowBlank="1" showInputMessage="1" showErrorMessage="1" xr:uid="{F427BF01-5130-400B-AC24-53304F82F054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00E98751-EE03-4465-801A-48DDE4B246CB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9D7A3EE5-FCB2-474F-8847-7A8BB95B43F8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9C26EEF0-CEC9-43B6-92DB-4FB387A499E6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16B1396F-905F-408D-AFF9-1477D81602AB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FE831609-B264-4D63-B915-FC81C9ACF51E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1DDE97AB-8611-4577-9782-8BC334F02858}">
          <x14:formula1>
            <xm:f>'Lista desplegable'!$O$13:$O$37</xm:f>
          </x14:formula1>
          <xm:sqref>G4:G5 I4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FE065-2C98-42C3-BF4B-E7656DF5530E}">
  <dimension ref="A1:AC58"/>
  <sheetViews>
    <sheetView showGridLines="0" view="pageBreakPreview" topLeftCell="A3" zoomScale="124" zoomScaleNormal="100" zoomScaleSheetLayoutView="100" workbookViewId="0">
      <pane xSplit="9" ySplit="7" topLeftCell="J26" activePane="bottomRight" state="frozen"/>
      <selection pane="topRight" activeCell="J3" sqref="J3"/>
      <selection pane="bottomLeft" activeCell="A10" sqref="A10"/>
      <selection pane="bottomRight" activeCell="J29" sqref="J29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4.55468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49"/>
    </row>
    <row r="2" spans="1:29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893</v>
      </c>
      <c r="J4" s="142"/>
      <c r="K4" s="142"/>
      <c r="L4" s="39"/>
      <c r="M4" s="39"/>
      <c r="N4" s="39"/>
      <c r="O4" s="39"/>
      <c r="P4" s="134" t="s">
        <v>5</v>
      </c>
      <c r="Q4" s="134"/>
      <c r="R4" s="135" t="s">
        <v>284</v>
      </c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46"/>
    </row>
    <row r="5" spans="1:29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39"/>
      <c r="N5" s="39"/>
      <c r="O5" s="39"/>
      <c r="P5" s="134" t="s">
        <v>7</v>
      </c>
      <c r="Q5" s="134"/>
      <c r="R5" s="135" t="s">
        <v>8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46"/>
    </row>
    <row r="7" spans="1:29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29"/>
      <c r="O7" s="129"/>
      <c r="P7" s="129"/>
      <c r="Q7" s="130" t="s">
        <v>14</v>
      </c>
      <c r="R7" s="130"/>
      <c r="S7" s="130"/>
      <c r="T7" s="130"/>
      <c r="U7" s="114" t="s">
        <v>15</v>
      </c>
      <c r="V7" s="115"/>
      <c r="W7" s="115"/>
      <c r="X7" s="115"/>
      <c r="Y7" s="115"/>
      <c r="Z7" s="115"/>
      <c r="AA7" s="116"/>
      <c r="AB7" s="117" t="s">
        <v>16</v>
      </c>
      <c r="AC7" s="143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18"/>
      <c r="AC8" s="143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62"/>
    </row>
    <row r="10" spans="1:29" ht="27.6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>
        <v>116</v>
      </c>
      <c r="K10" s="9">
        <v>105</v>
      </c>
      <c r="L10" s="10">
        <f t="shared" ref="L10:L57" si="0">+J10-K10</f>
        <v>11</v>
      </c>
      <c r="M10" s="10"/>
      <c r="N10" s="10"/>
      <c r="O10" s="10"/>
      <c r="P10" s="38">
        <f t="shared" ref="P10:P57" si="1">IFERROR(IF(7&lt;&gt;0, K10*100/J10, IF(J10=K10, K10*100/J10, 0)), 0)</f>
        <v>90.517241379310349</v>
      </c>
      <c r="Q10" s="45"/>
      <c r="R10" s="11"/>
      <c r="S10" s="12">
        <f t="shared" ref="S10:S57" si="2">+Q10-R10</f>
        <v>0</v>
      </c>
      <c r="T10" s="28">
        <f t="shared" ref="T10:T57" si="3">IFERROR(IF(S10&lt;&gt;0, Q10*100/R10, IF(Q10=R10, Q10*100/R10, 0)), 0)</f>
        <v>0</v>
      </c>
      <c r="U10" s="9">
        <v>9</v>
      </c>
      <c r="V10" s="9"/>
      <c r="W10" s="9"/>
      <c r="X10" s="9"/>
      <c r="Y10" s="9">
        <v>10</v>
      </c>
      <c r="Z10" s="10">
        <f>+U10+Y10</f>
        <v>19</v>
      </c>
      <c r="AA10" s="30">
        <f>+Z10*100/20</f>
        <v>95</v>
      </c>
      <c r="AB10" s="32">
        <f>+(P10+AA10)/2</f>
        <v>92.758620689655174</v>
      </c>
      <c r="AC10" s="63"/>
    </row>
    <row r="11" spans="1:29" ht="33.6" customHeight="1" x14ac:dyDescent="0.3">
      <c r="A11" s="24" t="s">
        <v>35</v>
      </c>
      <c r="B11" s="24" t="s">
        <v>36</v>
      </c>
      <c r="C11" s="24" t="s">
        <v>843</v>
      </c>
      <c r="D11" s="23" t="s">
        <v>862</v>
      </c>
      <c r="E11" s="20"/>
      <c r="F11" s="21"/>
      <c r="G11" s="22"/>
      <c r="H11" s="22"/>
      <c r="I11" s="3" t="s">
        <v>49</v>
      </c>
      <c r="J11" s="9">
        <v>15</v>
      </c>
      <c r="K11" s="9">
        <v>14</v>
      </c>
      <c r="L11" s="10">
        <f t="shared" si="0"/>
        <v>1</v>
      </c>
      <c r="M11" s="10"/>
      <c r="N11" s="10"/>
      <c r="O11" s="10"/>
      <c r="P11" s="38">
        <f t="shared" si="1"/>
        <v>93.333333333333329</v>
      </c>
      <c r="Q11" s="11"/>
      <c r="R11" s="11"/>
      <c r="S11" s="12">
        <f t="shared" si="2"/>
        <v>0</v>
      </c>
      <c r="T11" s="28">
        <f t="shared" si="3"/>
        <v>0</v>
      </c>
      <c r="U11" s="9">
        <v>9</v>
      </c>
      <c r="V11" s="9"/>
      <c r="W11" s="9"/>
      <c r="X11" s="9"/>
      <c r="Y11" s="9">
        <v>10</v>
      </c>
      <c r="Z11" s="10">
        <f t="shared" ref="Z11:Z57" si="4">+U11+Y11</f>
        <v>19</v>
      </c>
      <c r="AA11" s="30">
        <f t="shared" ref="AA11:AA57" si="5">+Z11*100/20</f>
        <v>95</v>
      </c>
      <c r="AB11" s="32">
        <f t="shared" ref="AB11:AB57" si="6">+(P11+AA11)/2</f>
        <v>94.166666666666657</v>
      </c>
      <c r="AC11" s="64"/>
    </row>
    <row r="12" spans="1:29" ht="24" x14ac:dyDescent="0.3">
      <c r="A12" s="24" t="s">
        <v>35</v>
      </c>
      <c r="B12" s="24" t="s">
        <v>35</v>
      </c>
      <c r="C12" s="24" t="s">
        <v>843</v>
      </c>
      <c r="D12" s="23" t="s">
        <v>862</v>
      </c>
      <c r="E12" s="20"/>
      <c r="F12" s="21"/>
      <c r="G12" s="22"/>
      <c r="H12" s="22"/>
      <c r="I12" s="3" t="s">
        <v>1009</v>
      </c>
      <c r="J12" s="9">
        <v>40</v>
      </c>
      <c r="K12" s="9">
        <v>40</v>
      </c>
      <c r="L12" s="10">
        <f t="shared" si="0"/>
        <v>0</v>
      </c>
      <c r="M12" s="10"/>
      <c r="N12" s="10"/>
      <c r="O12" s="10"/>
      <c r="P12" s="38">
        <f t="shared" si="1"/>
        <v>100</v>
      </c>
      <c r="Q12" s="11"/>
      <c r="R12" s="11"/>
      <c r="S12" s="12"/>
      <c r="T12" s="28"/>
      <c r="U12" s="9">
        <v>10</v>
      </c>
      <c r="V12" s="9"/>
      <c r="W12" s="9"/>
      <c r="X12" s="9"/>
      <c r="Y12" s="9">
        <v>10</v>
      </c>
      <c r="Z12" s="10">
        <f t="shared" si="4"/>
        <v>20</v>
      </c>
      <c r="AA12" s="30">
        <f t="shared" si="5"/>
        <v>100</v>
      </c>
      <c r="AB12" s="32">
        <f t="shared" si="6"/>
        <v>100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v>67</v>
      </c>
      <c r="K13" s="9">
        <v>66</v>
      </c>
      <c r="L13" s="10">
        <f t="shared" si="0"/>
        <v>1</v>
      </c>
      <c r="M13" s="10"/>
      <c r="N13" s="10"/>
      <c r="O13" s="10"/>
      <c r="P13" s="38">
        <f t="shared" si="1"/>
        <v>98.507462686567166</v>
      </c>
      <c r="Q13" s="11"/>
      <c r="R13" s="11"/>
      <c r="S13" s="12">
        <f t="shared" si="2"/>
        <v>0</v>
      </c>
      <c r="T13" s="28">
        <f t="shared" si="3"/>
        <v>0</v>
      </c>
      <c r="U13" s="9">
        <v>10</v>
      </c>
      <c r="V13" s="9"/>
      <c r="W13" s="9"/>
      <c r="X13" s="9"/>
      <c r="Y13" s="9">
        <v>10</v>
      </c>
      <c r="Z13" s="10">
        <f t="shared" si="4"/>
        <v>20</v>
      </c>
      <c r="AA13" s="30">
        <f t="shared" si="5"/>
        <v>100</v>
      </c>
      <c r="AB13" s="32">
        <f t="shared" si="6"/>
        <v>99.25373134328359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>
        <v>1</v>
      </c>
      <c r="K14" s="9">
        <v>0</v>
      </c>
      <c r="L14" s="10">
        <f t="shared" si="0"/>
        <v>1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>
        <v>0</v>
      </c>
      <c r="V14" s="9"/>
      <c r="W14" s="9"/>
      <c r="X14" s="9"/>
      <c r="Y14" s="9">
        <v>0</v>
      </c>
      <c r="Z14" s="10">
        <f t="shared" si="4"/>
        <v>0</v>
      </c>
      <c r="AA14" s="30">
        <f t="shared" si="5"/>
        <v>0</v>
      </c>
      <c r="AB14" s="32">
        <f t="shared" si="6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694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5"/>
        <v>0</v>
      </c>
      <c r="AB15" s="32">
        <f t="shared" si="6"/>
        <v>0</v>
      </c>
      <c r="AC15" s="64"/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5"/>
        <v>0</v>
      </c>
      <c r="AB16" s="32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>
        <v>31</v>
      </c>
      <c r="K17" s="9">
        <v>31</v>
      </c>
      <c r="L17" s="10">
        <f t="shared" si="0"/>
        <v>0</v>
      </c>
      <c r="M17" s="10"/>
      <c r="N17" s="10"/>
      <c r="O17" s="10"/>
      <c r="P17" s="38">
        <f t="shared" si="1"/>
        <v>100</v>
      </c>
      <c r="Q17" s="11"/>
      <c r="R17" s="11"/>
      <c r="S17" s="12">
        <f t="shared" si="2"/>
        <v>0</v>
      </c>
      <c r="T17" s="28">
        <f t="shared" si="3"/>
        <v>0</v>
      </c>
      <c r="U17" s="9">
        <v>10</v>
      </c>
      <c r="V17" s="9"/>
      <c r="W17" s="9"/>
      <c r="X17" s="9"/>
      <c r="Y17" s="9">
        <v>10</v>
      </c>
      <c r="Z17" s="10">
        <f t="shared" si="4"/>
        <v>20</v>
      </c>
      <c r="AA17" s="30">
        <f t="shared" si="5"/>
        <v>100</v>
      </c>
      <c r="AB17" s="32">
        <f t="shared" si="6"/>
        <v>100</v>
      </c>
      <c r="AC17" s="63"/>
    </row>
    <row r="18" spans="1:29" ht="22.5" customHeight="1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5"/>
        <v>0</v>
      </c>
      <c r="AB18" s="32">
        <f t="shared" si="6"/>
        <v>0</v>
      </c>
      <c r="AC18" s="64"/>
    </row>
    <row r="19" spans="1:29" ht="27.6" x14ac:dyDescent="0.3">
      <c r="A19" s="24" t="s">
        <v>35</v>
      </c>
      <c r="B19" s="24"/>
      <c r="C19" s="24" t="s">
        <v>694</v>
      </c>
      <c r="D19" s="23" t="s">
        <v>862</v>
      </c>
      <c r="E19" s="20"/>
      <c r="F19" s="21"/>
      <c r="G19" s="23"/>
      <c r="H19" s="23"/>
      <c r="I19" s="3" t="s">
        <v>77</v>
      </c>
      <c r="J19" s="9">
        <v>15</v>
      </c>
      <c r="K19" s="9">
        <v>12</v>
      </c>
      <c r="L19" s="10">
        <f t="shared" si="0"/>
        <v>3</v>
      </c>
      <c r="M19" s="10"/>
      <c r="N19" s="10"/>
      <c r="O19" s="10"/>
      <c r="P19" s="38">
        <f t="shared" si="1"/>
        <v>80</v>
      </c>
      <c r="Q19" s="11"/>
      <c r="R19" s="11"/>
      <c r="S19" s="12">
        <f t="shared" si="2"/>
        <v>0</v>
      </c>
      <c r="T19" s="28">
        <f t="shared" si="3"/>
        <v>0</v>
      </c>
      <c r="U19" s="9">
        <v>8</v>
      </c>
      <c r="V19" s="9"/>
      <c r="W19" s="9"/>
      <c r="X19" s="9"/>
      <c r="Y19" s="9">
        <v>10</v>
      </c>
      <c r="Z19" s="10">
        <f t="shared" si="4"/>
        <v>18</v>
      </c>
      <c r="AA19" s="30">
        <f t="shared" si="5"/>
        <v>90</v>
      </c>
      <c r="AB19" s="32">
        <f t="shared" si="6"/>
        <v>85</v>
      </c>
      <c r="AC19" s="64"/>
    </row>
    <row r="20" spans="1:29" ht="27.6" x14ac:dyDescent="0.3">
      <c r="A20" s="24" t="s">
        <v>35</v>
      </c>
      <c r="B20" s="24"/>
      <c r="C20" s="24" t="s">
        <v>853</v>
      </c>
      <c r="D20" s="23" t="s">
        <v>862</v>
      </c>
      <c r="E20" s="20"/>
      <c r="F20" s="21"/>
      <c r="G20" s="23"/>
      <c r="H20" s="23"/>
      <c r="I20" s="3" t="s">
        <v>78</v>
      </c>
      <c r="J20" s="9">
        <v>1</v>
      </c>
      <c r="K20" s="9">
        <v>1</v>
      </c>
      <c r="L20" s="10">
        <f t="shared" si="0"/>
        <v>0</v>
      </c>
      <c r="M20" s="10"/>
      <c r="N20" s="10"/>
      <c r="O20" s="10"/>
      <c r="P20" s="38">
        <f t="shared" si="1"/>
        <v>100</v>
      </c>
      <c r="Q20" s="11"/>
      <c r="R20" s="11"/>
      <c r="S20" s="12">
        <f t="shared" si="2"/>
        <v>0</v>
      </c>
      <c r="T20" s="28">
        <f t="shared" si="3"/>
        <v>0</v>
      </c>
      <c r="U20" s="9">
        <v>10</v>
      </c>
      <c r="V20" s="9"/>
      <c r="W20" s="9"/>
      <c r="X20" s="9"/>
      <c r="Y20" s="9">
        <v>10</v>
      </c>
      <c r="Z20" s="10">
        <f t="shared" si="4"/>
        <v>20</v>
      </c>
      <c r="AA20" s="30">
        <f t="shared" si="5"/>
        <v>100</v>
      </c>
      <c r="AB20" s="32">
        <f t="shared" si="6"/>
        <v>100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>
        <v>1</v>
      </c>
      <c r="K21" s="9">
        <v>1</v>
      </c>
      <c r="L21" s="10">
        <f t="shared" si="0"/>
        <v>0</v>
      </c>
      <c r="M21" s="10"/>
      <c r="N21" s="10"/>
      <c r="O21" s="10"/>
      <c r="P21" s="38">
        <f t="shared" si="1"/>
        <v>100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5"/>
        <v>0</v>
      </c>
      <c r="AB21" s="32">
        <f t="shared" si="6"/>
        <v>50</v>
      </c>
      <c r="AC21" s="64"/>
    </row>
    <row r="22" spans="1:29" ht="27.6" x14ac:dyDescent="0.3">
      <c r="A22" s="24" t="s">
        <v>79</v>
      </c>
      <c r="B22" s="24" t="s">
        <v>35</v>
      </c>
      <c r="C22" s="24" t="s">
        <v>694</v>
      </c>
      <c r="D22" s="23"/>
      <c r="E22" s="20"/>
      <c r="F22" s="21"/>
      <c r="G22" s="23"/>
      <c r="H22" s="23"/>
      <c r="I22" s="3" t="s">
        <v>88</v>
      </c>
      <c r="J22" s="9">
        <v>1</v>
      </c>
      <c r="K22" s="9">
        <v>1</v>
      </c>
      <c r="L22" s="10">
        <f t="shared" si="0"/>
        <v>0</v>
      </c>
      <c r="M22" s="10"/>
      <c r="N22" s="10"/>
      <c r="O22" s="10"/>
      <c r="P22" s="38">
        <f t="shared" si="1"/>
        <v>100</v>
      </c>
      <c r="Q22" s="11"/>
      <c r="R22" s="11"/>
      <c r="S22" s="12">
        <f t="shared" si="2"/>
        <v>0</v>
      </c>
      <c r="T22" s="28">
        <f t="shared" si="3"/>
        <v>0</v>
      </c>
      <c r="U22" s="9"/>
      <c r="V22" s="9"/>
      <c r="W22" s="9"/>
      <c r="X22" s="9"/>
      <c r="Y22" s="9"/>
      <c r="Z22" s="10">
        <f t="shared" si="4"/>
        <v>0</v>
      </c>
      <c r="AA22" s="30">
        <f t="shared" si="5"/>
        <v>0</v>
      </c>
      <c r="AB22" s="32">
        <f t="shared" si="6"/>
        <v>50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>IFERROR(IF(7&lt;&gt;0, K23*100/J23, IF(J23=K23, K23*100/J23, 0)), 0)</f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5"/>
        <v>0</v>
      </c>
      <c r="AB23" s="32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 t="shared" si="4"/>
        <v>20</v>
      </c>
      <c r="AA24" s="30">
        <f t="shared" si="5"/>
        <v>100</v>
      </c>
      <c r="AB24" s="32">
        <f t="shared" si="6"/>
        <v>100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5"/>
        <v>0</v>
      </c>
      <c r="AB25" s="32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694</v>
      </c>
      <c r="D26" s="23" t="s">
        <v>862</v>
      </c>
      <c r="E26" s="20"/>
      <c r="F26" s="21"/>
      <c r="G26" s="23"/>
      <c r="H26" s="23"/>
      <c r="I26" s="3" t="s">
        <v>108</v>
      </c>
      <c r="J26" s="9">
        <v>552</v>
      </c>
      <c r="K26" s="9">
        <v>544</v>
      </c>
      <c r="L26" s="10">
        <f t="shared" si="0"/>
        <v>8</v>
      </c>
      <c r="M26" s="10"/>
      <c r="N26" s="10"/>
      <c r="O26" s="10"/>
      <c r="P26" s="38">
        <f t="shared" si="1"/>
        <v>98.550724637681157</v>
      </c>
      <c r="Q26" s="11"/>
      <c r="R26" s="11"/>
      <c r="S26" s="12">
        <f t="shared" si="2"/>
        <v>0</v>
      </c>
      <c r="T26" s="28">
        <f t="shared" si="3"/>
        <v>0</v>
      </c>
      <c r="U26" s="9">
        <v>10</v>
      </c>
      <c r="V26" s="9"/>
      <c r="W26" s="9"/>
      <c r="X26" s="9"/>
      <c r="Y26" s="9">
        <v>10</v>
      </c>
      <c r="Z26" s="10">
        <f t="shared" si="4"/>
        <v>20</v>
      </c>
      <c r="AA26" s="30">
        <f t="shared" si="5"/>
        <v>100</v>
      </c>
      <c r="AB26" s="32">
        <f t="shared" si="6"/>
        <v>99.275362318840578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5"/>
        <v>0</v>
      </c>
      <c r="AB27" s="32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>
        <v>128</v>
      </c>
      <c r="K28" s="9">
        <v>132</v>
      </c>
      <c r="L28" s="10">
        <f t="shared" si="0"/>
        <v>-4</v>
      </c>
      <c r="M28" s="10"/>
      <c r="N28" s="10"/>
      <c r="O28" s="10"/>
      <c r="P28" s="38">
        <f t="shared" si="1"/>
        <v>103.125</v>
      </c>
      <c r="Q28" s="11"/>
      <c r="R28" s="11"/>
      <c r="S28" s="12">
        <f t="shared" si="2"/>
        <v>0</v>
      </c>
      <c r="T28" s="28">
        <f t="shared" si="3"/>
        <v>0</v>
      </c>
      <c r="U28" s="9">
        <v>10</v>
      </c>
      <c r="V28" s="9"/>
      <c r="W28" s="9"/>
      <c r="X28" s="9"/>
      <c r="Y28" s="9">
        <v>10</v>
      </c>
      <c r="Z28" s="10">
        <f t="shared" si="4"/>
        <v>20</v>
      </c>
      <c r="AA28" s="30">
        <f t="shared" si="5"/>
        <v>100</v>
      </c>
      <c r="AB28" s="32">
        <f t="shared" si="6"/>
        <v>101.5625</v>
      </c>
      <c r="AC28" s="63"/>
    </row>
    <row r="29" spans="1:29" ht="27.6" x14ac:dyDescent="0.3">
      <c r="A29" s="24" t="s">
        <v>35</v>
      </c>
      <c r="B29" s="24" t="s">
        <v>64</v>
      </c>
      <c r="C29" s="24" t="s">
        <v>694</v>
      </c>
      <c r="D29" s="23" t="s">
        <v>862</v>
      </c>
      <c r="E29" s="20"/>
      <c r="F29" s="21"/>
      <c r="G29" s="23"/>
      <c r="H29" s="23"/>
      <c r="I29" s="3" t="s">
        <v>114</v>
      </c>
      <c r="J29" s="9">
        <f>589+56</f>
        <v>645</v>
      </c>
      <c r="K29" s="9">
        <v>689</v>
      </c>
      <c r="L29" s="10">
        <f t="shared" si="0"/>
        <v>-44</v>
      </c>
      <c r="M29" s="10"/>
      <c r="N29" s="10"/>
      <c r="O29" s="10"/>
      <c r="P29" s="38">
        <f t="shared" si="1"/>
        <v>106.82170542635659</v>
      </c>
      <c r="Q29" s="11"/>
      <c r="R29" s="11"/>
      <c r="S29" s="12">
        <f t="shared" si="2"/>
        <v>0</v>
      </c>
      <c r="T29" s="28">
        <f t="shared" si="3"/>
        <v>0</v>
      </c>
      <c r="U29" s="9">
        <v>10</v>
      </c>
      <c r="V29" s="9"/>
      <c r="W29" s="9"/>
      <c r="X29" s="9"/>
      <c r="Y29" s="9">
        <v>10</v>
      </c>
      <c r="Z29" s="10">
        <f t="shared" si="4"/>
        <v>20</v>
      </c>
      <c r="AA29" s="30">
        <f t="shared" si="5"/>
        <v>100</v>
      </c>
      <c r="AB29" s="32">
        <f t="shared" si="6"/>
        <v>103.41085271317829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 t="s">
        <v>862</v>
      </c>
      <c r="E30" s="20"/>
      <c r="F30" s="21"/>
      <c r="G30" s="23"/>
      <c r="H30" s="23"/>
      <c r="I30" s="3" t="s">
        <v>115</v>
      </c>
      <c r="J30" s="9">
        <v>1</v>
      </c>
      <c r="K30" s="9">
        <v>1</v>
      </c>
      <c r="L30" s="10">
        <f t="shared" si="0"/>
        <v>0</v>
      </c>
      <c r="M30" s="10"/>
      <c r="N30" s="10"/>
      <c r="O30" s="10"/>
      <c r="P30" s="38">
        <f t="shared" si="1"/>
        <v>100</v>
      </c>
      <c r="Q30" s="11"/>
      <c r="R30" s="11"/>
      <c r="S30" s="12">
        <f t="shared" si="2"/>
        <v>0</v>
      </c>
      <c r="T30" s="28">
        <f t="shared" si="3"/>
        <v>0</v>
      </c>
      <c r="U30" s="9">
        <v>10</v>
      </c>
      <c r="V30" s="9"/>
      <c r="W30" s="9"/>
      <c r="X30" s="9"/>
      <c r="Y30" s="9">
        <v>10</v>
      </c>
      <c r="Z30" s="10">
        <f t="shared" si="4"/>
        <v>20</v>
      </c>
      <c r="AA30" s="30">
        <f t="shared" si="5"/>
        <v>100</v>
      </c>
      <c r="AB30" s="32">
        <f t="shared" si="6"/>
        <v>100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5"/>
        <v>0</v>
      </c>
      <c r="AB31" s="32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>
        <v>3</v>
      </c>
      <c r="K32" s="9">
        <v>3</v>
      </c>
      <c r="L32" s="10">
        <f t="shared" si="0"/>
        <v>0</v>
      </c>
      <c r="M32" s="10"/>
      <c r="N32" s="10"/>
      <c r="O32" s="10"/>
      <c r="P32" s="38">
        <f t="shared" si="1"/>
        <v>100</v>
      </c>
      <c r="Q32" s="11"/>
      <c r="R32" s="11"/>
      <c r="S32" s="12">
        <f t="shared" si="2"/>
        <v>0</v>
      </c>
      <c r="T32" s="28">
        <f t="shared" si="3"/>
        <v>0</v>
      </c>
      <c r="U32" s="9">
        <v>10</v>
      </c>
      <c r="V32" s="9"/>
      <c r="W32" s="9"/>
      <c r="X32" s="9"/>
      <c r="Y32" s="9">
        <v>10</v>
      </c>
      <c r="Z32" s="10">
        <f t="shared" si="4"/>
        <v>20</v>
      </c>
      <c r="AA32" s="30">
        <f t="shared" si="5"/>
        <v>100</v>
      </c>
      <c r="AB32" s="32">
        <f t="shared" si="6"/>
        <v>100</v>
      </c>
      <c r="AC32" s="63"/>
    </row>
    <row r="33" spans="1:29" ht="27.6" x14ac:dyDescent="0.3">
      <c r="A33" s="24" t="s">
        <v>36</v>
      </c>
      <c r="B33" s="24" t="s">
        <v>35</v>
      </c>
      <c r="C33" s="24" t="s">
        <v>694</v>
      </c>
      <c r="D33" s="23" t="s">
        <v>862</v>
      </c>
      <c r="E33" s="20"/>
      <c r="F33" s="21"/>
      <c r="G33" s="23"/>
      <c r="H33" s="23"/>
      <c r="I33" s="3" t="s">
        <v>127</v>
      </c>
      <c r="J33" s="9">
        <v>1</v>
      </c>
      <c r="K33" s="9">
        <v>1</v>
      </c>
      <c r="L33" s="10">
        <f t="shared" si="0"/>
        <v>0</v>
      </c>
      <c r="M33" s="10"/>
      <c r="N33" s="10"/>
      <c r="O33" s="10"/>
      <c r="P33" s="38">
        <f t="shared" si="1"/>
        <v>100</v>
      </c>
      <c r="Q33" s="11"/>
      <c r="R33" s="11"/>
      <c r="S33" s="12">
        <f t="shared" si="2"/>
        <v>0</v>
      </c>
      <c r="T33" s="28">
        <f t="shared" si="3"/>
        <v>0</v>
      </c>
      <c r="U33" s="9">
        <v>10</v>
      </c>
      <c r="V33" s="9"/>
      <c r="W33" s="9"/>
      <c r="X33" s="9"/>
      <c r="Y33" s="9">
        <v>10</v>
      </c>
      <c r="Z33" s="10">
        <f t="shared" si="4"/>
        <v>20</v>
      </c>
      <c r="AA33" s="30">
        <f t="shared" si="5"/>
        <v>100</v>
      </c>
      <c r="AB33" s="32">
        <f t="shared" si="6"/>
        <v>100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1</v>
      </c>
      <c r="K34" s="9">
        <v>1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si="4"/>
        <v>20</v>
      </c>
      <c r="AA34" s="30">
        <f t="shared" si="5"/>
        <v>100</v>
      </c>
      <c r="AB34" s="32">
        <f t="shared" si="6"/>
        <v>100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/>
      <c r="E35" s="20"/>
      <c r="F35" s="21"/>
      <c r="G35" s="23"/>
      <c r="H35" s="23"/>
      <c r="I35" s="3" t="s">
        <v>129</v>
      </c>
      <c r="J35" s="9">
        <v>1</v>
      </c>
      <c r="K35" s="9">
        <v>1</v>
      </c>
      <c r="L35" s="10">
        <f t="shared" si="0"/>
        <v>0</v>
      </c>
      <c r="M35" s="10"/>
      <c r="N35" s="10"/>
      <c r="O35" s="10"/>
      <c r="P35" s="38">
        <f t="shared" si="1"/>
        <v>100</v>
      </c>
      <c r="Q35" s="11"/>
      <c r="R35" s="11"/>
      <c r="S35" s="12">
        <f t="shared" si="2"/>
        <v>0</v>
      </c>
      <c r="T35" s="28">
        <f t="shared" si="3"/>
        <v>0</v>
      </c>
      <c r="U35" s="9">
        <v>10</v>
      </c>
      <c r="V35" s="9"/>
      <c r="W35" s="9"/>
      <c r="X35" s="9"/>
      <c r="Y35" s="9">
        <v>10</v>
      </c>
      <c r="Z35" s="10">
        <f t="shared" si="4"/>
        <v>20</v>
      </c>
      <c r="AA35" s="30">
        <f t="shared" si="5"/>
        <v>100</v>
      </c>
      <c r="AB35" s="32">
        <f t="shared" si="6"/>
        <v>100</v>
      </c>
      <c r="AC35" s="63"/>
    </row>
    <row r="36" spans="1:29" ht="41.4" x14ac:dyDescent="0.3">
      <c r="A36" s="24" t="s">
        <v>36</v>
      </c>
      <c r="B36" s="24" t="s">
        <v>35</v>
      </c>
      <c r="C36" s="24" t="s">
        <v>694</v>
      </c>
      <c r="D36" s="23" t="s">
        <v>862</v>
      </c>
      <c r="E36" s="20"/>
      <c r="F36" s="21"/>
      <c r="G36" s="23"/>
      <c r="H36" s="23"/>
      <c r="I36" s="3" t="s">
        <v>130</v>
      </c>
      <c r="J36" s="9">
        <v>1</v>
      </c>
      <c r="K36" s="9">
        <v>1</v>
      </c>
      <c r="L36" s="10">
        <f t="shared" si="0"/>
        <v>0</v>
      </c>
      <c r="M36" s="10"/>
      <c r="N36" s="10"/>
      <c r="O36" s="10"/>
      <c r="P36" s="38">
        <f t="shared" si="1"/>
        <v>100</v>
      </c>
      <c r="Q36" s="11"/>
      <c r="R36" s="11"/>
      <c r="S36" s="12">
        <f t="shared" si="2"/>
        <v>0</v>
      </c>
      <c r="T36" s="28">
        <f t="shared" si="3"/>
        <v>0</v>
      </c>
      <c r="U36" s="9">
        <v>10</v>
      </c>
      <c r="V36" s="9"/>
      <c r="W36" s="9"/>
      <c r="X36" s="9"/>
      <c r="Y36" s="9">
        <v>10</v>
      </c>
      <c r="Z36" s="10">
        <f t="shared" si="4"/>
        <v>20</v>
      </c>
      <c r="AA36" s="30">
        <f t="shared" si="5"/>
        <v>100</v>
      </c>
      <c r="AB36" s="32">
        <f t="shared" si="6"/>
        <v>100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1</v>
      </c>
      <c r="K37" s="9">
        <v>1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 t="shared" si="4"/>
        <v>20</v>
      </c>
      <c r="AA37" s="30">
        <f t="shared" si="5"/>
        <v>100</v>
      </c>
      <c r="AB37" s="32">
        <f t="shared" si="6"/>
        <v>100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5"/>
        <v>0</v>
      </c>
      <c r="AB38" s="32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/>
      <c r="E39" s="20"/>
      <c r="F39" s="21"/>
      <c r="G39" s="23"/>
      <c r="H39" s="23"/>
      <c r="I39" s="3" t="s">
        <v>155</v>
      </c>
      <c r="J39" s="9">
        <v>1</v>
      </c>
      <c r="K39" s="9">
        <v>1</v>
      </c>
      <c r="L39" s="10">
        <f t="shared" si="0"/>
        <v>0</v>
      </c>
      <c r="M39" s="10"/>
      <c r="N39" s="10"/>
      <c r="O39" s="10"/>
      <c r="P39" s="38">
        <f t="shared" si="1"/>
        <v>100</v>
      </c>
      <c r="Q39" s="11"/>
      <c r="R39" s="11"/>
      <c r="S39" s="12">
        <f t="shared" si="2"/>
        <v>0</v>
      </c>
      <c r="T39" s="28">
        <f t="shared" si="3"/>
        <v>0</v>
      </c>
      <c r="U39" s="9">
        <v>10</v>
      </c>
      <c r="V39" s="9"/>
      <c r="W39" s="9"/>
      <c r="X39" s="9"/>
      <c r="Y39" s="9">
        <v>10</v>
      </c>
      <c r="Z39" s="10">
        <f t="shared" si="4"/>
        <v>20</v>
      </c>
      <c r="AA39" s="30">
        <f t="shared" si="5"/>
        <v>100</v>
      </c>
      <c r="AB39" s="32">
        <f t="shared" si="6"/>
        <v>100</v>
      </c>
      <c r="AC39" s="63"/>
    </row>
    <row r="40" spans="1:29" ht="27.6" x14ac:dyDescent="0.3">
      <c r="A40" s="24" t="s">
        <v>84</v>
      </c>
      <c r="B40" s="24" t="s">
        <v>35</v>
      </c>
      <c r="C40" s="24" t="s">
        <v>694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5"/>
        <v>0</v>
      </c>
      <c r="AB40" s="32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5"/>
        <v>0</v>
      </c>
      <c r="AB41" s="32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 t="shared" si="4"/>
        <v>0</v>
      </c>
      <c r="AA42" s="30">
        <f t="shared" si="5"/>
        <v>0</v>
      </c>
      <c r="AB42" s="32">
        <f t="shared" si="6"/>
        <v>0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5"/>
        <v>0</v>
      </c>
      <c r="AB43" s="32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si="4"/>
        <v>0</v>
      </c>
      <c r="AA44" s="30">
        <f t="shared" si="5"/>
        <v>0</v>
      </c>
      <c r="AB44" s="32">
        <f t="shared" si="6"/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4"/>
        <v>0</v>
      </c>
      <c r="AA45" s="30">
        <f t="shared" si="5"/>
        <v>0</v>
      </c>
      <c r="AB45" s="32">
        <f t="shared" si="6"/>
        <v>0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4"/>
        <v>0</v>
      </c>
      <c r="AA46" s="30">
        <f t="shared" si="5"/>
        <v>0</v>
      </c>
      <c r="AB46" s="32">
        <f t="shared" si="6"/>
        <v>0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4"/>
        <v>0</v>
      </c>
      <c r="AA47" s="30">
        <f t="shared" si="5"/>
        <v>0</v>
      </c>
      <c r="AB47" s="32">
        <f t="shared" si="6"/>
        <v>0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4"/>
        <v>0</v>
      </c>
      <c r="AA48" s="30">
        <f t="shared" si="5"/>
        <v>0</v>
      </c>
      <c r="AB48" s="32">
        <f t="shared" si="6"/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 t="shared" si="4"/>
        <v>0</v>
      </c>
      <c r="AA49" s="30">
        <f t="shared" si="5"/>
        <v>0</v>
      </c>
      <c r="AB49" s="32">
        <f t="shared" si="6"/>
        <v>0</v>
      </c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/>
      <c r="K50" s="9"/>
      <c r="L50" s="10">
        <f t="shared" si="0"/>
        <v>0</v>
      </c>
      <c r="M50" s="10"/>
      <c r="N50" s="10"/>
      <c r="O50" s="10"/>
      <c r="P50" s="38">
        <f t="shared" si="1"/>
        <v>0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 t="shared" si="4"/>
        <v>0</v>
      </c>
      <c r="AA50" s="30">
        <f t="shared" si="5"/>
        <v>0</v>
      </c>
      <c r="AB50" s="32">
        <f t="shared" si="6"/>
        <v>0</v>
      </c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5"/>
        <v>0</v>
      </c>
      <c r="AB51" s="32">
        <f t="shared" si="6"/>
        <v>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5"/>
        <v>0</v>
      </c>
      <c r="AB52" s="32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 t="shared" si="4"/>
        <v>0</v>
      </c>
      <c r="AA53" s="30">
        <f t="shared" si="5"/>
        <v>0</v>
      </c>
      <c r="AB53" s="32">
        <f t="shared" si="6"/>
        <v>0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694</v>
      </c>
      <c r="D54" s="23" t="s">
        <v>862</v>
      </c>
      <c r="E54" s="20"/>
      <c r="F54" s="21"/>
      <c r="G54" s="23"/>
      <c r="H54" s="23"/>
      <c r="I54" s="3" t="s">
        <v>190</v>
      </c>
      <c r="J54" s="9"/>
      <c r="K54" s="9"/>
      <c r="L54" s="10">
        <f t="shared" si="0"/>
        <v>0</v>
      </c>
      <c r="M54" s="10"/>
      <c r="N54" s="10"/>
      <c r="O54" s="10"/>
      <c r="P54" s="38">
        <f t="shared" si="1"/>
        <v>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si="4"/>
        <v>0</v>
      </c>
      <c r="AA54" s="30">
        <f t="shared" si="5"/>
        <v>0</v>
      </c>
      <c r="AB54" s="32">
        <f t="shared" si="6"/>
        <v>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/>
      <c r="K55" s="9"/>
      <c r="L55" s="10">
        <f t="shared" si="0"/>
        <v>0</v>
      </c>
      <c r="M55" s="10"/>
      <c r="N55" s="10"/>
      <c r="O55" s="10"/>
      <c r="P55" s="38">
        <f t="shared" si="1"/>
        <v>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si="4"/>
        <v>0</v>
      </c>
      <c r="AA55" s="30">
        <f t="shared" si="5"/>
        <v>0</v>
      </c>
      <c r="AB55" s="32">
        <f t="shared" si="6"/>
        <v>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4"/>
        <v>0</v>
      </c>
      <c r="AA56" s="30">
        <f t="shared" si="5"/>
        <v>0</v>
      </c>
      <c r="AB56" s="32">
        <f t="shared" si="6"/>
        <v>0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5"/>
        <v>0</v>
      </c>
      <c r="AB57" s="32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1624</v>
      </c>
      <c r="K58" s="67">
        <f>SUM(K10:K55)</f>
        <v>1647</v>
      </c>
      <c r="L58" s="68">
        <f>+J58-K58</f>
        <v>-23</v>
      </c>
      <c r="M58" s="43"/>
      <c r="N58" s="43"/>
      <c r="O58" s="43"/>
      <c r="P58" s="33">
        <f>(K58*100)/J58</f>
        <v>101.41625615763547</v>
      </c>
      <c r="Q58" s="122"/>
      <c r="R58" s="123"/>
      <c r="S58" s="124"/>
      <c r="T58" s="33">
        <f t="shared" ref="T58" si="7">AVERAGEIF(T10:T57,"&gt;0")</f>
        <v>150</v>
      </c>
      <c r="U58" s="69">
        <f>AVERAGEIF(U10:U55,"&gt;0")</f>
        <v>9.7894736842105257</v>
      </c>
      <c r="V58" s="69" t="e">
        <f t="shared" ref="V58:X58" si="8">AVERAGEIF(V10:V55,"&gt;0")</f>
        <v>#DIV/0!</v>
      </c>
      <c r="W58" s="69" t="e">
        <f t="shared" si="8"/>
        <v>#DIV/0!</v>
      </c>
      <c r="X58" s="69" t="e">
        <f t="shared" si="8"/>
        <v>#DIV/0!</v>
      </c>
      <c r="Y58" s="69">
        <f>AVERAGEIF(Y10:Y55,"&gt;0")</f>
        <v>10</v>
      </c>
      <c r="Z58" s="70">
        <f>+U58+Y58</f>
        <v>19.789473684210527</v>
      </c>
      <c r="AA58" s="33">
        <f>(Z58*100)/20</f>
        <v>98.94736842105263</v>
      </c>
      <c r="AB58" s="33"/>
      <c r="AC58" s="65"/>
    </row>
  </sheetData>
  <autoFilter ref="A9:AC58" xr:uid="{7CDFE065-2C98-42C3-BF4B-E7656DF5530E}"/>
  <mergeCells count="18">
    <mergeCell ref="U7:AA7"/>
    <mergeCell ref="AB7:AB8"/>
    <mergeCell ref="AC7:AC8"/>
    <mergeCell ref="Q58:S58"/>
    <mergeCell ref="Q7:T7"/>
    <mergeCell ref="A7:C7"/>
    <mergeCell ref="D7:D8"/>
    <mergeCell ref="E7:G7"/>
    <mergeCell ref="I7:I8"/>
    <mergeCell ref="J7:P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H58 F10:G58" xr:uid="{182CA3FB-E6F3-4827-9359-D451B6ACC496}">
      <formula1>INDIRECT(E10)</formula1>
    </dataValidation>
  </dataValidations>
  <pageMargins left="0.7" right="0.7" top="0.75" bottom="0.75" header="0.3" footer="0.3"/>
  <pageSetup scale="75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4894034-0A23-4705-9A44-A92C062F5341}">
          <x14:formula1>
            <xm:f>'Lista desplegable'!$A$2:$A$16</xm:f>
          </x14:formula1>
          <xm:sqref>E10:E58</xm:sqref>
        </x14:dataValidation>
        <x14:dataValidation type="list" allowBlank="1" showInputMessage="1" showErrorMessage="1" xr:uid="{108C85A3-15AB-4D1F-B3B0-28A2907ED2AE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E8944AF2-1DC2-4DE0-81D4-8D6B1190E329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3747721C-F722-46E5-A525-4411B5F59F1A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C7442107-AF9E-4397-854F-324D89473D51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7E69906D-8180-4511-B76A-852C84F5CE09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05625965-4F80-49C6-843D-147D42F13337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2AC34E21-D59B-4ED4-8DFF-8C113B40540D}">
          <x14:formula1>
            <xm:f>'Lista desplegable'!$O$13:$O$37</xm:f>
          </x14:formula1>
          <xm:sqref>G4:G5 I4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5B8AC-A69F-4CCC-9CF5-6E817C1B49DE}">
  <dimension ref="A2:H750"/>
  <sheetViews>
    <sheetView zoomScale="144" zoomScaleNormal="100" workbookViewId="0">
      <pane xSplit="3" ySplit="3" topLeftCell="D388" activePane="bottomRight" state="frozen"/>
      <selection activeCell="C25" sqref="C25"/>
      <selection pane="topRight" activeCell="C25" sqref="C25"/>
      <selection pane="bottomLeft" activeCell="C25" sqref="C25"/>
      <selection pane="bottomRight" activeCell="C25" sqref="C25"/>
    </sheetView>
  </sheetViews>
  <sheetFormatPr baseColWidth="10" defaultColWidth="11.44140625" defaultRowHeight="14.4" x14ac:dyDescent="0.3"/>
  <cols>
    <col min="1" max="1" width="11.88671875" customWidth="1"/>
    <col min="2" max="2" width="66.109375" customWidth="1"/>
    <col min="3" max="3" width="23.33203125" customWidth="1"/>
    <col min="4" max="4" width="10.6640625" customWidth="1"/>
    <col min="5" max="6" width="9" style="86" customWidth="1"/>
    <col min="7" max="7" width="6.5546875" style="86" customWidth="1"/>
    <col min="8" max="8" width="7.109375" customWidth="1"/>
  </cols>
  <sheetData>
    <row r="2" spans="1:8" ht="24.9" customHeight="1" x14ac:dyDescent="0.3">
      <c r="A2" s="96" t="s">
        <v>1025</v>
      </c>
      <c r="B2" s="96" t="s">
        <v>1026</v>
      </c>
      <c r="C2" s="96" t="s">
        <v>9</v>
      </c>
      <c r="D2" s="96" t="s">
        <v>1027</v>
      </c>
      <c r="E2" s="97" t="s">
        <v>1028</v>
      </c>
      <c r="F2" s="97" t="s">
        <v>1029</v>
      </c>
      <c r="G2" s="97" t="s">
        <v>1030</v>
      </c>
      <c r="H2" s="96" t="s">
        <v>27</v>
      </c>
    </row>
    <row r="3" spans="1:8" x14ac:dyDescent="0.3">
      <c r="A3" s="87"/>
      <c r="B3" s="87"/>
      <c r="C3" s="87"/>
      <c r="D3" s="87"/>
      <c r="E3" s="88"/>
      <c r="F3" s="88"/>
      <c r="G3" s="88"/>
      <c r="H3" s="87"/>
    </row>
    <row r="4" spans="1:8" x14ac:dyDescent="0.3">
      <c r="A4" s="89" t="s">
        <v>1031</v>
      </c>
      <c r="B4" s="89" t="s">
        <v>47</v>
      </c>
      <c r="C4" s="89" t="s">
        <v>831</v>
      </c>
      <c r="D4" s="89" t="s">
        <v>862</v>
      </c>
      <c r="E4" s="90">
        <v>157</v>
      </c>
      <c r="F4" s="90">
        <v>135</v>
      </c>
      <c r="G4" s="90">
        <f t="shared" ref="G4:G51" si="0">+E4-F4</f>
        <v>22</v>
      </c>
      <c r="H4" s="91">
        <f>IFERROR(IF(7&lt;&gt;0, F4*100/E4, IF(E4=F4, F4*100/E4, 0)), 0)</f>
        <v>85.98726114649682</v>
      </c>
    </row>
    <row r="5" spans="1:8" x14ac:dyDescent="0.3">
      <c r="A5" s="89" t="s">
        <v>1031</v>
      </c>
      <c r="B5" s="89" t="s">
        <v>49</v>
      </c>
      <c r="C5" s="89" t="s">
        <v>843</v>
      </c>
      <c r="D5" s="89"/>
      <c r="E5" s="90"/>
      <c r="F5" s="90"/>
      <c r="G5" s="90">
        <f t="shared" si="0"/>
        <v>0</v>
      </c>
      <c r="H5" s="91">
        <f t="shared" ref="H5:H51" si="1">IFERROR(IF(7&lt;&gt;0, F5*100/E5, IF(E5=F5, F5*100/E5, 0)), 0)</f>
        <v>0</v>
      </c>
    </row>
    <row r="6" spans="1:8" x14ac:dyDescent="0.3">
      <c r="A6" s="89" t="s">
        <v>1031</v>
      </c>
      <c r="B6" s="89" t="s">
        <v>1032</v>
      </c>
      <c r="C6" s="89" t="s">
        <v>843</v>
      </c>
      <c r="D6" s="89"/>
      <c r="E6" s="90"/>
      <c r="F6" s="90"/>
      <c r="G6" s="90">
        <f t="shared" si="0"/>
        <v>0</v>
      </c>
      <c r="H6" s="91">
        <f t="shared" si="1"/>
        <v>0</v>
      </c>
    </row>
    <row r="7" spans="1:8" x14ac:dyDescent="0.3">
      <c r="A7" s="89" t="s">
        <v>1031</v>
      </c>
      <c r="B7" s="89" t="s">
        <v>51</v>
      </c>
      <c r="C7" s="89" t="s">
        <v>853</v>
      </c>
      <c r="D7" s="89" t="s">
        <v>862</v>
      </c>
      <c r="E7" s="90">
        <v>58</v>
      </c>
      <c r="F7" s="90">
        <v>57</v>
      </c>
      <c r="G7" s="90">
        <f t="shared" si="0"/>
        <v>1</v>
      </c>
      <c r="H7" s="91">
        <f t="shared" si="1"/>
        <v>98.275862068965523</v>
      </c>
    </row>
    <row r="8" spans="1:8" x14ac:dyDescent="0.3">
      <c r="A8" s="89" t="s">
        <v>1031</v>
      </c>
      <c r="B8" s="89" t="s">
        <v>55</v>
      </c>
      <c r="C8" s="89" t="s">
        <v>831</v>
      </c>
      <c r="D8" s="89" t="s">
        <v>862</v>
      </c>
      <c r="E8" s="90">
        <v>1</v>
      </c>
      <c r="F8" s="90">
        <v>1</v>
      </c>
      <c r="G8" s="90">
        <f t="shared" si="0"/>
        <v>0</v>
      </c>
      <c r="H8" s="91">
        <f t="shared" si="1"/>
        <v>100</v>
      </c>
    </row>
    <row r="9" spans="1:8" x14ac:dyDescent="0.3">
      <c r="A9" s="89" t="s">
        <v>1031</v>
      </c>
      <c r="B9" s="89" t="s">
        <v>56</v>
      </c>
      <c r="C9" s="89" t="s">
        <v>843</v>
      </c>
      <c r="D9" s="89"/>
      <c r="E9" s="90"/>
      <c r="F9" s="90"/>
      <c r="G9" s="90">
        <f t="shared" si="0"/>
        <v>0</v>
      </c>
      <c r="H9" s="91">
        <f t="shared" si="1"/>
        <v>0</v>
      </c>
    </row>
    <row r="10" spans="1:8" x14ac:dyDescent="0.3">
      <c r="A10" s="89" t="s">
        <v>1031</v>
      </c>
      <c r="B10" s="89" t="s">
        <v>57</v>
      </c>
      <c r="C10" s="89" t="s">
        <v>853</v>
      </c>
      <c r="D10" s="89" t="s">
        <v>762</v>
      </c>
      <c r="E10" s="90">
        <v>57</v>
      </c>
      <c r="F10" s="90">
        <v>43</v>
      </c>
      <c r="G10" s="90">
        <f t="shared" si="0"/>
        <v>14</v>
      </c>
      <c r="H10" s="91">
        <f t="shared" si="1"/>
        <v>75.438596491228068</v>
      </c>
    </row>
    <row r="11" spans="1:8" x14ac:dyDescent="0.3">
      <c r="A11" s="89" t="s">
        <v>1031</v>
      </c>
      <c r="B11" s="89" t="s">
        <v>75</v>
      </c>
      <c r="C11" s="89" t="s">
        <v>831</v>
      </c>
      <c r="D11" s="89" t="s">
        <v>862</v>
      </c>
      <c r="E11" s="90">
        <f>43+16+17</f>
        <v>76</v>
      </c>
      <c r="F11" s="92">
        <v>76</v>
      </c>
      <c r="G11" s="90">
        <f t="shared" si="0"/>
        <v>0</v>
      </c>
      <c r="H11" s="91">
        <f t="shared" si="1"/>
        <v>100</v>
      </c>
    </row>
    <row r="12" spans="1:8" x14ac:dyDescent="0.3">
      <c r="A12" s="89" t="s">
        <v>1031</v>
      </c>
      <c r="B12" s="89" t="s">
        <v>76</v>
      </c>
      <c r="C12" s="89" t="s">
        <v>831</v>
      </c>
      <c r="D12" s="89" t="s">
        <v>1033</v>
      </c>
      <c r="E12" s="90">
        <f>15+15</f>
        <v>30</v>
      </c>
      <c r="F12" s="90">
        <f>15+13</f>
        <v>28</v>
      </c>
      <c r="G12" s="90">
        <f t="shared" si="0"/>
        <v>2</v>
      </c>
      <c r="H12" s="91">
        <f t="shared" si="1"/>
        <v>93.333333333333329</v>
      </c>
    </row>
    <row r="13" spans="1:8" x14ac:dyDescent="0.3">
      <c r="A13" s="89" t="s">
        <v>1031</v>
      </c>
      <c r="B13" s="89" t="s">
        <v>77</v>
      </c>
      <c r="C13" s="89" t="s">
        <v>843</v>
      </c>
      <c r="D13" s="89"/>
      <c r="E13" s="90"/>
      <c r="F13" s="90"/>
      <c r="G13" s="90">
        <f t="shared" si="0"/>
        <v>0</v>
      </c>
      <c r="H13" s="91">
        <f t="shared" si="1"/>
        <v>0</v>
      </c>
    </row>
    <row r="14" spans="1:8" x14ac:dyDescent="0.3">
      <c r="A14" s="93" t="s">
        <v>1031</v>
      </c>
      <c r="B14" s="93" t="s">
        <v>78</v>
      </c>
      <c r="C14" s="93" t="s">
        <v>853</v>
      </c>
      <c r="D14" s="93" t="s">
        <v>862</v>
      </c>
      <c r="E14" s="92">
        <v>1</v>
      </c>
      <c r="F14" s="92">
        <v>1</v>
      </c>
      <c r="G14" s="92">
        <f t="shared" si="0"/>
        <v>0</v>
      </c>
      <c r="H14" s="94">
        <f t="shared" si="1"/>
        <v>100</v>
      </c>
    </row>
    <row r="15" spans="1:8" x14ac:dyDescent="0.3">
      <c r="A15" s="89" t="s">
        <v>1031</v>
      </c>
      <c r="B15" s="89" t="s">
        <v>87</v>
      </c>
      <c r="C15" s="89" t="s">
        <v>831</v>
      </c>
      <c r="D15" s="89" t="s">
        <v>1033</v>
      </c>
      <c r="E15" s="90">
        <v>2</v>
      </c>
      <c r="F15" s="90">
        <v>2</v>
      </c>
      <c r="G15" s="90">
        <f t="shared" si="0"/>
        <v>0</v>
      </c>
      <c r="H15" s="91">
        <f t="shared" si="1"/>
        <v>100</v>
      </c>
    </row>
    <row r="16" spans="1:8" x14ac:dyDescent="0.3">
      <c r="A16" s="89" t="s">
        <v>1031</v>
      </c>
      <c r="B16" s="89" t="s">
        <v>88</v>
      </c>
      <c r="C16" s="89" t="s">
        <v>843</v>
      </c>
      <c r="D16" s="89"/>
      <c r="E16" s="90"/>
      <c r="F16" s="90"/>
      <c r="G16" s="90">
        <f t="shared" si="0"/>
        <v>0</v>
      </c>
      <c r="H16" s="91">
        <f t="shared" si="1"/>
        <v>0</v>
      </c>
    </row>
    <row r="17" spans="1:8" x14ac:dyDescent="0.3">
      <c r="A17" s="89" t="s">
        <v>1031</v>
      </c>
      <c r="B17" s="89" t="s">
        <v>89</v>
      </c>
      <c r="C17" s="89" t="s">
        <v>853</v>
      </c>
      <c r="D17" s="89" t="s">
        <v>762</v>
      </c>
      <c r="E17" s="90">
        <v>1</v>
      </c>
      <c r="F17" s="90">
        <v>1</v>
      </c>
      <c r="G17" s="90">
        <f t="shared" si="0"/>
        <v>0</v>
      </c>
      <c r="H17" s="91">
        <f t="shared" si="1"/>
        <v>100</v>
      </c>
    </row>
    <row r="18" spans="1:8" x14ac:dyDescent="0.3">
      <c r="A18" s="89" t="s">
        <v>1031</v>
      </c>
      <c r="B18" s="89" t="s">
        <v>96</v>
      </c>
      <c r="C18" s="89" t="s">
        <v>95</v>
      </c>
      <c r="D18" s="89" t="s">
        <v>862</v>
      </c>
      <c r="E18" s="90">
        <v>1</v>
      </c>
      <c r="F18" s="90">
        <v>1</v>
      </c>
      <c r="G18" s="90">
        <f t="shared" si="0"/>
        <v>0</v>
      </c>
      <c r="H18" s="91">
        <f t="shared" si="1"/>
        <v>100</v>
      </c>
    </row>
    <row r="19" spans="1:8" x14ac:dyDescent="0.3">
      <c r="A19" s="89" t="s">
        <v>1031</v>
      </c>
      <c r="B19" s="89" t="s">
        <v>107</v>
      </c>
      <c r="C19" s="89" t="s">
        <v>831</v>
      </c>
      <c r="D19" s="89" t="s">
        <v>1033</v>
      </c>
      <c r="E19" s="90">
        <f>114+65+113+64</f>
        <v>356</v>
      </c>
      <c r="F19" s="90">
        <f>58+107+56+100</f>
        <v>321</v>
      </c>
      <c r="G19" s="90">
        <f t="shared" si="0"/>
        <v>35</v>
      </c>
      <c r="H19" s="91">
        <f t="shared" si="1"/>
        <v>90.168539325842701</v>
      </c>
    </row>
    <row r="20" spans="1:8" x14ac:dyDescent="0.3">
      <c r="A20" s="89" t="s">
        <v>1031</v>
      </c>
      <c r="B20" s="89" t="s">
        <v>108</v>
      </c>
      <c r="C20" s="89" t="s">
        <v>843</v>
      </c>
      <c r="D20" s="89"/>
      <c r="E20" s="90"/>
      <c r="F20" s="90"/>
      <c r="G20" s="90">
        <f t="shared" si="0"/>
        <v>0</v>
      </c>
      <c r="H20" s="91">
        <f t="shared" si="1"/>
        <v>0</v>
      </c>
    </row>
    <row r="21" spans="1:8" x14ac:dyDescent="0.3">
      <c r="A21" s="89" t="s">
        <v>1031</v>
      </c>
      <c r="B21" s="89" t="s">
        <v>109</v>
      </c>
      <c r="C21" s="89" t="s">
        <v>853</v>
      </c>
      <c r="D21" s="89" t="s">
        <v>744</v>
      </c>
      <c r="E21" s="90">
        <v>57</v>
      </c>
      <c r="F21" s="90">
        <v>0</v>
      </c>
      <c r="G21" s="90">
        <f t="shared" si="0"/>
        <v>57</v>
      </c>
      <c r="H21" s="91">
        <f t="shared" si="1"/>
        <v>0</v>
      </c>
    </row>
    <row r="22" spans="1:8" x14ac:dyDescent="0.3">
      <c r="A22" s="89" t="s">
        <v>1031</v>
      </c>
      <c r="B22" s="89" t="s">
        <v>113</v>
      </c>
      <c r="C22" s="89" t="s">
        <v>831</v>
      </c>
      <c r="D22" s="89" t="s">
        <v>862</v>
      </c>
      <c r="E22" s="90">
        <f>120+62</f>
        <v>182</v>
      </c>
      <c r="F22" s="90">
        <v>140</v>
      </c>
      <c r="G22" s="90">
        <f t="shared" si="0"/>
        <v>42</v>
      </c>
      <c r="H22" s="91">
        <f t="shared" si="1"/>
        <v>76.92307692307692</v>
      </c>
    </row>
    <row r="23" spans="1:8" x14ac:dyDescent="0.3">
      <c r="A23" s="89" t="s">
        <v>1031</v>
      </c>
      <c r="B23" s="89" t="s">
        <v>114</v>
      </c>
      <c r="C23" s="89" t="s">
        <v>843</v>
      </c>
      <c r="D23" s="89"/>
      <c r="E23" s="90"/>
      <c r="F23" s="90"/>
      <c r="G23" s="90">
        <f t="shared" si="0"/>
        <v>0</v>
      </c>
      <c r="H23" s="91">
        <f t="shared" si="1"/>
        <v>0</v>
      </c>
    </row>
    <row r="24" spans="1:8" x14ac:dyDescent="0.3">
      <c r="A24" s="93" t="s">
        <v>1031</v>
      </c>
      <c r="B24" s="93" t="s">
        <v>115</v>
      </c>
      <c r="C24" s="93" t="s">
        <v>853</v>
      </c>
      <c r="D24" s="93" t="s">
        <v>862</v>
      </c>
      <c r="E24" s="92">
        <v>1</v>
      </c>
      <c r="F24" s="92">
        <v>1</v>
      </c>
      <c r="G24" s="92">
        <f t="shared" si="0"/>
        <v>0</v>
      </c>
      <c r="H24" s="94">
        <f t="shared" si="1"/>
        <v>100</v>
      </c>
    </row>
    <row r="25" spans="1:8" x14ac:dyDescent="0.3">
      <c r="A25" s="89" t="s">
        <v>1031</v>
      </c>
      <c r="B25" s="89" t="s">
        <v>120</v>
      </c>
      <c r="C25" s="89" t="s">
        <v>831</v>
      </c>
      <c r="D25" s="89" t="s">
        <v>744</v>
      </c>
      <c r="E25" s="90">
        <v>19</v>
      </c>
      <c r="F25" s="90">
        <v>19</v>
      </c>
      <c r="G25" s="90">
        <f t="shared" si="0"/>
        <v>0</v>
      </c>
      <c r="H25" s="91">
        <f t="shared" si="1"/>
        <v>100</v>
      </c>
    </row>
    <row r="26" spans="1:8" x14ac:dyDescent="0.3">
      <c r="A26" s="89" t="s">
        <v>1031</v>
      </c>
      <c r="B26" s="89" t="s">
        <v>126</v>
      </c>
      <c r="C26" s="89" t="s">
        <v>831</v>
      </c>
      <c r="D26" s="89" t="s">
        <v>862</v>
      </c>
      <c r="E26" s="90">
        <v>6</v>
      </c>
      <c r="F26" s="90">
        <v>6</v>
      </c>
      <c r="G26" s="90">
        <f t="shared" si="0"/>
        <v>0</v>
      </c>
      <c r="H26" s="91">
        <f t="shared" si="1"/>
        <v>100</v>
      </c>
    </row>
    <row r="27" spans="1:8" x14ac:dyDescent="0.3">
      <c r="A27" s="89" t="s">
        <v>1031</v>
      </c>
      <c r="B27" s="89" t="s">
        <v>127</v>
      </c>
      <c r="C27" s="89" t="s">
        <v>843</v>
      </c>
      <c r="D27" s="89"/>
      <c r="E27" s="90"/>
      <c r="F27" s="90"/>
      <c r="G27" s="90">
        <f t="shared" si="0"/>
        <v>0</v>
      </c>
      <c r="H27" s="91">
        <f t="shared" si="1"/>
        <v>0</v>
      </c>
    </row>
    <row r="28" spans="1:8" x14ac:dyDescent="0.3">
      <c r="A28" s="89" t="s">
        <v>1031</v>
      </c>
      <c r="B28" s="89" t="s">
        <v>128</v>
      </c>
      <c r="C28" s="89" t="s">
        <v>853</v>
      </c>
      <c r="D28" s="89" t="s">
        <v>862</v>
      </c>
      <c r="E28" s="90">
        <v>1</v>
      </c>
      <c r="F28" s="90">
        <v>1</v>
      </c>
      <c r="G28" s="90">
        <f t="shared" si="0"/>
        <v>0</v>
      </c>
      <c r="H28" s="91">
        <f t="shared" si="1"/>
        <v>100</v>
      </c>
    </row>
    <row r="29" spans="1:8" x14ac:dyDescent="0.3">
      <c r="A29" s="89" t="s">
        <v>1031</v>
      </c>
      <c r="B29" s="89" t="s">
        <v>129</v>
      </c>
      <c r="C29" s="89" t="s">
        <v>831</v>
      </c>
      <c r="D29" s="89" t="s">
        <v>862</v>
      </c>
      <c r="E29" s="90">
        <v>11</v>
      </c>
      <c r="F29" s="90">
        <v>10</v>
      </c>
      <c r="G29" s="90">
        <f t="shared" si="0"/>
        <v>1</v>
      </c>
      <c r="H29" s="91">
        <f t="shared" si="1"/>
        <v>90.909090909090907</v>
      </c>
    </row>
    <row r="30" spans="1:8" x14ac:dyDescent="0.3">
      <c r="A30" s="89" t="s">
        <v>1031</v>
      </c>
      <c r="B30" s="89" t="s">
        <v>130</v>
      </c>
      <c r="C30" s="89" t="s">
        <v>843</v>
      </c>
      <c r="D30" s="89"/>
      <c r="E30" s="90"/>
      <c r="F30" s="90"/>
      <c r="G30" s="90">
        <f t="shared" si="0"/>
        <v>0</v>
      </c>
      <c r="H30" s="91">
        <f t="shared" si="1"/>
        <v>0</v>
      </c>
    </row>
    <row r="31" spans="1:8" x14ac:dyDescent="0.3">
      <c r="A31" s="89" t="s">
        <v>1031</v>
      </c>
      <c r="B31" s="89" t="s">
        <v>131</v>
      </c>
      <c r="C31" s="89" t="s">
        <v>853</v>
      </c>
      <c r="D31" s="89" t="s">
        <v>862</v>
      </c>
      <c r="E31" s="90">
        <v>2</v>
      </c>
      <c r="F31" s="90">
        <v>2</v>
      </c>
      <c r="G31" s="90">
        <f t="shared" si="0"/>
        <v>0</v>
      </c>
      <c r="H31" s="91">
        <f t="shared" si="1"/>
        <v>100</v>
      </c>
    </row>
    <row r="32" spans="1:8" x14ac:dyDescent="0.3">
      <c r="A32" s="89" t="s">
        <v>1031</v>
      </c>
      <c r="B32" s="89" t="s">
        <v>141</v>
      </c>
      <c r="C32" s="89" t="s">
        <v>95</v>
      </c>
      <c r="D32" s="89"/>
      <c r="E32" s="90"/>
      <c r="F32" s="90"/>
      <c r="G32" s="90">
        <f t="shared" si="0"/>
        <v>0</v>
      </c>
      <c r="H32" s="91">
        <f t="shared" si="1"/>
        <v>0</v>
      </c>
    </row>
    <row r="33" spans="1:8" x14ac:dyDescent="0.3">
      <c r="A33" s="89" t="s">
        <v>1031</v>
      </c>
      <c r="B33" s="89" t="s">
        <v>155</v>
      </c>
      <c r="C33" s="89" t="s">
        <v>831</v>
      </c>
      <c r="D33" s="89"/>
      <c r="E33" s="90"/>
      <c r="F33" s="90"/>
      <c r="G33" s="90">
        <f t="shared" si="0"/>
        <v>0</v>
      </c>
      <c r="H33" s="91">
        <f t="shared" si="1"/>
        <v>0</v>
      </c>
    </row>
    <row r="34" spans="1:8" x14ac:dyDescent="0.3">
      <c r="A34" s="89" t="s">
        <v>1031</v>
      </c>
      <c r="B34" s="89" t="s">
        <v>156</v>
      </c>
      <c r="C34" s="89" t="s">
        <v>843</v>
      </c>
      <c r="D34" s="89"/>
      <c r="E34" s="90"/>
      <c r="F34" s="90"/>
      <c r="G34" s="90">
        <f t="shared" si="0"/>
        <v>0</v>
      </c>
      <c r="H34" s="91">
        <f t="shared" si="1"/>
        <v>0</v>
      </c>
    </row>
    <row r="35" spans="1:8" x14ac:dyDescent="0.3">
      <c r="A35" s="89" t="s">
        <v>1031</v>
      </c>
      <c r="B35" s="89" t="s">
        <v>157</v>
      </c>
      <c r="C35" s="89" t="s">
        <v>853</v>
      </c>
      <c r="D35" s="89"/>
      <c r="E35" s="90"/>
      <c r="F35" s="90"/>
      <c r="G35" s="90">
        <f t="shared" si="0"/>
        <v>0</v>
      </c>
      <c r="H35" s="91">
        <f t="shared" si="1"/>
        <v>0</v>
      </c>
    </row>
    <row r="36" spans="1:8" x14ac:dyDescent="0.3">
      <c r="A36" s="89" t="s">
        <v>1031</v>
      </c>
      <c r="B36" s="89" t="s">
        <v>164</v>
      </c>
      <c r="C36" s="89" t="s">
        <v>95</v>
      </c>
      <c r="D36" s="89" t="s">
        <v>862</v>
      </c>
      <c r="E36" s="90">
        <v>1</v>
      </c>
      <c r="F36" s="90">
        <v>1</v>
      </c>
      <c r="G36" s="90">
        <f t="shared" si="0"/>
        <v>0</v>
      </c>
      <c r="H36" s="91">
        <f t="shared" si="1"/>
        <v>100</v>
      </c>
    </row>
    <row r="37" spans="1:8" x14ac:dyDescent="0.3">
      <c r="A37" s="89" t="s">
        <v>1031</v>
      </c>
      <c r="B37" s="89" t="s">
        <v>167</v>
      </c>
      <c r="C37" s="89" t="s">
        <v>863</v>
      </c>
      <c r="D37" s="89"/>
      <c r="E37" s="90"/>
      <c r="F37" s="90"/>
      <c r="G37" s="90">
        <f t="shared" si="0"/>
        <v>0</v>
      </c>
      <c r="H37" s="91">
        <f t="shared" si="1"/>
        <v>0</v>
      </c>
    </row>
    <row r="38" spans="1:8" x14ac:dyDescent="0.3">
      <c r="A38" s="89" t="s">
        <v>1031</v>
      </c>
      <c r="B38" s="89" t="s">
        <v>169</v>
      </c>
      <c r="C38" s="89" t="s">
        <v>863</v>
      </c>
      <c r="D38" s="89" t="s">
        <v>862</v>
      </c>
      <c r="E38" s="90"/>
      <c r="F38" s="90"/>
      <c r="G38" s="90">
        <f t="shared" si="0"/>
        <v>0</v>
      </c>
      <c r="H38" s="91">
        <f t="shared" si="1"/>
        <v>0</v>
      </c>
    </row>
    <row r="39" spans="1:8" x14ac:dyDescent="0.3">
      <c r="A39" s="89" t="s">
        <v>1031</v>
      </c>
      <c r="B39" s="89" t="s">
        <v>171</v>
      </c>
      <c r="C39" s="89" t="s">
        <v>863</v>
      </c>
      <c r="D39" s="89" t="s">
        <v>862</v>
      </c>
      <c r="E39" s="90"/>
      <c r="F39" s="90"/>
      <c r="G39" s="90">
        <f t="shared" si="0"/>
        <v>0</v>
      </c>
      <c r="H39" s="91">
        <f t="shared" si="1"/>
        <v>0</v>
      </c>
    </row>
    <row r="40" spans="1:8" x14ac:dyDescent="0.3">
      <c r="A40" s="89" t="s">
        <v>1031</v>
      </c>
      <c r="B40" s="89" t="s">
        <v>172</v>
      </c>
      <c r="C40" s="89" t="s">
        <v>863</v>
      </c>
      <c r="D40" s="89" t="s">
        <v>862</v>
      </c>
      <c r="E40" s="90"/>
      <c r="F40" s="90"/>
      <c r="G40" s="90">
        <f t="shared" si="0"/>
        <v>0</v>
      </c>
      <c r="H40" s="91">
        <f t="shared" si="1"/>
        <v>0</v>
      </c>
    </row>
    <row r="41" spans="1:8" x14ac:dyDescent="0.3">
      <c r="A41" s="89" t="s">
        <v>1031</v>
      </c>
      <c r="B41" s="89" t="s">
        <v>174</v>
      </c>
      <c r="C41" s="89" t="s">
        <v>95</v>
      </c>
      <c r="D41" s="89" t="s">
        <v>862</v>
      </c>
      <c r="E41" s="90">
        <v>1</v>
      </c>
      <c r="F41" s="90">
        <v>1</v>
      </c>
      <c r="G41" s="90">
        <f t="shared" si="0"/>
        <v>0</v>
      </c>
      <c r="H41" s="91">
        <f t="shared" si="1"/>
        <v>100</v>
      </c>
    </row>
    <row r="42" spans="1:8" x14ac:dyDescent="0.3">
      <c r="A42" s="89" t="s">
        <v>1031</v>
      </c>
      <c r="B42" s="89" t="s">
        <v>1012</v>
      </c>
      <c r="C42" s="89" t="s">
        <v>863</v>
      </c>
      <c r="D42" s="89" t="s">
        <v>862</v>
      </c>
      <c r="E42" s="90"/>
      <c r="F42" s="90"/>
      <c r="G42" s="90">
        <f t="shared" si="0"/>
        <v>0</v>
      </c>
      <c r="H42" s="91">
        <f t="shared" si="1"/>
        <v>0</v>
      </c>
    </row>
    <row r="43" spans="1:8" x14ac:dyDescent="0.3">
      <c r="A43" s="89" t="s">
        <v>1031</v>
      </c>
      <c r="B43" s="89" t="s">
        <v>1013</v>
      </c>
      <c r="C43" s="89" t="s">
        <v>863</v>
      </c>
      <c r="D43" s="89" t="s">
        <v>862</v>
      </c>
      <c r="E43" s="90"/>
      <c r="F43" s="90"/>
      <c r="G43" s="90">
        <f t="shared" si="0"/>
        <v>0</v>
      </c>
      <c r="H43" s="91">
        <f t="shared" si="1"/>
        <v>0</v>
      </c>
    </row>
    <row r="44" spans="1:8" x14ac:dyDescent="0.3">
      <c r="A44" s="89" t="s">
        <v>1031</v>
      </c>
      <c r="B44" s="89" t="s">
        <v>1014</v>
      </c>
      <c r="C44" s="89" t="s">
        <v>863</v>
      </c>
      <c r="D44" s="89" t="s">
        <v>862</v>
      </c>
      <c r="E44" s="90"/>
      <c r="F44" s="90"/>
      <c r="G44" s="90">
        <f t="shared" si="0"/>
        <v>0</v>
      </c>
      <c r="H44" s="91">
        <f t="shared" si="1"/>
        <v>0</v>
      </c>
    </row>
    <row r="45" spans="1:8" x14ac:dyDescent="0.3">
      <c r="A45" s="89" t="s">
        <v>1031</v>
      </c>
      <c r="B45" s="89" t="s">
        <v>179</v>
      </c>
      <c r="C45" s="89" t="s">
        <v>863</v>
      </c>
      <c r="D45" s="89"/>
      <c r="E45" s="90"/>
      <c r="F45" s="90"/>
      <c r="G45" s="90">
        <f t="shared" si="0"/>
        <v>0</v>
      </c>
      <c r="H45" s="91">
        <f t="shared" si="1"/>
        <v>0</v>
      </c>
    </row>
    <row r="46" spans="1:8" x14ac:dyDescent="0.3">
      <c r="A46" s="89" t="s">
        <v>1031</v>
      </c>
      <c r="B46" s="89" t="s">
        <v>181</v>
      </c>
      <c r="C46" s="89" t="s">
        <v>863</v>
      </c>
      <c r="D46" s="89"/>
      <c r="E46" s="90"/>
      <c r="F46" s="90"/>
      <c r="G46" s="90">
        <f t="shared" si="0"/>
        <v>0</v>
      </c>
      <c r="H46" s="91">
        <f t="shared" si="1"/>
        <v>0</v>
      </c>
    </row>
    <row r="47" spans="1:8" x14ac:dyDescent="0.3">
      <c r="A47" s="89" t="s">
        <v>1031</v>
      </c>
      <c r="B47" s="89" t="s">
        <v>189</v>
      </c>
      <c r="C47" s="89" t="s">
        <v>831</v>
      </c>
      <c r="D47" s="89" t="s">
        <v>862</v>
      </c>
      <c r="E47" s="90">
        <f>6+6+6</f>
        <v>18</v>
      </c>
      <c r="F47" s="90">
        <f>6+6</f>
        <v>12</v>
      </c>
      <c r="G47" s="90">
        <f t="shared" si="0"/>
        <v>6</v>
      </c>
      <c r="H47" s="91">
        <f t="shared" si="1"/>
        <v>66.666666666666671</v>
      </c>
    </row>
    <row r="48" spans="1:8" x14ac:dyDescent="0.3">
      <c r="A48" s="89" t="s">
        <v>1031</v>
      </c>
      <c r="B48" s="89" t="s">
        <v>190</v>
      </c>
      <c r="C48" s="89" t="s">
        <v>843</v>
      </c>
      <c r="D48" s="89"/>
      <c r="E48" s="90"/>
      <c r="F48" s="90"/>
      <c r="G48" s="90">
        <f t="shared" si="0"/>
        <v>0</v>
      </c>
      <c r="H48" s="91">
        <f t="shared" si="1"/>
        <v>0</v>
      </c>
    </row>
    <row r="49" spans="1:8" x14ac:dyDescent="0.3">
      <c r="A49" s="89" t="s">
        <v>1031</v>
      </c>
      <c r="B49" s="89" t="s">
        <v>191</v>
      </c>
      <c r="C49" s="89" t="s">
        <v>853</v>
      </c>
      <c r="D49" s="89" t="s">
        <v>862</v>
      </c>
      <c r="E49" s="90">
        <v>1</v>
      </c>
      <c r="F49" s="90">
        <v>1</v>
      </c>
      <c r="G49" s="90">
        <f t="shared" si="0"/>
        <v>0</v>
      </c>
      <c r="H49" s="91">
        <f t="shared" si="1"/>
        <v>100</v>
      </c>
    </row>
    <row r="50" spans="1:8" x14ac:dyDescent="0.3">
      <c r="A50" s="89" t="s">
        <v>1031</v>
      </c>
      <c r="B50" s="89" t="s">
        <v>193</v>
      </c>
      <c r="C50" s="89" t="s">
        <v>95</v>
      </c>
      <c r="D50" s="89"/>
      <c r="E50" s="90"/>
      <c r="F50" s="90"/>
      <c r="G50" s="90">
        <f t="shared" si="0"/>
        <v>0</v>
      </c>
      <c r="H50" s="91">
        <f t="shared" si="1"/>
        <v>0</v>
      </c>
    </row>
    <row r="51" spans="1:8" x14ac:dyDescent="0.3">
      <c r="A51" s="89" t="s">
        <v>1031</v>
      </c>
      <c r="B51" s="89" t="s">
        <v>203</v>
      </c>
      <c r="C51" s="89" t="s">
        <v>95</v>
      </c>
      <c r="D51" s="89"/>
      <c r="E51" s="90"/>
      <c r="F51" s="90"/>
      <c r="G51" s="90">
        <f t="shared" si="0"/>
        <v>0</v>
      </c>
      <c r="H51" s="91">
        <f t="shared" si="1"/>
        <v>0</v>
      </c>
    </row>
    <row r="52" spans="1:8" x14ac:dyDescent="0.3">
      <c r="A52" s="89" t="s">
        <v>1034</v>
      </c>
      <c r="B52" s="89" t="s">
        <v>47</v>
      </c>
      <c r="C52" s="89" t="s">
        <v>831</v>
      </c>
      <c r="D52" s="89" t="s">
        <v>862</v>
      </c>
      <c r="E52" s="90">
        <v>145</v>
      </c>
      <c r="F52" s="90">
        <v>134</v>
      </c>
      <c r="G52" s="90">
        <f t="shared" ref="G52:G99" si="2">+E52-F52</f>
        <v>11</v>
      </c>
      <c r="H52" s="91">
        <f t="shared" ref="H52:H99" si="3">IFERROR(IF(7&lt;&gt;0, F52*100/E52, IF(E52=F52, F52*100/E52, 0)), 0)</f>
        <v>92.41379310344827</v>
      </c>
    </row>
    <row r="53" spans="1:8" x14ac:dyDescent="0.3">
      <c r="A53" s="89" t="s">
        <v>1034</v>
      </c>
      <c r="B53" s="89" t="s">
        <v>49</v>
      </c>
      <c r="C53" s="89" t="s">
        <v>843</v>
      </c>
      <c r="D53" s="89"/>
      <c r="E53" s="90"/>
      <c r="F53" s="90"/>
      <c r="G53" s="90">
        <f t="shared" si="2"/>
        <v>0</v>
      </c>
      <c r="H53" s="91">
        <f t="shared" si="3"/>
        <v>0</v>
      </c>
    </row>
    <row r="54" spans="1:8" x14ac:dyDescent="0.3">
      <c r="A54" s="89" t="s">
        <v>1034</v>
      </c>
      <c r="B54" s="89" t="s">
        <v>1032</v>
      </c>
      <c r="C54" s="89" t="s">
        <v>843</v>
      </c>
      <c r="D54" s="89"/>
      <c r="E54" s="90"/>
      <c r="F54" s="90"/>
      <c r="G54" s="90">
        <f t="shared" si="2"/>
        <v>0</v>
      </c>
      <c r="H54" s="91">
        <f t="shared" si="3"/>
        <v>0</v>
      </c>
    </row>
    <row r="55" spans="1:8" x14ac:dyDescent="0.3">
      <c r="A55" s="89" t="s">
        <v>1034</v>
      </c>
      <c r="B55" s="89" t="s">
        <v>51</v>
      </c>
      <c r="C55" s="89" t="s">
        <v>853</v>
      </c>
      <c r="D55" s="89" t="s">
        <v>862</v>
      </c>
      <c r="E55" s="90">
        <v>51</v>
      </c>
      <c r="F55" s="90">
        <v>51</v>
      </c>
      <c r="G55" s="90">
        <f t="shared" si="2"/>
        <v>0</v>
      </c>
      <c r="H55" s="91">
        <f t="shared" si="3"/>
        <v>100</v>
      </c>
    </row>
    <row r="56" spans="1:8" x14ac:dyDescent="0.3">
      <c r="A56" s="89" t="s">
        <v>1034</v>
      </c>
      <c r="B56" s="89" t="s">
        <v>55</v>
      </c>
      <c r="C56" s="89" t="s">
        <v>831</v>
      </c>
      <c r="D56" s="89" t="s">
        <v>862</v>
      </c>
      <c r="E56" s="90">
        <v>1</v>
      </c>
      <c r="F56" s="90">
        <v>1</v>
      </c>
      <c r="G56" s="90">
        <f t="shared" si="2"/>
        <v>0</v>
      </c>
      <c r="H56" s="91">
        <f t="shared" si="3"/>
        <v>100</v>
      </c>
    </row>
    <row r="57" spans="1:8" x14ac:dyDescent="0.3">
      <c r="A57" s="89" t="s">
        <v>1034</v>
      </c>
      <c r="B57" s="89" t="s">
        <v>56</v>
      </c>
      <c r="C57" s="89" t="s">
        <v>843</v>
      </c>
      <c r="D57" s="89"/>
      <c r="E57" s="90"/>
      <c r="F57" s="90"/>
      <c r="G57" s="90">
        <f t="shared" si="2"/>
        <v>0</v>
      </c>
      <c r="H57" s="91">
        <f t="shared" si="3"/>
        <v>0</v>
      </c>
    </row>
    <row r="58" spans="1:8" x14ac:dyDescent="0.3">
      <c r="A58" s="89" t="s">
        <v>1034</v>
      </c>
      <c r="B58" s="89" t="s">
        <v>57</v>
      </c>
      <c r="C58" s="89" t="s">
        <v>853</v>
      </c>
      <c r="D58" s="89" t="s">
        <v>762</v>
      </c>
      <c r="E58" s="90">
        <v>51</v>
      </c>
      <c r="F58" s="90">
        <v>44</v>
      </c>
      <c r="G58" s="90">
        <f t="shared" si="2"/>
        <v>7</v>
      </c>
      <c r="H58" s="91">
        <f t="shared" si="3"/>
        <v>86.274509803921575</v>
      </c>
    </row>
    <row r="59" spans="1:8" x14ac:dyDescent="0.3">
      <c r="A59" s="89" t="s">
        <v>1034</v>
      </c>
      <c r="B59" s="89" t="s">
        <v>75</v>
      </c>
      <c r="C59" s="89" t="s">
        <v>831</v>
      </c>
      <c r="D59" s="89" t="s">
        <v>862</v>
      </c>
      <c r="E59" s="90">
        <v>50</v>
      </c>
      <c r="F59" s="92">
        <v>50</v>
      </c>
      <c r="G59" s="90">
        <f t="shared" si="2"/>
        <v>0</v>
      </c>
      <c r="H59" s="91">
        <f t="shared" si="3"/>
        <v>100</v>
      </c>
    </row>
    <row r="60" spans="1:8" x14ac:dyDescent="0.3">
      <c r="A60" s="89" t="s">
        <v>1034</v>
      </c>
      <c r="B60" s="89" t="s">
        <v>76</v>
      </c>
      <c r="C60" s="89" t="s">
        <v>831</v>
      </c>
      <c r="D60" s="89" t="s">
        <v>1033</v>
      </c>
      <c r="E60" s="90">
        <f>15+15</f>
        <v>30</v>
      </c>
      <c r="F60" s="90">
        <f>15+15</f>
        <v>30</v>
      </c>
      <c r="G60" s="90">
        <f t="shared" si="2"/>
        <v>0</v>
      </c>
      <c r="H60" s="91">
        <f t="shared" si="3"/>
        <v>100</v>
      </c>
    </row>
    <row r="61" spans="1:8" x14ac:dyDescent="0.3">
      <c r="A61" s="89" t="s">
        <v>1034</v>
      </c>
      <c r="B61" s="89" t="s">
        <v>77</v>
      </c>
      <c r="C61" s="89" t="s">
        <v>843</v>
      </c>
      <c r="D61" s="89"/>
      <c r="E61" s="90"/>
      <c r="F61" s="90"/>
      <c r="G61" s="90">
        <f t="shared" si="2"/>
        <v>0</v>
      </c>
      <c r="H61" s="91">
        <f t="shared" si="3"/>
        <v>0</v>
      </c>
    </row>
    <row r="62" spans="1:8" x14ac:dyDescent="0.3">
      <c r="A62" s="93" t="s">
        <v>1034</v>
      </c>
      <c r="B62" s="93" t="s">
        <v>78</v>
      </c>
      <c r="C62" s="93" t="s">
        <v>853</v>
      </c>
      <c r="D62" s="93" t="s">
        <v>862</v>
      </c>
      <c r="E62" s="92">
        <v>1</v>
      </c>
      <c r="F62" s="92">
        <v>1</v>
      </c>
      <c r="G62" s="92">
        <f t="shared" si="2"/>
        <v>0</v>
      </c>
      <c r="H62" s="94">
        <f t="shared" si="3"/>
        <v>100</v>
      </c>
    </row>
    <row r="63" spans="1:8" x14ac:dyDescent="0.3">
      <c r="A63" s="89" t="s">
        <v>1034</v>
      </c>
      <c r="B63" s="89" t="s">
        <v>87</v>
      </c>
      <c r="C63" s="89" t="s">
        <v>831</v>
      </c>
      <c r="D63" s="89" t="s">
        <v>1033</v>
      </c>
      <c r="E63" s="90">
        <v>2</v>
      </c>
      <c r="F63" s="90">
        <v>2</v>
      </c>
      <c r="G63" s="90">
        <f t="shared" si="2"/>
        <v>0</v>
      </c>
      <c r="H63" s="91">
        <f t="shared" si="3"/>
        <v>100</v>
      </c>
    </row>
    <row r="64" spans="1:8" x14ac:dyDescent="0.3">
      <c r="A64" s="89" t="s">
        <v>1034</v>
      </c>
      <c r="B64" s="89" t="s">
        <v>88</v>
      </c>
      <c r="C64" s="89" t="s">
        <v>843</v>
      </c>
      <c r="D64" s="89"/>
      <c r="E64" s="90"/>
      <c r="F64" s="90"/>
      <c r="G64" s="90">
        <f t="shared" si="2"/>
        <v>0</v>
      </c>
      <c r="H64" s="91">
        <f t="shared" si="3"/>
        <v>0</v>
      </c>
    </row>
    <row r="65" spans="1:8" x14ac:dyDescent="0.3">
      <c r="A65" s="89" t="s">
        <v>1034</v>
      </c>
      <c r="B65" s="89" t="s">
        <v>89</v>
      </c>
      <c r="C65" s="89" t="s">
        <v>853</v>
      </c>
      <c r="D65" s="89" t="s">
        <v>762</v>
      </c>
      <c r="E65" s="90">
        <v>1</v>
      </c>
      <c r="F65" s="90">
        <v>1</v>
      </c>
      <c r="G65" s="90">
        <f t="shared" si="2"/>
        <v>0</v>
      </c>
      <c r="H65" s="91">
        <f t="shared" si="3"/>
        <v>100</v>
      </c>
    </row>
    <row r="66" spans="1:8" x14ac:dyDescent="0.3">
      <c r="A66" s="89" t="s">
        <v>1034</v>
      </c>
      <c r="B66" s="89" t="s">
        <v>96</v>
      </c>
      <c r="C66" s="89" t="s">
        <v>95</v>
      </c>
      <c r="D66" s="89" t="s">
        <v>862</v>
      </c>
      <c r="E66" s="90">
        <v>1</v>
      </c>
      <c r="F66" s="90">
        <v>1</v>
      </c>
      <c r="G66" s="90">
        <f t="shared" si="2"/>
        <v>0</v>
      </c>
      <c r="H66" s="91">
        <f t="shared" si="3"/>
        <v>100</v>
      </c>
    </row>
    <row r="67" spans="1:8" x14ac:dyDescent="0.3">
      <c r="A67" s="89" t="s">
        <v>1034</v>
      </c>
      <c r="B67" s="89" t="s">
        <v>107</v>
      </c>
      <c r="C67" s="89" t="s">
        <v>831</v>
      </c>
      <c r="D67" s="89" t="s">
        <v>1033</v>
      </c>
      <c r="E67" s="90">
        <f>109+74+119+74</f>
        <v>376</v>
      </c>
      <c r="F67" s="90">
        <f>55+78+67+109</f>
        <v>309</v>
      </c>
      <c r="G67" s="90">
        <f t="shared" si="2"/>
        <v>67</v>
      </c>
      <c r="H67" s="91">
        <f t="shared" si="3"/>
        <v>82.180851063829792</v>
      </c>
    </row>
    <row r="68" spans="1:8" x14ac:dyDescent="0.3">
      <c r="A68" s="89" t="s">
        <v>1034</v>
      </c>
      <c r="B68" s="89" t="s">
        <v>108</v>
      </c>
      <c r="C68" s="89" t="s">
        <v>843</v>
      </c>
      <c r="D68" s="89"/>
      <c r="E68" s="90"/>
      <c r="F68" s="90"/>
      <c r="G68" s="90">
        <f t="shared" si="2"/>
        <v>0</v>
      </c>
      <c r="H68" s="91">
        <f t="shared" si="3"/>
        <v>0</v>
      </c>
    </row>
    <row r="69" spans="1:8" x14ac:dyDescent="0.3">
      <c r="A69" s="89" t="s">
        <v>1034</v>
      </c>
      <c r="B69" s="89" t="s">
        <v>109</v>
      </c>
      <c r="C69" s="89" t="s">
        <v>853</v>
      </c>
      <c r="D69" s="89" t="s">
        <v>744</v>
      </c>
      <c r="E69" s="90">
        <v>48</v>
      </c>
      <c r="F69" s="90">
        <v>0</v>
      </c>
      <c r="G69" s="90">
        <f t="shared" si="2"/>
        <v>48</v>
      </c>
      <c r="H69" s="91">
        <f t="shared" si="3"/>
        <v>0</v>
      </c>
    </row>
    <row r="70" spans="1:8" x14ac:dyDescent="0.3">
      <c r="A70" s="89" t="s">
        <v>1034</v>
      </c>
      <c r="B70" s="89" t="s">
        <v>113</v>
      </c>
      <c r="C70" s="89" t="s">
        <v>831</v>
      </c>
      <c r="D70" s="89" t="s">
        <v>862</v>
      </c>
      <c r="E70" s="95">
        <v>152</v>
      </c>
      <c r="F70" s="95">
        <v>156</v>
      </c>
      <c r="G70" s="95">
        <f t="shared" si="2"/>
        <v>-4</v>
      </c>
      <c r="H70" s="91">
        <f t="shared" si="3"/>
        <v>102.63157894736842</v>
      </c>
    </row>
    <row r="71" spans="1:8" x14ac:dyDescent="0.3">
      <c r="A71" s="89" t="s">
        <v>1034</v>
      </c>
      <c r="B71" s="89" t="s">
        <v>114</v>
      </c>
      <c r="C71" s="89" t="s">
        <v>843</v>
      </c>
      <c r="D71" s="89"/>
      <c r="E71" s="90"/>
      <c r="F71" s="90"/>
      <c r="G71" s="90">
        <f t="shared" si="2"/>
        <v>0</v>
      </c>
      <c r="H71" s="91">
        <f t="shared" si="3"/>
        <v>0</v>
      </c>
    </row>
    <row r="72" spans="1:8" x14ac:dyDescent="0.3">
      <c r="A72" s="93" t="s">
        <v>1034</v>
      </c>
      <c r="B72" s="93" t="s">
        <v>115</v>
      </c>
      <c r="C72" s="93" t="s">
        <v>853</v>
      </c>
      <c r="D72" s="93" t="s">
        <v>862</v>
      </c>
      <c r="E72" s="92">
        <v>1</v>
      </c>
      <c r="F72" s="92">
        <v>1</v>
      </c>
      <c r="G72" s="92">
        <f t="shared" si="2"/>
        <v>0</v>
      </c>
      <c r="H72" s="94">
        <f t="shared" si="3"/>
        <v>100</v>
      </c>
    </row>
    <row r="73" spans="1:8" x14ac:dyDescent="0.3">
      <c r="A73" s="89" t="s">
        <v>1034</v>
      </c>
      <c r="B73" s="89" t="s">
        <v>120</v>
      </c>
      <c r="C73" s="89" t="s">
        <v>831</v>
      </c>
      <c r="D73" s="89" t="s">
        <v>744</v>
      </c>
      <c r="E73" s="90">
        <v>12</v>
      </c>
      <c r="F73" s="90">
        <v>12</v>
      </c>
      <c r="G73" s="90">
        <f t="shared" si="2"/>
        <v>0</v>
      </c>
      <c r="H73" s="91">
        <f t="shared" si="3"/>
        <v>100</v>
      </c>
    </row>
    <row r="74" spans="1:8" x14ac:dyDescent="0.3">
      <c r="A74" s="89" t="s">
        <v>1034</v>
      </c>
      <c r="B74" s="89" t="s">
        <v>126</v>
      </c>
      <c r="C74" s="89" t="s">
        <v>831</v>
      </c>
      <c r="D74" s="89" t="s">
        <v>862</v>
      </c>
      <c r="E74" s="90">
        <v>4</v>
      </c>
      <c r="F74" s="90">
        <v>4</v>
      </c>
      <c r="G74" s="90">
        <f t="shared" si="2"/>
        <v>0</v>
      </c>
      <c r="H74" s="91">
        <f t="shared" si="3"/>
        <v>100</v>
      </c>
    </row>
    <row r="75" spans="1:8" x14ac:dyDescent="0.3">
      <c r="A75" s="89" t="s">
        <v>1034</v>
      </c>
      <c r="B75" s="89" t="s">
        <v>127</v>
      </c>
      <c r="C75" s="89" t="s">
        <v>843</v>
      </c>
      <c r="D75" s="89"/>
      <c r="E75" s="90"/>
      <c r="F75" s="90"/>
      <c r="G75" s="90">
        <f t="shared" si="2"/>
        <v>0</v>
      </c>
      <c r="H75" s="91">
        <f t="shared" si="3"/>
        <v>0</v>
      </c>
    </row>
    <row r="76" spans="1:8" x14ac:dyDescent="0.3">
      <c r="A76" s="89" t="s">
        <v>1034</v>
      </c>
      <c r="B76" s="89" t="s">
        <v>128</v>
      </c>
      <c r="C76" s="89" t="s">
        <v>853</v>
      </c>
      <c r="D76" s="89" t="s">
        <v>862</v>
      </c>
      <c r="E76" s="90">
        <v>1</v>
      </c>
      <c r="F76" s="90">
        <v>1</v>
      </c>
      <c r="G76" s="90">
        <f t="shared" si="2"/>
        <v>0</v>
      </c>
      <c r="H76" s="91">
        <f t="shared" si="3"/>
        <v>100</v>
      </c>
    </row>
    <row r="77" spans="1:8" x14ac:dyDescent="0.3">
      <c r="A77" s="89" t="s">
        <v>1034</v>
      </c>
      <c r="B77" s="89" t="s">
        <v>129</v>
      </c>
      <c r="C77" s="89" t="s">
        <v>831</v>
      </c>
      <c r="D77" s="89" t="s">
        <v>862</v>
      </c>
      <c r="E77" s="90">
        <v>11</v>
      </c>
      <c r="F77" s="90">
        <v>10</v>
      </c>
      <c r="G77" s="90">
        <f t="shared" si="2"/>
        <v>1</v>
      </c>
      <c r="H77" s="91">
        <f t="shared" si="3"/>
        <v>90.909090909090907</v>
      </c>
    </row>
    <row r="78" spans="1:8" x14ac:dyDescent="0.3">
      <c r="A78" s="89" t="s">
        <v>1034</v>
      </c>
      <c r="B78" s="89" t="s">
        <v>130</v>
      </c>
      <c r="C78" s="89" t="s">
        <v>843</v>
      </c>
      <c r="D78" s="89"/>
      <c r="E78" s="90"/>
      <c r="F78" s="90"/>
      <c r="G78" s="90">
        <f t="shared" si="2"/>
        <v>0</v>
      </c>
      <c r="H78" s="91">
        <f t="shared" si="3"/>
        <v>0</v>
      </c>
    </row>
    <row r="79" spans="1:8" x14ac:dyDescent="0.3">
      <c r="A79" s="89" t="s">
        <v>1034</v>
      </c>
      <c r="B79" s="89" t="s">
        <v>131</v>
      </c>
      <c r="C79" s="89" t="s">
        <v>853</v>
      </c>
      <c r="D79" s="89" t="s">
        <v>862</v>
      </c>
      <c r="E79" s="90">
        <v>1</v>
      </c>
      <c r="F79" s="90">
        <v>1</v>
      </c>
      <c r="G79" s="90">
        <f t="shared" si="2"/>
        <v>0</v>
      </c>
      <c r="H79" s="91">
        <f t="shared" si="3"/>
        <v>100</v>
      </c>
    </row>
    <row r="80" spans="1:8" x14ac:dyDescent="0.3">
      <c r="A80" s="89" t="s">
        <v>1034</v>
      </c>
      <c r="B80" s="89" t="s">
        <v>141</v>
      </c>
      <c r="C80" s="89" t="s">
        <v>95</v>
      </c>
      <c r="D80" s="89"/>
      <c r="E80" s="90"/>
      <c r="F80" s="90"/>
      <c r="G80" s="90">
        <f t="shared" si="2"/>
        <v>0</v>
      </c>
      <c r="H80" s="91">
        <f t="shared" si="3"/>
        <v>0</v>
      </c>
    </row>
    <row r="81" spans="1:8" x14ac:dyDescent="0.3">
      <c r="A81" s="89" t="s">
        <v>1034</v>
      </c>
      <c r="B81" s="89" t="s">
        <v>155</v>
      </c>
      <c r="C81" s="89" t="s">
        <v>831</v>
      </c>
      <c r="D81" s="89"/>
      <c r="E81" s="90"/>
      <c r="F81" s="90"/>
      <c r="G81" s="90">
        <f t="shared" si="2"/>
        <v>0</v>
      </c>
      <c r="H81" s="91">
        <f t="shared" si="3"/>
        <v>0</v>
      </c>
    </row>
    <row r="82" spans="1:8" x14ac:dyDescent="0.3">
      <c r="A82" s="89" t="s">
        <v>1034</v>
      </c>
      <c r="B82" s="89" t="s">
        <v>156</v>
      </c>
      <c r="C82" s="89" t="s">
        <v>843</v>
      </c>
      <c r="D82" s="89"/>
      <c r="E82" s="90"/>
      <c r="F82" s="90"/>
      <c r="G82" s="90">
        <f t="shared" si="2"/>
        <v>0</v>
      </c>
      <c r="H82" s="91">
        <f t="shared" si="3"/>
        <v>0</v>
      </c>
    </row>
    <row r="83" spans="1:8" x14ac:dyDescent="0.3">
      <c r="A83" s="89" t="s">
        <v>1034</v>
      </c>
      <c r="B83" s="89" t="s">
        <v>157</v>
      </c>
      <c r="C83" s="89" t="s">
        <v>853</v>
      </c>
      <c r="D83" s="89"/>
      <c r="E83" s="90"/>
      <c r="F83" s="90"/>
      <c r="G83" s="90">
        <f t="shared" si="2"/>
        <v>0</v>
      </c>
      <c r="H83" s="91">
        <f t="shared" si="3"/>
        <v>0</v>
      </c>
    </row>
    <row r="84" spans="1:8" x14ac:dyDescent="0.3">
      <c r="A84" s="89" t="s">
        <v>1034</v>
      </c>
      <c r="B84" s="89" t="s">
        <v>164</v>
      </c>
      <c r="C84" s="89" t="s">
        <v>95</v>
      </c>
      <c r="D84" s="89" t="s">
        <v>862</v>
      </c>
      <c r="E84" s="90">
        <v>1</v>
      </c>
      <c r="F84" s="90">
        <v>1</v>
      </c>
      <c r="G84" s="90">
        <f t="shared" si="2"/>
        <v>0</v>
      </c>
      <c r="H84" s="91">
        <f t="shared" si="3"/>
        <v>100</v>
      </c>
    </row>
    <row r="85" spans="1:8" x14ac:dyDescent="0.3">
      <c r="A85" s="89" t="s">
        <v>1034</v>
      </c>
      <c r="B85" s="89" t="s">
        <v>167</v>
      </c>
      <c r="C85" s="89" t="s">
        <v>863</v>
      </c>
      <c r="D85" s="89"/>
      <c r="E85" s="90"/>
      <c r="F85" s="90"/>
      <c r="G85" s="90">
        <f t="shared" si="2"/>
        <v>0</v>
      </c>
      <c r="H85" s="91">
        <f t="shared" si="3"/>
        <v>0</v>
      </c>
    </row>
    <row r="86" spans="1:8" x14ac:dyDescent="0.3">
      <c r="A86" s="89" t="s">
        <v>1034</v>
      </c>
      <c r="B86" s="89" t="s">
        <v>169</v>
      </c>
      <c r="C86" s="89" t="s">
        <v>863</v>
      </c>
      <c r="D86" s="89" t="s">
        <v>862</v>
      </c>
      <c r="E86" s="90"/>
      <c r="F86" s="90"/>
      <c r="G86" s="90">
        <f t="shared" si="2"/>
        <v>0</v>
      </c>
      <c r="H86" s="91">
        <f t="shared" si="3"/>
        <v>0</v>
      </c>
    </row>
    <row r="87" spans="1:8" x14ac:dyDescent="0.3">
      <c r="A87" s="89" t="s">
        <v>1034</v>
      </c>
      <c r="B87" s="89" t="s">
        <v>171</v>
      </c>
      <c r="C87" s="89" t="s">
        <v>863</v>
      </c>
      <c r="D87" s="89" t="s">
        <v>862</v>
      </c>
      <c r="E87" s="90"/>
      <c r="F87" s="90"/>
      <c r="G87" s="90">
        <f t="shared" si="2"/>
        <v>0</v>
      </c>
      <c r="H87" s="91">
        <f t="shared" si="3"/>
        <v>0</v>
      </c>
    </row>
    <row r="88" spans="1:8" x14ac:dyDescent="0.3">
      <c r="A88" s="89" t="s">
        <v>1034</v>
      </c>
      <c r="B88" s="89" t="s">
        <v>172</v>
      </c>
      <c r="C88" s="89" t="s">
        <v>863</v>
      </c>
      <c r="D88" s="89" t="s">
        <v>862</v>
      </c>
      <c r="E88" s="90"/>
      <c r="F88" s="90"/>
      <c r="G88" s="90">
        <f t="shared" si="2"/>
        <v>0</v>
      </c>
      <c r="H88" s="91">
        <f t="shared" si="3"/>
        <v>0</v>
      </c>
    </row>
    <row r="89" spans="1:8" x14ac:dyDescent="0.3">
      <c r="A89" s="89" t="s">
        <v>1034</v>
      </c>
      <c r="B89" s="89" t="s">
        <v>174</v>
      </c>
      <c r="C89" s="89" t="s">
        <v>95</v>
      </c>
      <c r="D89" s="89" t="s">
        <v>862</v>
      </c>
      <c r="E89" s="90">
        <v>0</v>
      </c>
      <c r="F89" s="90">
        <v>0</v>
      </c>
      <c r="G89" s="90">
        <f t="shared" si="2"/>
        <v>0</v>
      </c>
      <c r="H89" s="91">
        <f t="shared" si="3"/>
        <v>0</v>
      </c>
    </row>
    <row r="90" spans="1:8" x14ac:dyDescent="0.3">
      <c r="A90" s="89" t="s">
        <v>1034</v>
      </c>
      <c r="B90" s="89" t="s">
        <v>1012</v>
      </c>
      <c r="C90" s="89" t="s">
        <v>863</v>
      </c>
      <c r="D90" s="89" t="s">
        <v>862</v>
      </c>
      <c r="E90" s="90"/>
      <c r="F90" s="90"/>
      <c r="G90" s="90">
        <f t="shared" si="2"/>
        <v>0</v>
      </c>
      <c r="H90" s="91">
        <f t="shared" si="3"/>
        <v>0</v>
      </c>
    </row>
    <row r="91" spans="1:8" x14ac:dyDescent="0.3">
      <c r="A91" s="89" t="s">
        <v>1034</v>
      </c>
      <c r="B91" s="89" t="s">
        <v>1013</v>
      </c>
      <c r="C91" s="89" t="s">
        <v>863</v>
      </c>
      <c r="D91" s="89" t="s">
        <v>862</v>
      </c>
      <c r="E91" s="90"/>
      <c r="F91" s="90"/>
      <c r="G91" s="90">
        <f t="shared" si="2"/>
        <v>0</v>
      </c>
      <c r="H91" s="91">
        <f t="shared" si="3"/>
        <v>0</v>
      </c>
    </row>
    <row r="92" spans="1:8" x14ac:dyDescent="0.3">
      <c r="A92" s="89" t="s">
        <v>1034</v>
      </c>
      <c r="B92" s="89" t="s">
        <v>1014</v>
      </c>
      <c r="C92" s="89" t="s">
        <v>863</v>
      </c>
      <c r="D92" s="89" t="s">
        <v>862</v>
      </c>
      <c r="E92" s="90"/>
      <c r="F92" s="90"/>
      <c r="G92" s="90">
        <f t="shared" si="2"/>
        <v>0</v>
      </c>
      <c r="H92" s="91">
        <f t="shared" si="3"/>
        <v>0</v>
      </c>
    </row>
    <row r="93" spans="1:8" x14ac:dyDescent="0.3">
      <c r="A93" s="89" t="s">
        <v>1034</v>
      </c>
      <c r="B93" s="89" t="s">
        <v>179</v>
      </c>
      <c r="C93" s="89" t="s">
        <v>863</v>
      </c>
      <c r="D93" s="89"/>
      <c r="E93" s="90"/>
      <c r="F93" s="90"/>
      <c r="G93" s="90">
        <f t="shared" si="2"/>
        <v>0</v>
      </c>
      <c r="H93" s="91">
        <f t="shared" si="3"/>
        <v>0</v>
      </c>
    </row>
    <row r="94" spans="1:8" x14ac:dyDescent="0.3">
      <c r="A94" s="89" t="s">
        <v>1034</v>
      </c>
      <c r="B94" s="89" t="s">
        <v>181</v>
      </c>
      <c r="C94" s="89" t="s">
        <v>863</v>
      </c>
      <c r="D94" s="89"/>
      <c r="E94" s="90"/>
      <c r="F94" s="90"/>
      <c r="G94" s="90">
        <f t="shared" si="2"/>
        <v>0</v>
      </c>
      <c r="H94" s="91">
        <f t="shared" si="3"/>
        <v>0</v>
      </c>
    </row>
    <row r="95" spans="1:8" x14ac:dyDescent="0.3">
      <c r="A95" s="89" t="s">
        <v>1034</v>
      </c>
      <c r="B95" s="89" t="s">
        <v>189</v>
      </c>
      <c r="C95" s="89" t="s">
        <v>831</v>
      </c>
      <c r="D95" s="89" t="s">
        <v>862</v>
      </c>
      <c r="E95" s="90">
        <f>3+4+4</f>
        <v>11</v>
      </c>
      <c r="F95" s="90">
        <v>11</v>
      </c>
      <c r="G95" s="90">
        <f t="shared" si="2"/>
        <v>0</v>
      </c>
      <c r="H95" s="91">
        <f t="shared" si="3"/>
        <v>100</v>
      </c>
    </row>
    <row r="96" spans="1:8" x14ac:dyDescent="0.3">
      <c r="A96" s="89" t="s">
        <v>1034</v>
      </c>
      <c r="B96" s="89" t="s">
        <v>190</v>
      </c>
      <c r="C96" s="89" t="s">
        <v>843</v>
      </c>
      <c r="D96" s="89"/>
      <c r="E96" s="90"/>
      <c r="F96" s="90"/>
      <c r="G96" s="90">
        <f t="shared" si="2"/>
        <v>0</v>
      </c>
      <c r="H96" s="91">
        <f t="shared" si="3"/>
        <v>0</v>
      </c>
    </row>
    <row r="97" spans="1:8" x14ac:dyDescent="0.3">
      <c r="A97" s="89" t="s">
        <v>1034</v>
      </c>
      <c r="B97" s="89" t="s">
        <v>191</v>
      </c>
      <c r="C97" s="89" t="s">
        <v>853</v>
      </c>
      <c r="D97" s="89" t="s">
        <v>862</v>
      </c>
      <c r="E97" s="90">
        <v>1</v>
      </c>
      <c r="F97" s="90">
        <v>1</v>
      </c>
      <c r="G97" s="90">
        <f t="shared" si="2"/>
        <v>0</v>
      </c>
      <c r="H97" s="91">
        <f t="shared" si="3"/>
        <v>100</v>
      </c>
    </row>
    <row r="98" spans="1:8" x14ac:dyDescent="0.3">
      <c r="A98" s="89" t="s">
        <v>1034</v>
      </c>
      <c r="B98" s="89" t="s">
        <v>193</v>
      </c>
      <c r="C98" s="89" t="s">
        <v>95</v>
      </c>
      <c r="D98" s="89"/>
      <c r="E98" s="90"/>
      <c r="F98" s="90"/>
      <c r="G98" s="90">
        <f t="shared" si="2"/>
        <v>0</v>
      </c>
      <c r="H98" s="91">
        <f t="shared" si="3"/>
        <v>0</v>
      </c>
    </row>
    <row r="99" spans="1:8" x14ac:dyDescent="0.3">
      <c r="A99" s="89" t="s">
        <v>1034</v>
      </c>
      <c r="B99" s="89" t="s">
        <v>203</v>
      </c>
      <c r="C99" s="89" t="s">
        <v>95</v>
      </c>
      <c r="D99" s="89"/>
      <c r="E99" s="90"/>
      <c r="F99" s="90"/>
      <c r="G99" s="90">
        <f t="shared" si="2"/>
        <v>0</v>
      </c>
      <c r="H99" s="91">
        <f t="shared" si="3"/>
        <v>0</v>
      </c>
    </row>
    <row r="100" spans="1:8" x14ac:dyDescent="0.3">
      <c r="A100" s="89" t="s">
        <v>1035</v>
      </c>
      <c r="B100" s="89" t="s">
        <v>47</v>
      </c>
      <c r="C100" s="89" t="s">
        <v>831</v>
      </c>
      <c r="D100" s="89" t="s">
        <v>862</v>
      </c>
      <c r="E100" s="90">
        <v>236</v>
      </c>
      <c r="F100" s="90">
        <v>221</v>
      </c>
      <c r="G100" s="90">
        <f t="shared" ref="G100:G163" si="4">+E100-F100</f>
        <v>15</v>
      </c>
      <c r="H100" s="91">
        <f t="shared" ref="H100:H163" si="5">IFERROR(IF(7&lt;&gt;0, F100*100/E100, IF(E100=F100, F100*100/E100, 0)), 0)</f>
        <v>93.644067796610173</v>
      </c>
    </row>
    <row r="101" spans="1:8" x14ac:dyDescent="0.3">
      <c r="A101" s="89" t="s">
        <v>1035</v>
      </c>
      <c r="B101" s="89" t="s">
        <v>49</v>
      </c>
      <c r="C101" s="89" t="s">
        <v>843</v>
      </c>
      <c r="D101" s="89"/>
      <c r="E101" s="90"/>
      <c r="F101" s="90"/>
      <c r="G101" s="90">
        <f t="shared" si="4"/>
        <v>0</v>
      </c>
      <c r="H101" s="91">
        <f t="shared" si="5"/>
        <v>0</v>
      </c>
    </row>
    <row r="102" spans="1:8" x14ac:dyDescent="0.3">
      <c r="A102" s="89" t="s">
        <v>1035</v>
      </c>
      <c r="B102" s="89" t="s">
        <v>1032</v>
      </c>
      <c r="C102" s="89" t="s">
        <v>843</v>
      </c>
      <c r="D102" s="89"/>
      <c r="E102" s="90"/>
      <c r="F102" s="90"/>
      <c r="G102" s="90">
        <f t="shared" si="4"/>
        <v>0</v>
      </c>
      <c r="H102" s="91">
        <f t="shared" si="5"/>
        <v>0</v>
      </c>
    </row>
    <row r="103" spans="1:8" x14ac:dyDescent="0.3">
      <c r="A103" s="89" t="s">
        <v>1035</v>
      </c>
      <c r="B103" s="89" t="s">
        <v>51</v>
      </c>
      <c r="C103" s="89" t="s">
        <v>853</v>
      </c>
      <c r="D103" s="89" t="s">
        <v>862</v>
      </c>
      <c r="E103" s="90">
        <v>49</v>
      </c>
      <c r="F103" s="90">
        <v>41</v>
      </c>
      <c r="G103" s="90">
        <f t="shared" si="4"/>
        <v>8</v>
      </c>
      <c r="H103" s="91">
        <f t="shared" si="5"/>
        <v>83.673469387755105</v>
      </c>
    </row>
    <row r="104" spans="1:8" x14ac:dyDescent="0.3">
      <c r="A104" s="89" t="s">
        <v>1035</v>
      </c>
      <c r="B104" s="89" t="s">
        <v>55</v>
      </c>
      <c r="C104" s="89" t="s">
        <v>831</v>
      </c>
      <c r="D104" s="89" t="s">
        <v>862</v>
      </c>
      <c r="E104" s="90">
        <v>1</v>
      </c>
      <c r="F104" s="90">
        <v>0</v>
      </c>
      <c r="G104" s="90">
        <f t="shared" si="4"/>
        <v>1</v>
      </c>
      <c r="H104" s="91">
        <f t="shared" si="5"/>
        <v>0</v>
      </c>
    </row>
    <row r="105" spans="1:8" x14ac:dyDescent="0.3">
      <c r="A105" s="89" t="s">
        <v>1035</v>
      </c>
      <c r="B105" s="89" t="s">
        <v>56</v>
      </c>
      <c r="C105" s="89" t="s">
        <v>843</v>
      </c>
      <c r="D105" s="89"/>
      <c r="E105" s="90"/>
      <c r="F105" s="90"/>
      <c r="G105" s="90">
        <f t="shared" si="4"/>
        <v>0</v>
      </c>
      <c r="H105" s="91">
        <f t="shared" si="5"/>
        <v>0</v>
      </c>
    </row>
    <row r="106" spans="1:8" x14ac:dyDescent="0.3">
      <c r="A106" s="89" t="s">
        <v>1035</v>
      </c>
      <c r="B106" s="89" t="s">
        <v>57</v>
      </c>
      <c r="C106" s="89" t="s">
        <v>853</v>
      </c>
      <c r="D106" s="89" t="s">
        <v>762</v>
      </c>
      <c r="E106" s="90">
        <v>50</v>
      </c>
      <c r="F106" s="90">
        <v>26</v>
      </c>
      <c r="G106" s="90">
        <f t="shared" si="4"/>
        <v>24</v>
      </c>
      <c r="H106" s="91">
        <f t="shared" si="5"/>
        <v>52</v>
      </c>
    </row>
    <row r="107" spans="1:8" x14ac:dyDescent="0.3">
      <c r="A107" s="89" t="s">
        <v>1035</v>
      </c>
      <c r="B107" s="89" t="s">
        <v>75</v>
      </c>
      <c r="C107" s="89" t="s">
        <v>831</v>
      </c>
      <c r="D107" s="89" t="s">
        <v>862</v>
      </c>
      <c r="E107" s="90">
        <v>90</v>
      </c>
      <c r="F107" s="92">
        <v>90</v>
      </c>
      <c r="G107" s="90">
        <f t="shared" si="4"/>
        <v>0</v>
      </c>
      <c r="H107" s="91">
        <f t="shared" si="5"/>
        <v>100</v>
      </c>
    </row>
    <row r="108" spans="1:8" x14ac:dyDescent="0.3">
      <c r="A108" s="89" t="s">
        <v>1035</v>
      </c>
      <c r="B108" s="89" t="s">
        <v>76</v>
      </c>
      <c r="C108" s="89" t="s">
        <v>831</v>
      </c>
      <c r="D108" s="89" t="s">
        <v>1033</v>
      </c>
      <c r="E108" s="90">
        <f>15+15</f>
        <v>30</v>
      </c>
      <c r="F108" s="90">
        <f>14+15</f>
        <v>29</v>
      </c>
      <c r="G108" s="90">
        <f t="shared" si="4"/>
        <v>1</v>
      </c>
      <c r="H108" s="91">
        <f t="shared" si="5"/>
        <v>96.666666666666671</v>
      </c>
    </row>
    <row r="109" spans="1:8" x14ac:dyDescent="0.3">
      <c r="A109" s="89" t="s">
        <v>1035</v>
      </c>
      <c r="B109" s="89" t="s">
        <v>77</v>
      </c>
      <c r="C109" s="89" t="s">
        <v>843</v>
      </c>
      <c r="D109" s="89"/>
      <c r="E109" s="90"/>
      <c r="F109" s="90"/>
      <c r="G109" s="90">
        <f t="shared" si="4"/>
        <v>0</v>
      </c>
      <c r="H109" s="91">
        <f t="shared" si="5"/>
        <v>0</v>
      </c>
    </row>
    <row r="110" spans="1:8" x14ac:dyDescent="0.3">
      <c r="A110" s="93" t="s">
        <v>1035</v>
      </c>
      <c r="B110" s="93" t="s">
        <v>78</v>
      </c>
      <c r="C110" s="93" t="s">
        <v>853</v>
      </c>
      <c r="D110" s="93" t="s">
        <v>862</v>
      </c>
      <c r="E110" s="92">
        <v>1</v>
      </c>
      <c r="F110" s="92">
        <v>1</v>
      </c>
      <c r="G110" s="92">
        <f t="shared" si="4"/>
        <v>0</v>
      </c>
      <c r="H110" s="94">
        <f t="shared" si="5"/>
        <v>100</v>
      </c>
    </row>
    <row r="111" spans="1:8" x14ac:dyDescent="0.3">
      <c r="A111" s="89" t="s">
        <v>1035</v>
      </c>
      <c r="B111" s="89" t="s">
        <v>87</v>
      </c>
      <c r="C111" s="89" t="s">
        <v>831</v>
      </c>
      <c r="D111" s="89" t="s">
        <v>1033</v>
      </c>
      <c r="E111" s="90">
        <v>2</v>
      </c>
      <c r="F111" s="90">
        <v>2</v>
      </c>
      <c r="G111" s="90">
        <f t="shared" si="4"/>
        <v>0</v>
      </c>
      <c r="H111" s="91">
        <f t="shared" si="5"/>
        <v>100</v>
      </c>
    </row>
    <row r="112" spans="1:8" x14ac:dyDescent="0.3">
      <c r="A112" s="89" t="s">
        <v>1035</v>
      </c>
      <c r="B112" s="89" t="s">
        <v>88</v>
      </c>
      <c r="C112" s="89" t="s">
        <v>843</v>
      </c>
      <c r="D112" s="89"/>
      <c r="E112" s="90"/>
      <c r="F112" s="90"/>
      <c r="G112" s="90">
        <f t="shared" si="4"/>
        <v>0</v>
      </c>
      <c r="H112" s="91">
        <f t="shared" si="5"/>
        <v>0</v>
      </c>
    </row>
    <row r="113" spans="1:8" x14ac:dyDescent="0.3">
      <c r="A113" s="89" t="s">
        <v>1035</v>
      </c>
      <c r="B113" s="89" t="s">
        <v>89</v>
      </c>
      <c r="C113" s="89" t="s">
        <v>853</v>
      </c>
      <c r="D113" s="89" t="s">
        <v>762</v>
      </c>
      <c r="E113" s="90">
        <v>1</v>
      </c>
      <c r="F113" s="90">
        <v>1</v>
      </c>
      <c r="G113" s="90">
        <f t="shared" si="4"/>
        <v>0</v>
      </c>
      <c r="H113" s="91">
        <f t="shared" si="5"/>
        <v>100</v>
      </c>
    </row>
    <row r="114" spans="1:8" x14ac:dyDescent="0.3">
      <c r="A114" s="89" t="s">
        <v>1035</v>
      </c>
      <c r="B114" s="89" t="s">
        <v>96</v>
      </c>
      <c r="C114" s="89" t="s">
        <v>95</v>
      </c>
      <c r="D114" s="89" t="s">
        <v>862</v>
      </c>
      <c r="E114" s="90">
        <v>1</v>
      </c>
      <c r="F114" s="90">
        <v>1</v>
      </c>
      <c r="G114" s="90">
        <f t="shared" si="4"/>
        <v>0</v>
      </c>
      <c r="H114" s="91">
        <f t="shared" si="5"/>
        <v>100</v>
      </c>
    </row>
    <row r="115" spans="1:8" x14ac:dyDescent="0.3">
      <c r="A115" s="89" t="s">
        <v>1035</v>
      </c>
      <c r="B115" s="89" t="s">
        <v>107</v>
      </c>
      <c r="C115" s="89" t="s">
        <v>831</v>
      </c>
      <c r="D115" s="89" t="s">
        <v>1033</v>
      </c>
      <c r="E115" s="90">
        <f>216+65+66+222</f>
        <v>569</v>
      </c>
      <c r="F115" s="90">
        <f>59+189+208+63</f>
        <v>519</v>
      </c>
      <c r="G115" s="90">
        <f t="shared" si="4"/>
        <v>50</v>
      </c>
      <c r="H115" s="91">
        <f t="shared" si="5"/>
        <v>91.212653778558874</v>
      </c>
    </row>
    <row r="116" spans="1:8" x14ac:dyDescent="0.3">
      <c r="A116" s="89" t="s">
        <v>1035</v>
      </c>
      <c r="B116" s="89" t="s">
        <v>108</v>
      </c>
      <c r="C116" s="89" t="s">
        <v>843</v>
      </c>
      <c r="D116" s="89"/>
      <c r="E116" s="90"/>
      <c r="F116" s="90"/>
      <c r="G116" s="90">
        <f t="shared" si="4"/>
        <v>0</v>
      </c>
      <c r="H116" s="91">
        <f t="shared" si="5"/>
        <v>0</v>
      </c>
    </row>
    <row r="117" spans="1:8" x14ac:dyDescent="0.3">
      <c r="A117" s="89" t="s">
        <v>1035</v>
      </c>
      <c r="B117" s="89" t="s">
        <v>109</v>
      </c>
      <c r="C117" s="89" t="s">
        <v>853</v>
      </c>
      <c r="D117" s="89" t="s">
        <v>744</v>
      </c>
      <c r="E117" s="90">
        <v>47</v>
      </c>
      <c r="F117" s="90">
        <v>0</v>
      </c>
      <c r="G117" s="90">
        <f t="shared" si="4"/>
        <v>47</v>
      </c>
      <c r="H117" s="91">
        <f t="shared" si="5"/>
        <v>0</v>
      </c>
    </row>
    <row r="118" spans="1:8" x14ac:dyDescent="0.3">
      <c r="A118" s="89" t="s">
        <v>1035</v>
      </c>
      <c r="B118" s="89" t="s">
        <v>113</v>
      </c>
      <c r="C118" s="89" t="s">
        <v>831</v>
      </c>
      <c r="D118" s="89" t="s">
        <v>862</v>
      </c>
      <c r="E118" s="90">
        <v>265</v>
      </c>
      <c r="F118" s="90">
        <v>244</v>
      </c>
      <c r="G118" s="90">
        <f t="shared" si="4"/>
        <v>21</v>
      </c>
      <c r="H118" s="91">
        <f t="shared" si="5"/>
        <v>92.075471698113205</v>
      </c>
    </row>
    <row r="119" spans="1:8" x14ac:dyDescent="0.3">
      <c r="A119" s="89" t="s">
        <v>1035</v>
      </c>
      <c r="B119" s="89" t="s">
        <v>114</v>
      </c>
      <c r="C119" s="89" t="s">
        <v>843</v>
      </c>
      <c r="D119" s="89"/>
      <c r="E119" s="90"/>
      <c r="F119" s="90"/>
      <c r="G119" s="90">
        <f t="shared" si="4"/>
        <v>0</v>
      </c>
      <c r="H119" s="91">
        <f t="shared" si="5"/>
        <v>0</v>
      </c>
    </row>
    <row r="120" spans="1:8" x14ac:dyDescent="0.3">
      <c r="A120" s="93" t="s">
        <v>1035</v>
      </c>
      <c r="B120" s="93" t="s">
        <v>115</v>
      </c>
      <c r="C120" s="93" t="s">
        <v>853</v>
      </c>
      <c r="D120" s="93" t="s">
        <v>862</v>
      </c>
      <c r="E120" s="92">
        <v>1</v>
      </c>
      <c r="F120" s="92">
        <v>1</v>
      </c>
      <c r="G120" s="92">
        <f t="shared" si="4"/>
        <v>0</v>
      </c>
      <c r="H120" s="94">
        <f t="shared" si="5"/>
        <v>100</v>
      </c>
    </row>
    <row r="121" spans="1:8" x14ac:dyDescent="0.3">
      <c r="A121" s="89" t="s">
        <v>1035</v>
      </c>
      <c r="B121" s="89" t="s">
        <v>120</v>
      </c>
      <c r="C121" s="89" t="s">
        <v>831</v>
      </c>
      <c r="D121" s="89" t="s">
        <v>744</v>
      </c>
      <c r="E121" s="90">
        <v>19</v>
      </c>
      <c r="F121" s="90">
        <v>19</v>
      </c>
      <c r="G121" s="90">
        <f t="shared" si="4"/>
        <v>0</v>
      </c>
      <c r="H121" s="91">
        <f t="shared" si="5"/>
        <v>100</v>
      </c>
    </row>
    <row r="122" spans="1:8" x14ac:dyDescent="0.3">
      <c r="A122" s="89" t="s">
        <v>1035</v>
      </c>
      <c r="B122" s="89" t="s">
        <v>126</v>
      </c>
      <c r="C122" s="89" t="s">
        <v>831</v>
      </c>
      <c r="D122" s="89" t="s">
        <v>862</v>
      </c>
      <c r="E122" s="90">
        <v>7</v>
      </c>
      <c r="F122" s="90">
        <v>7</v>
      </c>
      <c r="G122" s="90">
        <f t="shared" si="4"/>
        <v>0</v>
      </c>
      <c r="H122" s="91">
        <f t="shared" si="5"/>
        <v>100</v>
      </c>
    </row>
    <row r="123" spans="1:8" x14ac:dyDescent="0.3">
      <c r="A123" s="89" t="s">
        <v>1035</v>
      </c>
      <c r="B123" s="89" t="s">
        <v>127</v>
      </c>
      <c r="C123" s="89" t="s">
        <v>843</v>
      </c>
      <c r="D123" s="89"/>
      <c r="E123" s="90"/>
      <c r="F123" s="90"/>
      <c r="G123" s="90">
        <f t="shared" si="4"/>
        <v>0</v>
      </c>
      <c r="H123" s="91">
        <f t="shared" si="5"/>
        <v>0</v>
      </c>
    </row>
    <row r="124" spans="1:8" x14ac:dyDescent="0.3">
      <c r="A124" s="89" t="s">
        <v>1035</v>
      </c>
      <c r="B124" s="89" t="s">
        <v>128</v>
      </c>
      <c r="C124" s="89" t="s">
        <v>853</v>
      </c>
      <c r="D124" s="89" t="s">
        <v>862</v>
      </c>
      <c r="E124" s="90">
        <v>1</v>
      </c>
      <c r="F124" s="90">
        <v>1</v>
      </c>
      <c r="G124" s="90">
        <f t="shared" si="4"/>
        <v>0</v>
      </c>
      <c r="H124" s="91">
        <f t="shared" si="5"/>
        <v>100</v>
      </c>
    </row>
    <row r="125" spans="1:8" x14ac:dyDescent="0.3">
      <c r="A125" s="89" t="s">
        <v>1035</v>
      </c>
      <c r="B125" s="89" t="s">
        <v>129</v>
      </c>
      <c r="C125" s="89" t="s">
        <v>831</v>
      </c>
      <c r="D125" s="89" t="s">
        <v>862</v>
      </c>
      <c r="E125" s="90">
        <v>11</v>
      </c>
      <c r="F125" s="90">
        <v>10</v>
      </c>
      <c r="G125" s="90">
        <f t="shared" si="4"/>
        <v>1</v>
      </c>
      <c r="H125" s="91">
        <f t="shared" si="5"/>
        <v>90.909090909090907</v>
      </c>
    </row>
    <row r="126" spans="1:8" x14ac:dyDescent="0.3">
      <c r="A126" s="89" t="s">
        <v>1035</v>
      </c>
      <c r="B126" s="89" t="s">
        <v>130</v>
      </c>
      <c r="C126" s="89" t="s">
        <v>843</v>
      </c>
      <c r="D126" s="89"/>
      <c r="E126" s="90"/>
      <c r="F126" s="90"/>
      <c r="G126" s="90">
        <f t="shared" si="4"/>
        <v>0</v>
      </c>
      <c r="H126" s="91">
        <f t="shared" si="5"/>
        <v>0</v>
      </c>
    </row>
    <row r="127" spans="1:8" x14ac:dyDescent="0.3">
      <c r="A127" s="89" t="s">
        <v>1035</v>
      </c>
      <c r="B127" s="89" t="s">
        <v>131</v>
      </c>
      <c r="C127" s="89" t="s">
        <v>853</v>
      </c>
      <c r="D127" s="89" t="s">
        <v>862</v>
      </c>
      <c r="E127" s="90">
        <v>1</v>
      </c>
      <c r="F127" s="90">
        <v>1</v>
      </c>
      <c r="G127" s="90">
        <f t="shared" si="4"/>
        <v>0</v>
      </c>
      <c r="H127" s="91">
        <f t="shared" si="5"/>
        <v>100</v>
      </c>
    </row>
    <row r="128" spans="1:8" x14ac:dyDescent="0.3">
      <c r="A128" s="89" t="s">
        <v>1035</v>
      </c>
      <c r="B128" s="89" t="s">
        <v>141</v>
      </c>
      <c r="C128" s="89" t="s">
        <v>95</v>
      </c>
      <c r="D128" s="89"/>
      <c r="E128" s="90"/>
      <c r="F128" s="90"/>
      <c r="G128" s="90">
        <f t="shared" si="4"/>
        <v>0</v>
      </c>
      <c r="H128" s="91">
        <f t="shared" si="5"/>
        <v>0</v>
      </c>
    </row>
    <row r="129" spans="1:8" x14ac:dyDescent="0.3">
      <c r="A129" s="89" t="s">
        <v>1035</v>
      </c>
      <c r="B129" s="89" t="s">
        <v>155</v>
      </c>
      <c r="C129" s="89" t="s">
        <v>831</v>
      </c>
      <c r="D129" s="89"/>
      <c r="E129" s="90"/>
      <c r="F129" s="90"/>
      <c r="G129" s="90">
        <f t="shared" si="4"/>
        <v>0</v>
      </c>
      <c r="H129" s="91">
        <f t="shared" si="5"/>
        <v>0</v>
      </c>
    </row>
    <row r="130" spans="1:8" x14ac:dyDescent="0.3">
      <c r="A130" s="89" t="s">
        <v>1035</v>
      </c>
      <c r="B130" s="89" t="s">
        <v>156</v>
      </c>
      <c r="C130" s="89" t="s">
        <v>843</v>
      </c>
      <c r="D130" s="89"/>
      <c r="E130" s="90"/>
      <c r="F130" s="90"/>
      <c r="G130" s="90">
        <f t="shared" si="4"/>
        <v>0</v>
      </c>
      <c r="H130" s="91">
        <f t="shared" si="5"/>
        <v>0</v>
      </c>
    </row>
    <row r="131" spans="1:8" x14ac:dyDescent="0.3">
      <c r="A131" s="89" t="s">
        <v>1035</v>
      </c>
      <c r="B131" s="89" t="s">
        <v>157</v>
      </c>
      <c r="C131" s="89" t="s">
        <v>853</v>
      </c>
      <c r="D131" s="89"/>
      <c r="E131" s="90"/>
      <c r="F131" s="90"/>
      <c r="G131" s="90">
        <f t="shared" si="4"/>
        <v>0</v>
      </c>
      <c r="H131" s="91">
        <f t="shared" si="5"/>
        <v>0</v>
      </c>
    </row>
    <row r="132" spans="1:8" x14ac:dyDescent="0.3">
      <c r="A132" s="89" t="s">
        <v>1035</v>
      </c>
      <c r="B132" s="89" t="s">
        <v>164</v>
      </c>
      <c r="C132" s="89" t="s">
        <v>95</v>
      </c>
      <c r="D132" s="89" t="s">
        <v>862</v>
      </c>
      <c r="E132" s="90">
        <v>1</v>
      </c>
      <c r="F132" s="90">
        <v>1</v>
      </c>
      <c r="G132" s="90">
        <f t="shared" si="4"/>
        <v>0</v>
      </c>
      <c r="H132" s="91">
        <f t="shared" si="5"/>
        <v>100</v>
      </c>
    </row>
    <row r="133" spans="1:8" x14ac:dyDescent="0.3">
      <c r="A133" s="89" t="s">
        <v>1035</v>
      </c>
      <c r="B133" s="89" t="s">
        <v>167</v>
      </c>
      <c r="C133" s="89" t="s">
        <v>863</v>
      </c>
      <c r="D133" s="89"/>
      <c r="E133" s="90"/>
      <c r="F133" s="90"/>
      <c r="G133" s="90">
        <f t="shared" si="4"/>
        <v>0</v>
      </c>
      <c r="H133" s="91">
        <f t="shared" si="5"/>
        <v>0</v>
      </c>
    </row>
    <row r="134" spans="1:8" x14ac:dyDescent="0.3">
      <c r="A134" s="89" t="s">
        <v>1035</v>
      </c>
      <c r="B134" s="89" t="s">
        <v>169</v>
      </c>
      <c r="C134" s="89" t="s">
        <v>863</v>
      </c>
      <c r="D134" s="89" t="s">
        <v>862</v>
      </c>
      <c r="E134" s="90"/>
      <c r="F134" s="90"/>
      <c r="G134" s="90">
        <f t="shared" si="4"/>
        <v>0</v>
      </c>
      <c r="H134" s="91">
        <f t="shared" si="5"/>
        <v>0</v>
      </c>
    </row>
    <row r="135" spans="1:8" x14ac:dyDescent="0.3">
      <c r="A135" s="89" t="s">
        <v>1035</v>
      </c>
      <c r="B135" s="89" t="s">
        <v>171</v>
      </c>
      <c r="C135" s="89" t="s">
        <v>863</v>
      </c>
      <c r="D135" s="89" t="s">
        <v>862</v>
      </c>
      <c r="E135" s="90"/>
      <c r="F135" s="90"/>
      <c r="G135" s="90">
        <f t="shared" si="4"/>
        <v>0</v>
      </c>
      <c r="H135" s="91">
        <f t="shared" si="5"/>
        <v>0</v>
      </c>
    </row>
    <row r="136" spans="1:8" x14ac:dyDescent="0.3">
      <c r="A136" s="89" t="s">
        <v>1035</v>
      </c>
      <c r="B136" s="89" t="s">
        <v>172</v>
      </c>
      <c r="C136" s="89" t="s">
        <v>863</v>
      </c>
      <c r="D136" s="89" t="s">
        <v>862</v>
      </c>
      <c r="E136" s="90"/>
      <c r="F136" s="90"/>
      <c r="G136" s="90">
        <f t="shared" si="4"/>
        <v>0</v>
      </c>
      <c r="H136" s="91">
        <f t="shared" si="5"/>
        <v>0</v>
      </c>
    </row>
    <row r="137" spans="1:8" x14ac:dyDescent="0.3">
      <c r="A137" s="89" t="s">
        <v>1035</v>
      </c>
      <c r="B137" s="89" t="s">
        <v>174</v>
      </c>
      <c r="C137" s="89" t="s">
        <v>95</v>
      </c>
      <c r="D137" s="89" t="s">
        <v>862</v>
      </c>
      <c r="E137" s="90">
        <v>0</v>
      </c>
      <c r="F137" s="90">
        <v>0</v>
      </c>
      <c r="G137" s="90">
        <f t="shared" si="4"/>
        <v>0</v>
      </c>
      <c r="H137" s="91">
        <f t="shared" si="5"/>
        <v>0</v>
      </c>
    </row>
    <row r="138" spans="1:8" x14ac:dyDescent="0.3">
      <c r="A138" s="89" t="s">
        <v>1035</v>
      </c>
      <c r="B138" s="89" t="s">
        <v>1012</v>
      </c>
      <c r="C138" s="89" t="s">
        <v>863</v>
      </c>
      <c r="D138" s="89" t="s">
        <v>862</v>
      </c>
      <c r="E138" s="90"/>
      <c r="F138" s="90"/>
      <c r="G138" s="90">
        <f t="shared" si="4"/>
        <v>0</v>
      </c>
      <c r="H138" s="91">
        <f t="shared" si="5"/>
        <v>0</v>
      </c>
    </row>
    <row r="139" spans="1:8" x14ac:dyDescent="0.3">
      <c r="A139" s="89" t="s">
        <v>1035</v>
      </c>
      <c r="B139" s="89" t="s">
        <v>1013</v>
      </c>
      <c r="C139" s="89" t="s">
        <v>863</v>
      </c>
      <c r="D139" s="89" t="s">
        <v>862</v>
      </c>
      <c r="E139" s="90"/>
      <c r="F139" s="90"/>
      <c r="G139" s="90">
        <f t="shared" si="4"/>
        <v>0</v>
      </c>
      <c r="H139" s="91">
        <f t="shared" si="5"/>
        <v>0</v>
      </c>
    </row>
    <row r="140" spans="1:8" x14ac:dyDescent="0.3">
      <c r="A140" s="89" t="s">
        <v>1035</v>
      </c>
      <c r="B140" s="89" t="s">
        <v>1014</v>
      </c>
      <c r="C140" s="89" t="s">
        <v>863</v>
      </c>
      <c r="D140" s="89" t="s">
        <v>862</v>
      </c>
      <c r="E140" s="90"/>
      <c r="F140" s="90"/>
      <c r="G140" s="90">
        <f t="shared" si="4"/>
        <v>0</v>
      </c>
      <c r="H140" s="91">
        <f t="shared" si="5"/>
        <v>0</v>
      </c>
    </row>
    <row r="141" spans="1:8" x14ac:dyDescent="0.3">
      <c r="A141" s="89" t="s">
        <v>1035</v>
      </c>
      <c r="B141" s="89" t="s">
        <v>179</v>
      </c>
      <c r="C141" s="89" t="s">
        <v>863</v>
      </c>
      <c r="D141" s="89"/>
      <c r="E141" s="90"/>
      <c r="F141" s="90"/>
      <c r="G141" s="90">
        <f t="shared" si="4"/>
        <v>0</v>
      </c>
      <c r="H141" s="91">
        <f t="shared" si="5"/>
        <v>0</v>
      </c>
    </row>
    <row r="142" spans="1:8" x14ac:dyDescent="0.3">
      <c r="A142" s="89" t="s">
        <v>1035</v>
      </c>
      <c r="B142" s="89" t="s">
        <v>181</v>
      </c>
      <c r="C142" s="89" t="s">
        <v>863</v>
      </c>
      <c r="D142" s="89"/>
      <c r="E142" s="90"/>
      <c r="F142" s="90"/>
      <c r="G142" s="90">
        <f t="shared" si="4"/>
        <v>0</v>
      </c>
      <c r="H142" s="91">
        <f t="shared" si="5"/>
        <v>0</v>
      </c>
    </row>
    <row r="143" spans="1:8" x14ac:dyDescent="0.3">
      <c r="A143" s="89" t="s">
        <v>1035</v>
      </c>
      <c r="B143" s="89" t="s">
        <v>189</v>
      </c>
      <c r="C143" s="89" t="s">
        <v>831</v>
      </c>
      <c r="D143" s="89" t="s">
        <v>862</v>
      </c>
      <c r="E143" s="90">
        <f>6+7+7</f>
        <v>20</v>
      </c>
      <c r="F143" s="90">
        <v>13</v>
      </c>
      <c r="G143" s="90">
        <f t="shared" si="4"/>
        <v>7</v>
      </c>
      <c r="H143" s="91">
        <f t="shared" si="5"/>
        <v>65</v>
      </c>
    </row>
    <row r="144" spans="1:8" x14ac:dyDescent="0.3">
      <c r="A144" s="89" t="s">
        <v>1035</v>
      </c>
      <c r="B144" s="89" t="s">
        <v>190</v>
      </c>
      <c r="C144" s="89" t="s">
        <v>843</v>
      </c>
      <c r="D144" s="89"/>
      <c r="E144" s="90"/>
      <c r="F144" s="90"/>
      <c r="G144" s="90">
        <f t="shared" si="4"/>
        <v>0</v>
      </c>
      <c r="H144" s="91">
        <f t="shared" si="5"/>
        <v>0</v>
      </c>
    </row>
    <row r="145" spans="1:8" x14ac:dyDescent="0.3">
      <c r="A145" s="89" t="s">
        <v>1035</v>
      </c>
      <c r="B145" s="89" t="s">
        <v>191</v>
      </c>
      <c r="C145" s="89" t="s">
        <v>853</v>
      </c>
      <c r="D145" s="89" t="s">
        <v>862</v>
      </c>
      <c r="E145" s="90">
        <v>1</v>
      </c>
      <c r="F145" s="90">
        <v>1</v>
      </c>
      <c r="G145" s="90">
        <f t="shared" si="4"/>
        <v>0</v>
      </c>
      <c r="H145" s="91">
        <f t="shared" si="5"/>
        <v>100</v>
      </c>
    </row>
    <row r="146" spans="1:8" x14ac:dyDescent="0.3">
      <c r="A146" s="89" t="s">
        <v>1035</v>
      </c>
      <c r="B146" s="89" t="s">
        <v>193</v>
      </c>
      <c r="C146" s="89" t="s">
        <v>95</v>
      </c>
      <c r="D146" s="89"/>
      <c r="E146" s="90"/>
      <c r="F146" s="90"/>
      <c r="G146" s="90">
        <f t="shared" si="4"/>
        <v>0</v>
      </c>
      <c r="H146" s="91">
        <f t="shared" si="5"/>
        <v>0</v>
      </c>
    </row>
    <row r="147" spans="1:8" x14ac:dyDescent="0.3">
      <c r="A147" s="89" t="s">
        <v>1035</v>
      </c>
      <c r="B147" s="89" t="s">
        <v>203</v>
      </c>
      <c r="C147" s="89" t="s">
        <v>95</v>
      </c>
      <c r="D147" s="89"/>
      <c r="E147" s="90"/>
      <c r="F147" s="90"/>
      <c r="G147" s="90">
        <f t="shared" si="4"/>
        <v>0</v>
      </c>
      <c r="H147" s="91">
        <f t="shared" si="5"/>
        <v>0</v>
      </c>
    </row>
    <row r="148" spans="1:8" x14ac:dyDescent="0.3">
      <c r="A148" s="89" t="s">
        <v>1036</v>
      </c>
      <c r="B148" s="89" t="s">
        <v>47</v>
      </c>
      <c r="C148" s="89" t="s">
        <v>831</v>
      </c>
      <c r="D148" s="89" t="s">
        <v>862</v>
      </c>
      <c r="E148" s="90">
        <v>150</v>
      </c>
      <c r="F148" s="90">
        <v>136</v>
      </c>
      <c r="G148" s="90">
        <f t="shared" si="4"/>
        <v>14</v>
      </c>
      <c r="H148" s="91">
        <f t="shared" si="5"/>
        <v>90.666666666666671</v>
      </c>
    </row>
    <row r="149" spans="1:8" x14ac:dyDescent="0.3">
      <c r="A149" s="89" t="s">
        <v>1036</v>
      </c>
      <c r="B149" s="89" t="s">
        <v>49</v>
      </c>
      <c r="C149" s="89" t="s">
        <v>843</v>
      </c>
      <c r="D149" s="89"/>
      <c r="E149" s="90"/>
      <c r="F149" s="90"/>
      <c r="G149" s="90">
        <f t="shared" si="4"/>
        <v>0</v>
      </c>
      <c r="H149" s="91">
        <f t="shared" si="5"/>
        <v>0</v>
      </c>
    </row>
    <row r="150" spans="1:8" x14ac:dyDescent="0.3">
      <c r="A150" s="89" t="s">
        <v>1036</v>
      </c>
      <c r="B150" s="89" t="s">
        <v>1032</v>
      </c>
      <c r="C150" s="89" t="s">
        <v>843</v>
      </c>
      <c r="D150" s="89"/>
      <c r="E150" s="90"/>
      <c r="F150" s="90"/>
      <c r="G150" s="90">
        <f t="shared" si="4"/>
        <v>0</v>
      </c>
      <c r="H150" s="91">
        <f t="shared" si="5"/>
        <v>0</v>
      </c>
    </row>
    <row r="151" spans="1:8" x14ac:dyDescent="0.3">
      <c r="A151" s="89" t="s">
        <v>1036</v>
      </c>
      <c r="B151" s="89" t="s">
        <v>51</v>
      </c>
      <c r="C151" s="89" t="s">
        <v>853</v>
      </c>
      <c r="D151" s="89" t="s">
        <v>862</v>
      </c>
      <c r="E151" s="90">
        <v>68</v>
      </c>
      <c r="F151" s="90">
        <v>49</v>
      </c>
      <c r="G151" s="90">
        <f t="shared" si="4"/>
        <v>19</v>
      </c>
      <c r="H151" s="91">
        <f t="shared" si="5"/>
        <v>72.058823529411768</v>
      </c>
    </row>
    <row r="152" spans="1:8" x14ac:dyDescent="0.3">
      <c r="A152" s="89" t="s">
        <v>1036</v>
      </c>
      <c r="B152" s="89" t="s">
        <v>55</v>
      </c>
      <c r="C152" s="89" t="s">
        <v>831</v>
      </c>
      <c r="D152" s="89" t="s">
        <v>862</v>
      </c>
      <c r="E152" s="90">
        <v>1</v>
      </c>
      <c r="F152" s="90">
        <v>1</v>
      </c>
      <c r="G152" s="90">
        <f t="shared" si="4"/>
        <v>0</v>
      </c>
      <c r="H152" s="91">
        <f t="shared" si="5"/>
        <v>100</v>
      </c>
    </row>
    <row r="153" spans="1:8" x14ac:dyDescent="0.3">
      <c r="A153" s="89" t="s">
        <v>1036</v>
      </c>
      <c r="B153" s="89" t="s">
        <v>56</v>
      </c>
      <c r="C153" s="89" t="s">
        <v>843</v>
      </c>
      <c r="D153" s="89"/>
      <c r="E153" s="90"/>
      <c r="F153" s="90"/>
      <c r="G153" s="90">
        <f t="shared" si="4"/>
        <v>0</v>
      </c>
      <c r="H153" s="91">
        <f t="shared" si="5"/>
        <v>0</v>
      </c>
    </row>
    <row r="154" spans="1:8" x14ac:dyDescent="0.3">
      <c r="A154" s="89" t="s">
        <v>1036</v>
      </c>
      <c r="B154" s="89" t="s">
        <v>57</v>
      </c>
      <c r="C154" s="89" t="s">
        <v>853</v>
      </c>
      <c r="D154" s="89" t="s">
        <v>762</v>
      </c>
      <c r="E154" s="90">
        <v>62</v>
      </c>
      <c r="F154" s="90">
        <v>27</v>
      </c>
      <c r="G154" s="90">
        <f t="shared" si="4"/>
        <v>35</v>
      </c>
      <c r="H154" s="91">
        <f t="shared" si="5"/>
        <v>43.548387096774192</v>
      </c>
    </row>
    <row r="155" spans="1:8" x14ac:dyDescent="0.3">
      <c r="A155" s="89" t="s">
        <v>1036</v>
      </c>
      <c r="B155" s="89" t="s">
        <v>75</v>
      </c>
      <c r="C155" s="89" t="s">
        <v>831</v>
      </c>
      <c r="D155" s="89" t="s">
        <v>862</v>
      </c>
      <c r="E155" s="90">
        <v>53</v>
      </c>
      <c r="F155" s="92">
        <v>52</v>
      </c>
      <c r="G155" s="90">
        <f t="shared" si="4"/>
        <v>1</v>
      </c>
      <c r="H155" s="91">
        <f t="shared" si="5"/>
        <v>98.113207547169807</v>
      </c>
    </row>
    <row r="156" spans="1:8" x14ac:dyDescent="0.3">
      <c r="A156" s="89" t="s">
        <v>1036</v>
      </c>
      <c r="B156" s="89" t="s">
        <v>76</v>
      </c>
      <c r="C156" s="89" t="s">
        <v>831</v>
      </c>
      <c r="D156" s="89" t="s">
        <v>1033</v>
      </c>
      <c r="E156" s="90">
        <v>15</v>
      </c>
      <c r="F156" s="90">
        <v>15</v>
      </c>
      <c r="G156" s="90">
        <f t="shared" si="4"/>
        <v>0</v>
      </c>
      <c r="H156" s="91">
        <f t="shared" si="5"/>
        <v>100</v>
      </c>
    </row>
    <row r="157" spans="1:8" x14ac:dyDescent="0.3">
      <c r="A157" s="89" t="s">
        <v>1036</v>
      </c>
      <c r="B157" s="89" t="s">
        <v>77</v>
      </c>
      <c r="C157" s="89" t="s">
        <v>843</v>
      </c>
      <c r="D157" s="89"/>
      <c r="E157" s="90"/>
      <c r="F157" s="90"/>
      <c r="G157" s="90">
        <f t="shared" si="4"/>
        <v>0</v>
      </c>
      <c r="H157" s="91">
        <f t="shared" si="5"/>
        <v>0</v>
      </c>
    </row>
    <row r="158" spans="1:8" x14ac:dyDescent="0.3">
      <c r="A158" s="93" t="s">
        <v>1036</v>
      </c>
      <c r="B158" s="93" t="s">
        <v>78</v>
      </c>
      <c r="C158" s="93" t="s">
        <v>853</v>
      </c>
      <c r="D158" s="93" t="s">
        <v>862</v>
      </c>
      <c r="E158" s="92">
        <v>1</v>
      </c>
      <c r="F158" s="92">
        <v>1</v>
      </c>
      <c r="G158" s="92">
        <f t="shared" si="4"/>
        <v>0</v>
      </c>
      <c r="H158" s="94">
        <f t="shared" si="5"/>
        <v>100</v>
      </c>
    </row>
    <row r="159" spans="1:8" x14ac:dyDescent="0.3">
      <c r="A159" s="89" t="s">
        <v>1036</v>
      </c>
      <c r="B159" s="89" t="s">
        <v>87</v>
      </c>
      <c r="C159" s="89" t="s">
        <v>831</v>
      </c>
      <c r="D159" s="89" t="s">
        <v>1033</v>
      </c>
      <c r="E159" s="90">
        <v>2</v>
      </c>
      <c r="F159" s="90">
        <v>2</v>
      </c>
      <c r="G159" s="90">
        <f t="shared" si="4"/>
        <v>0</v>
      </c>
      <c r="H159" s="91">
        <f t="shared" si="5"/>
        <v>100</v>
      </c>
    </row>
    <row r="160" spans="1:8" x14ac:dyDescent="0.3">
      <c r="A160" s="89" t="s">
        <v>1036</v>
      </c>
      <c r="B160" s="89" t="s">
        <v>88</v>
      </c>
      <c r="C160" s="89" t="s">
        <v>843</v>
      </c>
      <c r="D160" s="89"/>
      <c r="E160" s="90"/>
      <c r="F160" s="90"/>
      <c r="G160" s="90">
        <f t="shared" si="4"/>
        <v>0</v>
      </c>
      <c r="H160" s="91">
        <f t="shared" si="5"/>
        <v>0</v>
      </c>
    </row>
    <row r="161" spans="1:8" x14ac:dyDescent="0.3">
      <c r="A161" s="89" t="s">
        <v>1036</v>
      </c>
      <c r="B161" s="89" t="s">
        <v>89</v>
      </c>
      <c r="C161" s="89" t="s">
        <v>853</v>
      </c>
      <c r="D161" s="89" t="s">
        <v>762</v>
      </c>
      <c r="E161" s="90">
        <v>1</v>
      </c>
      <c r="F161" s="90">
        <v>1</v>
      </c>
      <c r="G161" s="90">
        <f t="shared" si="4"/>
        <v>0</v>
      </c>
      <c r="H161" s="91">
        <f t="shared" si="5"/>
        <v>100</v>
      </c>
    </row>
    <row r="162" spans="1:8" x14ac:dyDescent="0.3">
      <c r="A162" s="89" t="s">
        <v>1036</v>
      </c>
      <c r="B162" s="89" t="s">
        <v>96</v>
      </c>
      <c r="C162" s="89" t="s">
        <v>95</v>
      </c>
      <c r="D162" s="89" t="s">
        <v>862</v>
      </c>
      <c r="E162" s="90">
        <v>1</v>
      </c>
      <c r="F162" s="90">
        <v>1</v>
      </c>
      <c r="G162" s="90">
        <f t="shared" si="4"/>
        <v>0</v>
      </c>
      <c r="H162" s="91">
        <f t="shared" si="5"/>
        <v>100</v>
      </c>
    </row>
    <row r="163" spans="1:8" x14ac:dyDescent="0.3">
      <c r="A163" s="89" t="s">
        <v>1036</v>
      </c>
      <c r="B163" s="89" t="s">
        <v>107</v>
      </c>
      <c r="C163" s="89" t="s">
        <v>831</v>
      </c>
      <c r="D163" s="89" t="s">
        <v>1033</v>
      </c>
      <c r="E163" s="90">
        <f>167+165</f>
        <v>332</v>
      </c>
      <c r="F163" s="90">
        <f>135+136</f>
        <v>271</v>
      </c>
      <c r="G163" s="90">
        <f t="shared" si="4"/>
        <v>61</v>
      </c>
      <c r="H163" s="91">
        <f t="shared" si="5"/>
        <v>81.626506024096386</v>
      </c>
    </row>
    <row r="164" spans="1:8" x14ac:dyDescent="0.3">
      <c r="A164" s="89" t="s">
        <v>1036</v>
      </c>
      <c r="B164" s="89" t="s">
        <v>108</v>
      </c>
      <c r="C164" s="89" t="s">
        <v>843</v>
      </c>
      <c r="D164" s="89"/>
      <c r="E164" s="90"/>
      <c r="F164" s="90"/>
      <c r="G164" s="90">
        <f t="shared" ref="G164:G182" si="6">+E164-F164</f>
        <v>0</v>
      </c>
      <c r="H164" s="91">
        <f t="shared" ref="H164:H181" si="7">IFERROR(IF(7&lt;&gt;0, F164*100/E164, IF(E164=F164, F164*100/E164, 0)), 0)</f>
        <v>0</v>
      </c>
    </row>
    <row r="165" spans="1:8" x14ac:dyDescent="0.3">
      <c r="A165" s="89" t="s">
        <v>1036</v>
      </c>
      <c r="B165" s="89" t="s">
        <v>109</v>
      </c>
      <c r="C165" s="89" t="s">
        <v>853</v>
      </c>
      <c r="D165" s="89" t="s">
        <v>744</v>
      </c>
      <c r="E165" s="90">
        <v>60</v>
      </c>
      <c r="F165" s="90">
        <v>0</v>
      </c>
      <c r="G165" s="90">
        <f t="shared" si="6"/>
        <v>60</v>
      </c>
      <c r="H165" s="91">
        <f t="shared" si="7"/>
        <v>0</v>
      </c>
    </row>
    <row r="166" spans="1:8" x14ac:dyDescent="0.3">
      <c r="A166" s="89" t="s">
        <v>1036</v>
      </c>
      <c r="B166" s="89" t="s">
        <v>113</v>
      </c>
      <c r="C166" s="89" t="s">
        <v>831</v>
      </c>
      <c r="D166" s="89" t="s">
        <v>862</v>
      </c>
      <c r="E166" s="90">
        <v>173</v>
      </c>
      <c r="F166" s="90">
        <v>155</v>
      </c>
      <c r="G166" s="90">
        <f t="shared" si="6"/>
        <v>18</v>
      </c>
      <c r="H166" s="91">
        <f t="shared" si="7"/>
        <v>89.595375722543352</v>
      </c>
    </row>
    <row r="167" spans="1:8" x14ac:dyDescent="0.3">
      <c r="A167" s="89" t="s">
        <v>1036</v>
      </c>
      <c r="B167" s="89" t="s">
        <v>114</v>
      </c>
      <c r="C167" s="89" t="s">
        <v>843</v>
      </c>
      <c r="D167" s="89"/>
      <c r="E167" s="90"/>
      <c r="F167" s="90"/>
      <c r="G167" s="90">
        <f t="shared" si="6"/>
        <v>0</v>
      </c>
      <c r="H167" s="91">
        <f t="shared" si="7"/>
        <v>0</v>
      </c>
    </row>
    <row r="168" spans="1:8" x14ac:dyDescent="0.3">
      <c r="A168" s="93" t="s">
        <v>1036</v>
      </c>
      <c r="B168" s="93" t="s">
        <v>115</v>
      </c>
      <c r="C168" s="93" t="s">
        <v>853</v>
      </c>
      <c r="D168" s="93" t="s">
        <v>862</v>
      </c>
      <c r="E168" s="92">
        <v>1</v>
      </c>
      <c r="F168" s="92">
        <v>1</v>
      </c>
      <c r="G168" s="92">
        <f t="shared" si="6"/>
        <v>0</v>
      </c>
      <c r="H168" s="94">
        <f t="shared" si="7"/>
        <v>100</v>
      </c>
    </row>
    <row r="169" spans="1:8" x14ac:dyDescent="0.3">
      <c r="A169" s="89" t="s">
        <v>1036</v>
      </c>
      <c r="B169" s="89" t="s">
        <v>120</v>
      </c>
      <c r="C169" s="89" t="s">
        <v>831</v>
      </c>
      <c r="D169" s="89" t="s">
        <v>744</v>
      </c>
      <c r="E169" s="90">
        <v>18</v>
      </c>
      <c r="F169" s="90">
        <v>18</v>
      </c>
      <c r="G169" s="90">
        <f t="shared" si="6"/>
        <v>0</v>
      </c>
      <c r="H169" s="91">
        <f t="shared" si="7"/>
        <v>100</v>
      </c>
    </row>
    <row r="170" spans="1:8" x14ac:dyDescent="0.3">
      <c r="A170" s="89" t="s">
        <v>1036</v>
      </c>
      <c r="B170" s="89" t="s">
        <v>126</v>
      </c>
      <c r="C170" s="89" t="s">
        <v>831</v>
      </c>
      <c r="D170" s="89" t="s">
        <v>862</v>
      </c>
      <c r="E170" s="90">
        <v>4</v>
      </c>
      <c r="F170" s="90">
        <v>4</v>
      </c>
      <c r="G170" s="90">
        <f t="shared" si="6"/>
        <v>0</v>
      </c>
      <c r="H170" s="91">
        <f t="shared" si="7"/>
        <v>100</v>
      </c>
    </row>
    <row r="171" spans="1:8" x14ac:dyDescent="0.3">
      <c r="A171" s="89" t="s">
        <v>1036</v>
      </c>
      <c r="B171" s="89" t="s">
        <v>127</v>
      </c>
      <c r="C171" s="89" t="s">
        <v>843</v>
      </c>
      <c r="D171" s="89"/>
      <c r="E171" s="90"/>
      <c r="F171" s="90"/>
      <c r="G171" s="90">
        <f t="shared" si="6"/>
        <v>0</v>
      </c>
      <c r="H171" s="91">
        <f t="shared" si="7"/>
        <v>0</v>
      </c>
    </row>
    <row r="172" spans="1:8" x14ac:dyDescent="0.3">
      <c r="A172" s="89" t="s">
        <v>1036</v>
      </c>
      <c r="B172" s="89" t="s">
        <v>128</v>
      </c>
      <c r="C172" s="89" t="s">
        <v>853</v>
      </c>
      <c r="D172" s="89" t="s">
        <v>862</v>
      </c>
      <c r="E172" s="90">
        <v>1</v>
      </c>
      <c r="F172" s="90">
        <v>1</v>
      </c>
      <c r="G172" s="90">
        <f t="shared" si="6"/>
        <v>0</v>
      </c>
      <c r="H172" s="91">
        <f t="shared" si="7"/>
        <v>100</v>
      </c>
    </row>
    <row r="173" spans="1:8" x14ac:dyDescent="0.3">
      <c r="A173" s="89" t="s">
        <v>1036</v>
      </c>
      <c r="B173" s="89" t="s">
        <v>129</v>
      </c>
      <c r="C173" s="89" t="s">
        <v>831</v>
      </c>
      <c r="D173" s="89" t="s">
        <v>862</v>
      </c>
      <c r="E173" s="90">
        <v>1</v>
      </c>
      <c r="F173" s="90">
        <v>1</v>
      </c>
      <c r="G173" s="90">
        <f t="shared" si="6"/>
        <v>0</v>
      </c>
      <c r="H173" s="91">
        <f t="shared" si="7"/>
        <v>100</v>
      </c>
    </row>
    <row r="174" spans="1:8" x14ac:dyDescent="0.3">
      <c r="A174" s="89" t="s">
        <v>1036</v>
      </c>
      <c r="B174" s="89" t="s">
        <v>130</v>
      </c>
      <c r="C174" s="89" t="s">
        <v>843</v>
      </c>
      <c r="D174" s="89"/>
      <c r="E174" s="90"/>
      <c r="F174" s="90"/>
      <c r="G174" s="90">
        <f t="shared" si="6"/>
        <v>0</v>
      </c>
      <c r="H174" s="91">
        <f t="shared" si="7"/>
        <v>0</v>
      </c>
    </row>
    <row r="175" spans="1:8" x14ac:dyDescent="0.3">
      <c r="A175" s="89" t="s">
        <v>1036</v>
      </c>
      <c r="B175" s="89" t="s">
        <v>131</v>
      </c>
      <c r="C175" s="89" t="s">
        <v>853</v>
      </c>
      <c r="D175" s="89" t="s">
        <v>862</v>
      </c>
      <c r="E175" s="90">
        <v>1</v>
      </c>
      <c r="F175" s="90">
        <v>1</v>
      </c>
      <c r="G175" s="90">
        <f t="shared" si="6"/>
        <v>0</v>
      </c>
      <c r="H175" s="91">
        <f t="shared" si="7"/>
        <v>100</v>
      </c>
    </row>
    <row r="176" spans="1:8" x14ac:dyDescent="0.3">
      <c r="A176" s="89" t="s">
        <v>1036</v>
      </c>
      <c r="B176" s="89" t="s">
        <v>141</v>
      </c>
      <c r="C176" s="89" t="s">
        <v>95</v>
      </c>
      <c r="D176" s="89"/>
      <c r="E176" s="90"/>
      <c r="F176" s="90"/>
      <c r="G176" s="90">
        <f t="shared" si="6"/>
        <v>0</v>
      </c>
      <c r="H176" s="91">
        <f t="shared" si="7"/>
        <v>0</v>
      </c>
    </row>
    <row r="177" spans="1:8" x14ac:dyDescent="0.3">
      <c r="A177" s="89" t="s">
        <v>1036</v>
      </c>
      <c r="B177" s="89" t="s">
        <v>155</v>
      </c>
      <c r="C177" s="89" t="s">
        <v>831</v>
      </c>
      <c r="D177" s="89"/>
      <c r="E177" s="90"/>
      <c r="F177" s="90"/>
      <c r="G177" s="90">
        <f t="shared" si="6"/>
        <v>0</v>
      </c>
      <c r="H177" s="91">
        <f t="shared" si="7"/>
        <v>0</v>
      </c>
    </row>
    <row r="178" spans="1:8" x14ac:dyDescent="0.3">
      <c r="A178" s="89" t="s">
        <v>1036</v>
      </c>
      <c r="B178" s="89" t="s">
        <v>156</v>
      </c>
      <c r="C178" s="89" t="s">
        <v>843</v>
      </c>
      <c r="D178" s="89"/>
      <c r="E178" s="90"/>
      <c r="F178" s="90"/>
      <c r="G178" s="90">
        <f t="shared" si="6"/>
        <v>0</v>
      </c>
      <c r="H178" s="91">
        <f t="shared" si="7"/>
        <v>0</v>
      </c>
    </row>
    <row r="179" spans="1:8" x14ac:dyDescent="0.3">
      <c r="A179" s="89" t="s">
        <v>1036</v>
      </c>
      <c r="B179" s="89" t="s">
        <v>157</v>
      </c>
      <c r="C179" s="89" t="s">
        <v>853</v>
      </c>
      <c r="D179" s="89"/>
      <c r="E179" s="90"/>
      <c r="F179" s="90"/>
      <c r="G179" s="90">
        <f t="shared" si="6"/>
        <v>0</v>
      </c>
      <c r="H179" s="91">
        <f t="shared" si="7"/>
        <v>0</v>
      </c>
    </row>
    <row r="180" spans="1:8" x14ac:dyDescent="0.3">
      <c r="A180" s="89" t="s">
        <v>1036</v>
      </c>
      <c r="B180" s="89" t="s">
        <v>164</v>
      </c>
      <c r="C180" s="89" t="s">
        <v>95</v>
      </c>
      <c r="D180" s="89" t="s">
        <v>862</v>
      </c>
      <c r="E180" s="90">
        <v>1</v>
      </c>
      <c r="F180" s="90">
        <v>1</v>
      </c>
      <c r="G180" s="90">
        <f t="shared" si="6"/>
        <v>0</v>
      </c>
      <c r="H180" s="91">
        <f t="shared" si="7"/>
        <v>100</v>
      </c>
    </row>
    <row r="181" spans="1:8" x14ac:dyDescent="0.3">
      <c r="A181" s="89" t="s">
        <v>1036</v>
      </c>
      <c r="B181" s="89" t="s">
        <v>167</v>
      </c>
      <c r="C181" s="89" t="s">
        <v>863</v>
      </c>
      <c r="D181" s="89"/>
      <c r="E181" s="90"/>
      <c r="F181" s="90"/>
      <c r="G181" s="90">
        <f t="shared" si="6"/>
        <v>0</v>
      </c>
      <c r="H181" s="91">
        <f t="shared" si="7"/>
        <v>0</v>
      </c>
    </row>
    <row r="182" spans="1:8" x14ac:dyDescent="0.3">
      <c r="A182" s="89" t="s">
        <v>1036</v>
      </c>
      <c r="B182" s="89" t="s">
        <v>169</v>
      </c>
      <c r="C182" s="89" t="s">
        <v>863</v>
      </c>
      <c r="D182" s="89" t="s">
        <v>862</v>
      </c>
      <c r="E182" s="90"/>
      <c r="F182" s="90"/>
      <c r="G182" s="90">
        <f t="shared" si="6"/>
        <v>0</v>
      </c>
      <c r="H182" s="91">
        <f t="shared" ref="H182:H245" si="8">IFERROR(IF(7&lt;&gt;0, F182*100/E182, IF(E182=F182, F182*100/E182, 0)), 0)</f>
        <v>0</v>
      </c>
    </row>
    <row r="183" spans="1:8" x14ac:dyDescent="0.3">
      <c r="A183" s="89" t="s">
        <v>1036</v>
      </c>
      <c r="B183" s="89" t="s">
        <v>171</v>
      </c>
      <c r="C183" s="89" t="s">
        <v>863</v>
      </c>
      <c r="D183" s="89" t="s">
        <v>862</v>
      </c>
      <c r="E183" s="90"/>
      <c r="F183" s="90"/>
      <c r="G183" s="90">
        <f t="shared" ref="G183:G245" si="9">+E183-F183</f>
        <v>0</v>
      </c>
      <c r="H183" s="91">
        <f t="shared" si="8"/>
        <v>0</v>
      </c>
    </row>
    <row r="184" spans="1:8" x14ac:dyDescent="0.3">
      <c r="A184" s="89" t="s">
        <v>1036</v>
      </c>
      <c r="B184" s="89" t="s">
        <v>172</v>
      </c>
      <c r="C184" s="89" t="s">
        <v>863</v>
      </c>
      <c r="D184" s="89" t="s">
        <v>862</v>
      </c>
      <c r="E184" s="90"/>
      <c r="F184" s="90"/>
      <c r="G184" s="90">
        <f t="shared" si="9"/>
        <v>0</v>
      </c>
      <c r="H184" s="91">
        <f t="shared" si="8"/>
        <v>0</v>
      </c>
    </row>
    <row r="185" spans="1:8" x14ac:dyDescent="0.3">
      <c r="A185" s="89" t="s">
        <v>1036</v>
      </c>
      <c r="B185" s="89" t="s">
        <v>174</v>
      </c>
      <c r="C185" s="89" t="s">
        <v>95</v>
      </c>
      <c r="D185" s="89" t="s">
        <v>862</v>
      </c>
      <c r="E185" s="90">
        <v>0</v>
      </c>
      <c r="F185" s="90">
        <v>0</v>
      </c>
      <c r="G185" s="90">
        <f t="shared" si="9"/>
        <v>0</v>
      </c>
      <c r="H185" s="91">
        <f t="shared" si="8"/>
        <v>0</v>
      </c>
    </row>
    <row r="186" spans="1:8" x14ac:dyDescent="0.3">
      <c r="A186" s="89" t="s">
        <v>1036</v>
      </c>
      <c r="B186" s="89" t="s">
        <v>1012</v>
      </c>
      <c r="C186" s="89" t="s">
        <v>863</v>
      </c>
      <c r="D186" s="89" t="s">
        <v>862</v>
      </c>
      <c r="E186" s="90"/>
      <c r="F186" s="90"/>
      <c r="G186" s="90">
        <f t="shared" si="9"/>
        <v>0</v>
      </c>
      <c r="H186" s="91">
        <f t="shared" si="8"/>
        <v>0</v>
      </c>
    </row>
    <row r="187" spans="1:8" x14ac:dyDescent="0.3">
      <c r="A187" s="89" t="s">
        <v>1036</v>
      </c>
      <c r="B187" s="89" t="s">
        <v>1013</v>
      </c>
      <c r="C187" s="89" t="s">
        <v>863</v>
      </c>
      <c r="D187" s="89" t="s">
        <v>862</v>
      </c>
      <c r="E187" s="90"/>
      <c r="F187" s="90"/>
      <c r="G187" s="90">
        <f t="shared" si="9"/>
        <v>0</v>
      </c>
      <c r="H187" s="91">
        <f t="shared" si="8"/>
        <v>0</v>
      </c>
    </row>
    <row r="188" spans="1:8" x14ac:dyDescent="0.3">
      <c r="A188" s="89" t="s">
        <v>1036</v>
      </c>
      <c r="B188" s="89" t="s">
        <v>1014</v>
      </c>
      <c r="C188" s="89" t="s">
        <v>863</v>
      </c>
      <c r="D188" s="89" t="s">
        <v>862</v>
      </c>
      <c r="E188" s="90"/>
      <c r="F188" s="90"/>
      <c r="G188" s="90">
        <f t="shared" si="9"/>
        <v>0</v>
      </c>
      <c r="H188" s="91">
        <f t="shared" si="8"/>
        <v>0</v>
      </c>
    </row>
    <row r="189" spans="1:8" x14ac:dyDescent="0.3">
      <c r="A189" s="89" t="s">
        <v>1036</v>
      </c>
      <c r="B189" s="89" t="s">
        <v>179</v>
      </c>
      <c r="C189" s="89" t="s">
        <v>863</v>
      </c>
      <c r="D189" s="89"/>
      <c r="E189" s="90"/>
      <c r="F189" s="90"/>
      <c r="G189" s="90">
        <f t="shared" si="9"/>
        <v>0</v>
      </c>
      <c r="H189" s="91">
        <f t="shared" si="8"/>
        <v>0</v>
      </c>
    </row>
    <row r="190" spans="1:8" x14ac:dyDescent="0.3">
      <c r="A190" s="89" t="s">
        <v>1036</v>
      </c>
      <c r="B190" s="89" t="s">
        <v>181</v>
      </c>
      <c r="C190" s="89" t="s">
        <v>863</v>
      </c>
      <c r="D190" s="89"/>
      <c r="E190" s="90"/>
      <c r="F190" s="90"/>
      <c r="G190" s="90">
        <f t="shared" si="9"/>
        <v>0</v>
      </c>
      <c r="H190" s="91">
        <f t="shared" si="8"/>
        <v>0</v>
      </c>
    </row>
    <row r="191" spans="1:8" x14ac:dyDescent="0.3">
      <c r="A191" s="89" t="s">
        <v>1036</v>
      </c>
      <c r="B191" s="89" t="s">
        <v>189</v>
      </c>
      <c r="C191" s="89" t="s">
        <v>831</v>
      </c>
      <c r="D191" s="89" t="s">
        <v>862</v>
      </c>
      <c r="E191" s="90">
        <f>3+8</f>
        <v>11</v>
      </c>
      <c r="F191" s="90">
        <v>11</v>
      </c>
      <c r="G191" s="90">
        <f t="shared" si="9"/>
        <v>0</v>
      </c>
      <c r="H191" s="91">
        <f t="shared" si="8"/>
        <v>100</v>
      </c>
    </row>
    <row r="192" spans="1:8" x14ac:dyDescent="0.3">
      <c r="A192" s="89" t="s">
        <v>1036</v>
      </c>
      <c r="B192" s="89" t="s">
        <v>190</v>
      </c>
      <c r="C192" s="89" t="s">
        <v>843</v>
      </c>
      <c r="D192" s="89"/>
      <c r="E192" s="90"/>
      <c r="F192" s="90"/>
      <c r="G192" s="90">
        <f t="shared" si="9"/>
        <v>0</v>
      </c>
      <c r="H192" s="91">
        <f t="shared" si="8"/>
        <v>0</v>
      </c>
    </row>
    <row r="193" spans="1:8" x14ac:dyDescent="0.3">
      <c r="A193" s="89" t="s">
        <v>1036</v>
      </c>
      <c r="B193" s="89" t="s">
        <v>191</v>
      </c>
      <c r="C193" s="89" t="s">
        <v>853</v>
      </c>
      <c r="D193" s="89" t="s">
        <v>862</v>
      </c>
      <c r="E193" s="90">
        <v>1</v>
      </c>
      <c r="F193" s="90">
        <v>1</v>
      </c>
      <c r="G193" s="90">
        <f t="shared" si="9"/>
        <v>0</v>
      </c>
      <c r="H193" s="91">
        <f t="shared" si="8"/>
        <v>100</v>
      </c>
    </row>
    <row r="194" spans="1:8" x14ac:dyDescent="0.3">
      <c r="A194" s="89" t="s">
        <v>1036</v>
      </c>
      <c r="B194" s="89" t="s">
        <v>193</v>
      </c>
      <c r="C194" s="89" t="s">
        <v>95</v>
      </c>
      <c r="D194" s="89"/>
      <c r="E194" s="90"/>
      <c r="F194" s="90"/>
      <c r="G194" s="90">
        <f t="shared" si="9"/>
        <v>0</v>
      </c>
      <c r="H194" s="91">
        <f t="shared" si="8"/>
        <v>0</v>
      </c>
    </row>
    <row r="195" spans="1:8" x14ac:dyDescent="0.3">
      <c r="A195" s="89" t="s">
        <v>1036</v>
      </c>
      <c r="B195" s="89" t="s">
        <v>203</v>
      </c>
      <c r="C195" s="89" t="s">
        <v>95</v>
      </c>
      <c r="D195" s="89"/>
      <c r="E195" s="90"/>
      <c r="F195" s="90"/>
      <c r="G195" s="90">
        <f t="shared" si="9"/>
        <v>0</v>
      </c>
      <c r="H195" s="91">
        <f t="shared" si="8"/>
        <v>0</v>
      </c>
    </row>
    <row r="196" spans="1:8" x14ac:dyDescent="0.3">
      <c r="A196" s="89" t="s">
        <v>1037</v>
      </c>
      <c r="B196" s="89" t="s">
        <v>47</v>
      </c>
      <c r="C196" s="89" t="s">
        <v>831</v>
      </c>
      <c r="D196" s="89" t="s">
        <v>862</v>
      </c>
      <c r="E196" s="90">
        <v>376</v>
      </c>
      <c r="F196" s="90">
        <v>341</v>
      </c>
      <c r="G196" s="90">
        <f t="shared" si="9"/>
        <v>35</v>
      </c>
      <c r="H196" s="91">
        <f t="shared" si="8"/>
        <v>90.691489361702125</v>
      </c>
    </row>
    <row r="197" spans="1:8" x14ac:dyDescent="0.3">
      <c r="A197" s="89" t="s">
        <v>1037</v>
      </c>
      <c r="B197" s="89" t="s">
        <v>49</v>
      </c>
      <c r="C197" s="89" t="s">
        <v>843</v>
      </c>
      <c r="D197" s="89"/>
      <c r="E197" s="90"/>
      <c r="F197" s="90"/>
      <c r="G197" s="90">
        <f t="shared" si="9"/>
        <v>0</v>
      </c>
      <c r="H197" s="91">
        <f t="shared" si="8"/>
        <v>0</v>
      </c>
    </row>
    <row r="198" spans="1:8" x14ac:dyDescent="0.3">
      <c r="A198" s="89" t="s">
        <v>1037</v>
      </c>
      <c r="B198" s="89" t="s">
        <v>1032</v>
      </c>
      <c r="C198" s="89" t="s">
        <v>843</v>
      </c>
      <c r="D198" s="89"/>
      <c r="E198" s="90"/>
      <c r="F198" s="90"/>
      <c r="G198" s="90">
        <f t="shared" si="9"/>
        <v>0</v>
      </c>
      <c r="H198" s="91">
        <f t="shared" si="8"/>
        <v>0</v>
      </c>
    </row>
    <row r="199" spans="1:8" x14ac:dyDescent="0.3">
      <c r="A199" s="89" t="s">
        <v>1037</v>
      </c>
      <c r="B199" s="89" t="s">
        <v>51</v>
      </c>
      <c r="C199" s="89" t="s">
        <v>853</v>
      </c>
      <c r="D199" s="89" t="s">
        <v>862</v>
      </c>
      <c r="E199" s="90">
        <v>53</v>
      </c>
      <c r="F199" s="90">
        <v>28</v>
      </c>
      <c r="G199" s="90">
        <f t="shared" si="9"/>
        <v>25</v>
      </c>
      <c r="H199" s="91">
        <f t="shared" si="8"/>
        <v>52.830188679245282</v>
      </c>
    </row>
    <row r="200" spans="1:8" x14ac:dyDescent="0.3">
      <c r="A200" s="89" t="s">
        <v>1037</v>
      </c>
      <c r="B200" s="89" t="s">
        <v>55</v>
      </c>
      <c r="C200" s="89" t="s">
        <v>831</v>
      </c>
      <c r="D200" s="89" t="s">
        <v>862</v>
      </c>
      <c r="E200" s="90">
        <v>1</v>
      </c>
      <c r="F200" s="90">
        <v>1</v>
      </c>
      <c r="G200" s="90">
        <f t="shared" si="9"/>
        <v>0</v>
      </c>
      <c r="H200" s="91">
        <f t="shared" si="8"/>
        <v>100</v>
      </c>
    </row>
    <row r="201" spans="1:8" x14ac:dyDescent="0.3">
      <c r="A201" s="89" t="s">
        <v>1037</v>
      </c>
      <c r="B201" s="89" t="s">
        <v>56</v>
      </c>
      <c r="C201" s="89" t="s">
        <v>843</v>
      </c>
      <c r="D201" s="89"/>
      <c r="E201" s="90"/>
      <c r="F201" s="90"/>
      <c r="G201" s="90">
        <f t="shared" si="9"/>
        <v>0</v>
      </c>
      <c r="H201" s="91">
        <f t="shared" si="8"/>
        <v>0</v>
      </c>
    </row>
    <row r="202" spans="1:8" x14ac:dyDescent="0.3">
      <c r="A202" s="89" t="s">
        <v>1037</v>
      </c>
      <c r="B202" s="89" t="s">
        <v>57</v>
      </c>
      <c r="C202" s="89" t="s">
        <v>853</v>
      </c>
      <c r="D202" s="89" t="s">
        <v>762</v>
      </c>
      <c r="E202" s="90">
        <f>35+16</f>
        <v>51</v>
      </c>
      <c r="F202" s="90">
        <f>16+32</f>
        <v>48</v>
      </c>
      <c r="G202" s="90">
        <f t="shared" si="9"/>
        <v>3</v>
      </c>
      <c r="H202" s="91">
        <f t="shared" si="8"/>
        <v>94.117647058823536</v>
      </c>
    </row>
    <row r="203" spans="1:8" x14ac:dyDescent="0.3">
      <c r="A203" s="89" t="s">
        <v>1037</v>
      </c>
      <c r="B203" s="89" t="s">
        <v>75</v>
      </c>
      <c r="C203" s="89" t="s">
        <v>831</v>
      </c>
      <c r="D203" s="89" t="s">
        <v>862</v>
      </c>
      <c r="E203" s="90">
        <v>84</v>
      </c>
      <c r="F203" s="92">
        <v>83</v>
      </c>
      <c r="G203" s="90">
        <f t="shared" si="9"/>
        <v>1</v>
      </c>
      <c r="H203" s="91">
        <f t="shared" si="8"/>
        <v>98.80952380952381</v>
      </c>
    </row>
    <row r="204" spans="1:8" x14ac:dyDescent="0.3">
      <c r="A204" s="89" t="s">
        <v>1037</v>
      </c>
      <c r="B204" s="89" t="s">
        <v>76</v>
      </c>
      <c r="C204" s="89" t="s">
        <v>831</v>
      </c>
      <c r="D204" s="89" t="s">
        <v>744</v>
      </c>
      <c r="E204" s="90">
        <f>15+15+15</f>
        <v>45</v>
      </c>
      <c r="F204" s="90">
        <f>15+15+15</f>
        <v>45</v>
      </c>
      <c r="G204" s="90">
        <f t="shared" si="9"/>
        <v>0</v>
      </c>
      <c r="H204" s="91">
        <f t="shared" si="8"/>
        <v>100</v>
      </c>
    </row>
    <row r="205" spans="1:8" x14ac:dyDescent="0.3">
      <c r="A205" s="89" t="s">
        <v>1037</v>
      </c>
      <c r="B205" s="89" t="s">
        <v>77</v>
      </c>
      <c r="C205" s="89" t="s">
        <v>843</v>
      </c>
      <c r="D205" s="89"/>
      <c r="E205" s="90"/>
      <c r="F205" s="90"/>
      <c r="G205" s="90">
        <f t="shared" si="9"/>
        <v>0</v>
      </c>
      <c r="H205" s="91">
        <f t="shared" si="8"/>
        <v>0</v>
      </c>
    </row>
    <row r="206" spans="1:8" x14ac:dyDescent="0.3">
      <c r="A206" s="93" t="s">
        <v>1037</v>
      </c>
      <c r="B206" s="93" t="s">
        <v>78</v>
      </c>
      <c r="C206" s="93" t="s">
        <v>853</v>
      </c>
      <c r="D206" s="93" t="s">
        <v>862</v>
      </c>
      <c r="E206" s="92">
        <v>2</v>
      </c>
      <c r="F206" s="92">
        <v>2</v>
      </c>
      <c r="G206" s="92">
        <f t="shared" si="9"/>
        <v>0</v>
      </c>
      <c r="H206" s="94">
        <f t="shared" si="8"/>
        <v>100</v>
      </c>
    </row>
    <row r="207" spans="1:8" x14ac:dyDescent="0.3">
      <c r="A207" s="89" t="s">
        <v>1037</v>
      </c>
      <c r="B207" s="89" t="s">
        <v>87</v>
      </c>
      <c r="C207" s="89" t="s">
        <v>831</v>
      </c>
      <c r="D207" s="89" t="s">
        <v>1033</v>
      </c>
      <c r="E207" s="90">
        <v>2</v>
      </c>
      <c r="F207" s="90">
        <v>2</v>
      </c>
      <c r="G207" s="90">
        <f t="shared" si="9"/>
        <v>0</v>
      </c>
      <c r="H207" s="91">
        <f t="shared" si="8"/>
        <v>100</v>
      </c>
    </row>
    <row r="208" spans="1:8" x14ac:dyDescent="0.3">
      <c r="A208" s="89" t="s">
        <v>1037</v>
      </c>
      <c r="B208" s="89" t="s">
        <v>88</v>
      </c>
      <c r="C208" s="89" t="s">
        <v>843</v>
      </c>
      <c r="D208" s="89"/>
      <c r="E208" s="90"/>
      <c r="F208" s="90"/>
      <c r="G208" s="90">
        <f t="shared" si="9"/>
        <v>0</v>
      </c>
      <c r="H208" s="91">
        <f t="shared" si="8"/>
        <v>0</v>
      </c>
    </row>
    <row r="209" spans="1:8" x14ac:dyDescent="0.3">
      <c r="A209" s="89" t="s">
        <v>1037</v>
      </c>
      <c r="B209" s="89" t="s">
        <v>89</v>
      </c>
      <c r="C209" s="89" t="s">
        <v>853</v>
      </c>
      <c r="D209" s="89" t="s">
        <v>762</v>
      </c>
      <c r="E209" s="90">
        <v>1</v>
      </c>
      <c r="F209" s="90">
        <v>1</v>
      </c>
      <c r="G209" s="90">
        <f t="shared" si="9"/>
        <v>0</v>
      </c>
      <c r="H209" s="91">
        <f t="shared" si="8"/>
        <v>100</v>
      </c>
    </row>
    <row r="210" spans="1:8" x14ac:dyDescent="0.3">
      <c r="A210" s="89" t="s">
        <v>1037</v>
      </c>
      <c r="B210" s="89" t="s">
        <v>96</v>
      </c>
      <c r="C210" s="89" t="s">
        <v>95</v>
      </c>
      <c r="D210" s="89" t="s">
        <v>862</v>
      </c>
      <c r="E210" s="90">
        <v>1</v>
      </c>
      <c r="F210" s="90">
        <v>1</v>
      </c>
      <c r="G210" s="90">
        <f t="shared" si="9"/>
        <v>0</v>
      </c>
      <c r="H210" s="91">
        <f t="shared" si="8"/>
        <v>100</v>
      </c>
    </row>
    <row r="211" spans="1:8" x14ac:dyDescent="0.3">
      <c r="A211" s="89" t="s">
        <v>1037</v>
      </c>
      <c r="B211" s="89" t="s">
        <v>107</v>
      </c>
      <c r="C211" s="89" t="s">
        <v>831</v>
      </c>
      <c r="D211" s="89" t="s">
        <v>1033</v>
      </c>
      <c r="E211" s="90">
        <f>78+171+206+229+179+83</f>
        <v>946</v>
      </c>
      <c r="F211" s="90">
        <f>77+152+202+82+153+221</f>
        <v>887</v>
      </c>
      <c r="G211" s="90">
        <f t="shared" si="9"/>
        <v>59</v>
      </c>
      <c r="H211" s="91">
        <f t="shared" si="8"/>
        <v>93.763213530655392</v>
      </c>
    </row>
    <row r="212" spans="1:8" x14ac:dyDescent="0.3">
      <c r="A212" s="89" t="s">
        <v>1037</v>
      </c>
      <c r="B212" s="89" t="s">
        <v>108</v>
      </c>
      <c r="C212" s="89" t="s">
        <v>843</v>
      </c>
      <c r="D212" s="89"/>
      <c r="E212" s="90"/>
      <c r="F212" s="90"/>
      <c r="G212" s="90">
        <f t="shared" si="9"/>
        <v>0</v>
      </c>
      <c r="H212" s="91">
        <f t="shared" si="8"/>
        <v>0</v>
      </c>
    </row>
    <row r="213" spans="1:8" x14ac:dyDescent="0.3">
      <c r="A213" s="89" t="s">
        <v>1037</v>
      </c>
      <c r="B213" s="89" t="s">
        <v>109</v>
      </c>
      <c r="C213" s="89" t="s">
        <v>853</v>
      </c>
      <c r="D213" s="89" t="s">
        <v>744</v>
      </c>
      <c r="E213" s="90">
        <f>34+16</f>
        <v>50</v>
      </c>
      <c r="F213" s="90">
        <v>0</v>
      </c>
      <c r="G213" s="90">
        <f t="shared" si="9"/>
        <v>50</v>
      </c>
      <c r="H213" s="91">
        <f t="shared" si="8"/>
        <v>0</v>
      </c>
    </row>
    <row r="214" spans="1:8" x14ac:dyDescent="0.3">
      <c r="A214" s="89" t="s">
        <v>1037</v>
      </c>
      <c r="B214" s="89" t="s">
        <v>113</v>
      </c>
      <c r="C214" s="89" t="s">
        <v>831</v>
      </c>
      <c r="D214" s="89" t="s">
        <v>862</v>
      </c>
      <c r="E214" s="90">
        <v>420</v>
      </c>
      <c r="F214" s="90">
        <v>417</v>
      </c>
      <c r="G214" s="90">
        <f t="shared" si="9"/>
        <v>3</v>
      </c>
      <c r="H214" s="91">
        <f t="shared" si="8"/>
        <v>99.285714285714292</v>
      </c>
    </row>
    <row r="215" spans="1:8" x14ac:dyDescent="0.3">
      <c r="A215" s="89" t="s">
        <v>1037</v>
      </c>
      <c r="B215" s="89" t="s">
        <v>114</v>
      </c>
      <c r="C215" s="89" t="s">
        <v>843</v>
      </c>
      <c r="D215" s="89"/>
      <c r="E215" s="90"/>
      <c r="F215" s="90"/>
      <c r="G215" s="90">
        <f t="shared" si="9"/>
        <v>0</v>
      </c>
      <c r="H215" s="91">
        <f t="shared" si="8"/>
        <v>0</v>
      </c>
    </row>
    <row r="216" spans="1:8" x14ac:dyDescent="0.3">
      <c r="A216" s="93" t="s">
        <v>1037</v>
      </c>
      <c r="B216" s="93" t="s">
        <v>115</v>
      </c>
      <c r="C216" s="93" t="s">
        <v>853</v>
      </c>
      <c r="D216" s="93" t="s">
        <v>862</v>
      </c>
      <c r="E216" s="92">
        <v>2</v>
      </c>
      <c r="F216" s="92">
        <v>2</v>
      </c>
      <c r="G216" s="92">
        <f t="shared" si="9"/>
        <v>0</v>
      </c>
      <c r="H216" s="94">
        <f t="shared" si="8"/>
        <v>100</v>
      </c>
    </row>
    <row r="217" spans="1:8" x14ac:dyDescent="0.3">
      <c r="A217" s="89" t="s">
        <v>1037</v>
      </c>
      <c r="B217" s="89" t="s">
        <v>120</v>
      </c>
      <c r="C217" s="89" t="s">
        <v>831</v>
      </c>
      <c r="D217" s="89" t="s">
        <v>744</v>
      </c>
      <c r="E217" s="90">
        <v>20</v>
      </c>
      <c r="F217" s="90">
        <v>20</v>
      </c>
      <c r="G217" s="90">
        <f t="shared" si="9"/>
        <v>0</v>
      </c>
      <c r="H217" s="91">
        <f t="shared" si="8"/>
        <v>100</v>
      </c>
    </row>
    <row r="218" spans="1:8" x14ac:dyDescent="0.3">
      <c r="A218" s="89" t="s">
        <v>1037</v>
      </c>
      <c r="B218" s="89" t="s">
        <v>126</v>
      </c>
      <c r="C218" s="89" t="s">
        <v>831</v>
      </c>
      <c r="D218" s="89" t="s">
        <v>862</v>
      </c>
      <c r="E218" s="90">
        <v>6</v>
      </c>
      <c r="F218" s="90">
        <v>6</v>
      </c>
      <c r="G218" s="90">
        <f t="shared" si="9"/>
        <v>0</v>
      </c>
      <c r="H218" s="91">
        <f t="shared" si="8"/>
        <v>100</v>
      </c>
    </row>
    <row r="219" spans="1:8" x14ac:dyDescent="0.3">
      <c r="A219" s="89" t="s">
        <v>1037</v>
      </c>
      <c r="B219" s="89" t="s">
        <v>127</v>
      </c>
      <c r="C219" s="89" t="s">
        <v>843</v>
      </c>
      <c r="D219" s="89"/>
      <c r="E219" s="90"/>
      <c r="F219" s="90"/>
      <c r="G219" s="90">
        <f t="shared" si="9"/>
        <v>0</v>
      </c>
      <c r="H219" s="91">
        <f t="shared" si="8"/>
        <v>0</v>
      </c>
    </row>
    <row r="220" spans="1:8" x14ac:dyDescent="0.3">
      <c r="A220" s="89" t="s">
        <v>1037</v>
      </c>
      <c r="B220" s="89" t="s">
        <v>128</v>
      </c>
      <c r="C220" s="89" t="s">
        <v>853</v>
      </c>
      <c r="D220" s="89" t="s">
        <v>862</v>
      </c>
      <c r="E220" s="90">
        <v>2</v>
      </c>
      <c r="F220" s="90">
        <v>2</v>
      </c>
      <c r="G220" s="90">
        <f t="shared" si="9"/>
        <v>0</v>
      </c>
      <c r="H220" s="91">
        <f t="shared" si="8"/>
        <v>100</v>
      </c>
    </row>
    <row r="221" spans="1:8" x14ac:dyDescent="0.3">
      <c r="A221" s="89" t="s">
        <v>1037</v>
      </c>
      <c r="B221" s="89" t="s">
        <v>129</v>
      </c>
      <c r="C221" s="89" t="s">
        <v>831</v>
      </c>
      <c r="D221" s="89" t="s">
        <v>862</v>
      </c>
      <c r="E221" s="90">
        <v>16</v>
      </c>
      <c r="F221" s="90">
        <v>15</v>
      </c>
      <c r="G221" s="90">
        <f t="shared" si="9"/>
        <v>1</v>
      </c>
      <c r="H221" s="91">
        <f t="shared" si="8"/>
        <v>93.75</v>
      </c>
    </row>
    <row r="222" spans="1:8" x14ac:dyDescent="0.3">
      <c r="A222" s="89" t="s">
        <v>1037</v>
      </c>
      <c r="B222" s="89" t="s">
        <v>130</v>
      </c>
      <c r="C222" s="89" t="s">
        <v>843</v>
      </c>
      <c r="D222" s="89"/>
      <c r="E222" s="90"/>
      <c r="F222" s="90"/>
      <c r="G222" s="90">
        <f t="shared" si="9"/>
        <v>0</v>
      </c>
      <c r="H222" s="91">
        <f t="shared" si="8"/>
        <v>0</v>
      </c>
    </row>
    <row r="223" spans="1:8" x14ac:dyDescent="0.3">
      <c r="A223" s="89" t="s">
        <v>1037</v>
      </c>
      <c r="B223" s="89" t="s">
        <v>131</v>
      </c>
      <c r="C223" s="89" t="s">
        <v>853</v>
      </c>
      <c r="D223" s="89" t="s">
        <v>862</v>
      </c>
      <c r="E223" s="90">
        <v>2</v>
      </c>
      <c r="F223" s="90">
        <v>1</v>
      </c>
      <c r="G223" s="90">
        <f t="shared" si="9"/>
        <v>1</v>
      </c>
      <c r="H223" s="91">
        <f t="shared" si="8"/>
        <v>50</v>
      </c>
    </row>
    <row r="224" spans="1:8" x14ac:dyDescent="0.3">
      <c r="A224" s="89" t="s">
        <v>1037</v>
      </c>
      <c r="B224" s="89" t="s">
        <v>141</v>
      </c>
      <c r="C224" s="89" t="s">
        <v>95</v>
      </c>
      <c r="D224" s="89"/>
      <c r="E224" s="90"/>
      <c r="F224" s="90"/>
      <c r="G224" s="90">
        <f t="shared" si="9"/>
        <v>0</v>
      </c>
      <c r="H224" s="91">
        <f t="shared" si="8"/>
        <v>0</v>
      </c>
    </row>
    <row r="225" spans="1:8" x14ac:dyDescent="0.3">
      <c r="A225" s="89" t="s">
        <v>1037</v>
      </c>
      <c r="B225" s="89" t="s">
        <v>155</v>
      </c>
      <c r="C225" s="89" t="s">
        <v>831</v>
      </c>
      <c r="D225" s="89"/>
      <c r="E225" s="90"/>
      <c r="F225" s="90"/>
      <c r="G225" s="90">
        <f t="shared" si="9"/>
        <v>0</v>
      </c>
      <c r="H225" s="91">
        <f t="shared" si="8"/>
        <v>0</v>
      </c>
    </row>
    <row r="226" spans="1:8" x14ac:dyDescent="0.3">
      <c r="A226" s="89" t="s">
        <v>1037</v>
      </c>
      <c r="B226" s="89" t="s">
        <v>156</v>
      </c>
      <c r="C226" s="89" t="s">
        <v>843</v>
      </c>
      <c r="D226" s="89"/>
      <c r="E226" s="90"/>
      <c r="F226" s="90"/>
      <c r="G226" s="90">
        <f t="shared" si="9"/>
        <v>0</v>
      </c>
      <c r="H226" s="91">
        <f t="shared" si="8"/>
        <v>0</v>
      </c>
    </row>
    <row r="227" spans="1:8" x14ac:dyDescent="0.3">
      <c r="A227" s="89" t="s">
        <v>1037</v>
      </c>
      <c r="B227" s="89" t="s">
        <v>157</v>
      </c>
      <c r="C227" s="89" t="s">
        <v>853</v>
      </c>
      <c r="D227" s="89"/>
      <c r="E227" s="90">
        <v>0</v>
      </c>
      <c r="F227" s="90">
        <v>0</v>
      </c>
      <c r="G227" s="90">
        <f t="shared" si="9"/>
        <v>0</v>
      </c>
      <c r="H227" s="91">
        <f t="shared" si="8"/>
        <v>0</v>
      </c>
    </row>
    <row r="228" spans="1:8" x14ac:dyDescent="0.3">
      <c r="A228" s="89" t="s">
        <v>1037</v>
      </c>
      <c r="B228" s="89" t="s">
        <v>164</v>
      </c>
      <c r="C228" s="89" t="s">
        <v>95</v>
      </c>
      <c r="D228" s="89" t="s">
        <v>862</v>
      </c>
      <c r="E228" s="90">
        <v>1</v>
      </c>
      <c r="F228" s="90">
        <v>1</v>
      </c>
      <c r="G228" s="90">
        <f t="shared" si="9"/>
        <v>0</v>
      </c>
      <c r="H228" s="91">
        <f t="shared" si="8"/>
        <v>100</v>
      </c>
    </row>
    <row r="229" spans="1:8" x14ac:dyDescent="0.3">
      <c r="A229" s="89" t="s">
        <v>1037</v>
      </c>
      <c r="B229" s="89" t="s">
        <v>167</v>
      </c>
      <c r="C229" s="89" t="s">
        <v>863</v>
      </c>
      <c r="D229" s="89"/>
      <c r="E229" s="90"/>
      <c r="F229" s="90"/>
      <c r="G229" s="90">
        <f t="shared" si="9"/>
        <v>0</v>
      </c>
      <c r="H229" s="91">
        <f t="shared" si="8"/>
        <v>0</v>
      </c>
    </row>
    <row r="230" spans="1:8" x14ac:dyDescent="0.3">
      <c r="A230" s="89" t="s">
        <v>1037</v>
      </c>
      <c r="B230" s="89" t="s">
        <v>169</v>
      </c>
      <c r="C230" s="89" t="s">
        <v>863</v>
      </c>
      <c r="D230" s="89" t="s">
        <v>862</v>
      </c>
      <c r="E230" s="90"/>
      <c r="F230" s="90"/>
      <c r="G230" s="90">
        <f t="shared" si="9"/>
        <v>0</v>
      </c>
      <c r="H230" s="91">
        <f t="shared" si="8"/>
        <v>0</v>
      </c>
    </row>
    <row r="231" spans="1:8" x14ac:dyDescent="0.3">
      <c r="A231" s="89" t="s">
        <v>1037</v>
      </c>
      <c r="B231" s="89" t="s">
        <v>171</v>
      </c>
      <c r="C231" s="89" t="s">
        <v>863</v>
      </c>
      <c r="D231" s="89" t="s">
        <v>862</v>
      </c>
      <c r="E231" s="90"/>
      <c r="F231" s="90"/>
      <c r="G231" s="90">
        <f t="shared" si="9"/>
        <v>0</v>
      </c>
      <c r="H231" s="91">
        <f t="shared" si="8"/>
        <v>0</v>
      </c>
    </row>
    <row r="232" spans="1:8" x14ac:dyDescent="0.3">
      <c r="A232" s="89" t="s">
        <v>1037</v>
      </c>
      <c r="B232" s="89" t="s">
        <v>172</v>
      </c>
      <c r="C232" s="89" t="s">
        <v>863</v>
      </c>
      <c r="D232" s="89" t="s">
        <v>862</v>
      </c>
      <c r="E232" s="90"/>
      <c r="F232" s="90"/>
      <c r="G232" s="90">
        <f t="shared" si="9"/>
        <v>0</v>
      </c>
      <c r="H232" s="91">
        <f t="shared" si="8"/>
        <v>0</v>
      </c>
    </row>
    <row r="233" spans="1:8" x14ac:dyDescent="0.3">
      <c r="A233" s="89" t="s">
        <v>1037</v>
      </c>
      <c r="B233" s="89" t="s">
        <v>1024</v>
      </c>
      <c r="C233" s="89" t="s">
        <v>863</v>
      </c>
      <c r="D233" s="89"/>
      <c r="E233" s="90"/>
      <c r="F233" s="90"/>
      <c r="G233" s="90">
        <f t="shared" si="9"/>
        <v>0</v>
      </c>
      <c r="H233" s="91">
        <f t="shared" si="8"/>
        <v>0</v>
      </c>
    </row>
    <row r="234" spans="1:8" x14ac:dyDescent="0.3">
      <c r="A234" s="89" t="s">
        <v>1037</v>
      </c>
      <c r="B234" s="89" t="s">
        <v>174</v>
      </c>
      <c r="C234" s="89" t="s">
        <v>95</v>
      </c>
      <c r="D234" s="89" t="s">
        <v>862</v>
      </c>
      <c r="E234" s="90">
        <v>1</v>
      </c>
      <c r="F234" s="90">
        <v>0</v>
      </c>
      <c r="G234" s="90">
        <f t="shared" si="9"/>
        <v>1</v>
      </c>
      <c r="H234" s="91">
        <f t="shared" si="8"/>
        <v>0</v>
      </c>
    </row>
    <row r="235" spans="1:8" x14ac:dyDescent="0.3">
      <c r="A235" s="89" t="s">
        <v>1037</v>
      </c>
      <c r="B235" s="89" t="s">
        <v>1012</v>
      </c>
      <c r="C235" s="89" t="s">
        <v>863</v>
      </c>
      <c r="D235" s="89" t="s">
        <v>862</v>
      </c>
      <c r="E235" s="90"/>
      <c r="F235" s="90"/>
      <c r="G235" s="90">
        <f t="shared" si="9"/>
        <v>0</v>
      </c>
      <c r="H235" s="91">
        <f t="shared" si="8"/>
        <v>0</v>
      </c>
    </row>
    <row r="236" spans="1:8" x14ac:dyDescent="0.3">
      <c r="A236" s="89" t="s">
        <v>1037</v>
      </c>
      <c r="B236" s="89" t="s">
        <v>1013</v>
      </c>
      <c r="C236" s="89" t="s">
        <v>863</v>
      </c>
      <c r="D236" s="89" t="s">
        <v>862</v>
      </c>
      <c r="E236" s="90"/>
      <c r="F236" s="90"/>
      <c r="G236" s="90">
        <f t="shared" si="9"/>
        <v>0</v>
      </c>
      <c r="H236" s="91">
        <f t="shared" si="8"/>
        <v>0</v>
      </c>
    </row>
    <row r="237" spans="1:8" x14ac:dyDescent="0.3">
      <c r="A237" s="89" t="s">
        <v>1037</v>
      </c>
      <c r="B237" s="89" t="s">
        <v>1014</v>
      </c>
      <c r="C237" s="89" t="s">
        <v>863</v>
      </c>
      <c r="D237" s="89" t="s">
        <v>862</v>
      </c>
      <c r="E237" s="90"/>
      <c r="F237" s="90"/>
      <c r="G237" s="90">
        <f t="shared" si="9"/>
        <v>0</v>
      </c>
      <c r="H237" s="91">
        <f t="shared" si="8"/>
        <v>0</v>
      </c>
    </row>
    <row r="238" spans="1:8" x14ac:dyDescent="0.3">
      <c r="A238" s="89" t="s">
        <v>1037</v>
      </c>
      <c r="B238" s="89" t="s">
        <v>179</v>
      </c>
      <c r="C238" s="89" t="s">
        <v>863</v>
      </c>
      <c r="D238" s="89"/>
      <c r="E238" s="90"/>
      <c r="F238" s="90"/>
      <c r="G238" s="90">
        <f t="shared" si="9"/>
        <v>0</v>
      </c>
      <c r="H238" s="91">
        <f t="shared" si="8"/>
        <v>0</v>
      </c>
    </row>
    <row r="239" spans="1:8" x14ac:dyDescent="0.3">
      <c r="A239" s="89" t="s">
        <v>1037</v>
      </c>
      <c r="B239" s="89" t="s">
        <v>181</v>
      </c>
      <c r="C239" s="89" t="s">
        <v>863</v>
      </c>
      <c r="D239" s="89"/>
      <c r="E239" s="90"/>
      <c r="F239" s="90"/>
      <c r="G239" s="90">
        <f t="shared" si="9"/>
        <v>0</v>
      </c>
      <c r="H239" s="91">
        <f t="shared" si="8"/>
        <v>0</v>
      </c>
    </row>
    <row r="240" spans="1:8" x14ac:dyDescent="0.3">
      <c r="A240" s="89" t="s">
        <v>1037</v>
      </c>
      <c r="B240" s="89" t="s">
        <v>189</v>
      </c>
      <c r="C240" s="89" t="s">
        <v>831</v>
      </c>
      <c r="D240" s="89" t="s">
        <v>862</v>
      </c>
      <c r="E240" s="90">
        <v>15</v>
      </c>
      <c r="F240" s="90">
        <v>15</v>
      </c>
      <c r="G240" s="90">
        <f t="shared" si="9"/>
        <v>0</v>
      </c>
      <c r="H240" s="91">
        <f t="shared" si="8"/>
        <v>100</v>
      </c>
    </row>
    <row r="241" spans="1:8" x14ac:dyDescent="0.3">
      <c r="A241" s="89" t="s">
        <v>1037</v>
      </c>
      <c r="B241" s="89" t="s">
        <v>190</v>
      </c>
      <c r="C241" s="89" t="s">
        <v>843</v>
      </c>
      <c r="D241" s="89"/>
      <c r="E241" s="90"/>
      <c r="F241" s="90"/>
      <c r="G241" s="90">
        <f t="shared" si="9"/>
        <v>0</v>
      </c>
      <c r="H241" s="91">
        <f t="shared" si="8"/>
        <v>0</v>
      </c>
    </row>
    <row r="242" spans="1:8" x14ac:dyDescent="0.3">
      <c r="A242" s="89" t="s">
        <v>1037</v>
      </c>
      <c r="B242" s="89" t="s">
        <v>191</v>
      </c>
      <c r="C242" s="89" t="s">
        <v>853</v>
      </c>
      <c r="D242" s="89" t="s">
        <v>862</v>
      </c>
      <c r="E242" s="90">
        <v>2</v>
      </c>
      <c r="F242" s="90">
        <v>2</v>
      </c>
      <c r="G242" s="90">
        <f t="shared" si="9"/>
        <v>0</v>
      </c>
      <c r="H242" s="91">
        <f t="shared" si="8"/>
        <v>100</v>
      </c>
    </row>
    <row r="243" spans="1:8" x14ac:dyDescent="0.3">
      <c r="A243" s="89" t="s">
        <v>1037</v>
      </c>
      <c r="B243" s="89" t="s">
        <v>193</v>
      </c>
      <c r="C243" s="89" t="s">
        <v>95</v>
      </c>
      <c r="D243" s="89"/>
      <c r="E243" s="90"/>
      <c r="F243" s="90"/>
      <c r="G243" s="90">
        <f t="shared" si="9"/>
        <v>0</v>
      </c>
      <c r="H243" s="91">
        <f t="shared" si="8"/>
        <v>0</v>
      </c>
    </row>
    <row r="244" spans="1:8" x14ac:dyDescent="0.3">
      <c r="A244" s="89" t="s">
        <v>1037</v>
      </c>
      <c r="B244" s="89" t="s">
        <v>203</v>
      </c>
      <c r="C244" s="89" t="s">
        <v>95</v>
      </c>
      <c r="D244" s="89"/>
      <c r="E244" s="90"/>
      <c r="F244" s="90"/>
      <c r="G244" s="90">
        <f t="shared" si="9"/>
        <v>0</v>
      </c>
      <c r="H244" s="91">
        <f t="shared" si="8"/>
        <v>0</v>
      </c>
    </row>
    <row r="245" spans="1:8" x14ac:dyDescent="0.3">
      <c r="A245" s="89" t="s">
        <v>1038</v>
      </c>
      <c r="B245" s="89" t="s">
        <v>47</v>
      </c>
      <c r="C245" s="89" t="s">
        <v>831</v>
      </c>
      <c r="D245" s="89" t="s">
        <v>862</v>
      </c>
      <c r="E245" s="90">
        <v>268</v>
      </c>
      <c r="F245" s="90">
        <v>167</v>
      </c>
      <c r="G245" s="90">
        <f t="shared" si="9"/>
        <v>101</v>
      </c>
      <c r="H245" s="91">
        <f t="shared" si="8"/>
        <v>62.313432835820898</v>
      </c>
    </row>
    <row r="246" spans="1:8" x14ac:dyDescent="0.3">
      <c r="A246" s="89" t="s">
        <v>1038</v>
      </c>
      <c r="B246" s="89" t="s">
        <v>49</v>
      </c>
      <c r="C246" s="89" t="s">
        <v>843</v>
      </c>
      <c r="D246" s="89"/>
      <c r="E246" s="90"/>
      <c r="F246" s="90"/>
      <c r="G246" s="90">
        <f t="shared" ref="G246:G256" si="10">+E246-F246</f>
        <v>0</v>
      </c>
      <c r="H246" s="91">
        <f t="shared" ref="H246:H256" si="11">IFERROR(IF(7&lt;&gt;0, F246*100/E246, IF(E246=F246, F246*100/E246, 0)), 0)</f>
        <v>0</v>
      </c>
    </row>
    <row r="247" spans="1:8" x14ac:dyDescent="0.3">
      <c r="A247" s="89" t="s">
        <v>1038</v>
      </c>
      <c r="B247" s="89" t="s">
        <v>1032</v>
      </c>
      <c r="C247" s="89" t="s">
        <v>843</v>
      </c>
      <c r="D247" s="89"/>
      <c r="E247" s="90"/>
      <c r="F247" s="90"/>
      <c r="G247" s="90">
        <f t="shared" si="10"/>
        <v>0</v>
      </c>
      <c r="H247" s="91">
        <f t="shared" si="11"/>
        <v>0</v>
      </c>
    </row>
    <row r="248" spans="1:8" x14ac:dyDescent="0.3">
      <c r="A248" s="89" t="s">
        <v>1038</v>
      </c>
      <c r="B248" s="89" t="s">
        <v>51</v>
      </c>
      <c r="C248" s="89" t="s">
        <v>853</v>
      </c>
      <c r="D248" s="89" t="s">
        <v>862</v>
      </c>
      <c r="E248" s="90">
        <v>27</v>
      </c>
      <c r="F248" s="90">
        <v>27</v>
      </c>
      <c r="G248" s="90">
        <f t="shared" si="10"/>
        <v>0</v>
      </c>
      <c r="H248" s="91">
        <f t="shared" si="11"/>
        <v>100</v>
      </c>
    </row>
    <row r="249" spans="1:8" x14ac:dyDescent="0.3">
      <c r="A249" s="89" t="s">
        <v>1038</v>
      </c>
      <c r="B249" s="89" t="s">
        <v>55</v>
      </c>
      <c r="C249" s="89" t="s">
        <v>831</v>
      </c>
      <c r="D249" s="89" t="s">
        <v>862</v>
      </c>
      <c r="E249" s="90">
        <v>1</v>
      </c>
      <c r="F249" s="90">
        <v>1</v>
      </c>
      <c r="G249" s="90">
        <f t="shared" si="10"/>
        <v>0</v>
      </c>
      <c r="H249" s="91">
        <f t="shared" si="11"/>
        <v>100</v>
      </c>
    </row>
    <row r="250" spans="1:8" x14ac:dyDescent="0.3">
      <c r="A250" s="89" t="s">
        <v>1038</v>
      </c>
      <c r="B250" s="89" t="s">
        <v>56</v>
      </c>
      <c r="C250" s="89" t="s">
        <v>843</v>
      </c>
      <c r="D250" s="89"/>
      <c r="E250" s="90"/>
      <c r="F250" s="90"/>
      <c r="G250" s="90">
        <f t="shared" si="10"/>
        <v>0</v>
      </c>
      <c r="H250" s="91">
        <f t="shared" si="11"/>
        <v>0</v>
      </c>
    </row>
    <row r="251" spans="1:8" x14ac:dyDescent="0.3">
      <c r="A251" s="89" t="s">
        <v>1038</v>
      </c>
      <c r="B251" s="89" t="s">
        <v>57</v>
      </c>
      <c r="C251" s="89" t="s">
        <v>853</v>
      </c>
      <c r="D251" s="89" t="s">
        <v>762</v>
      </c>
      <c r="E251" s="90">
        <v>22</v>
      </c>
      <c r="F251" s="90">
        <v>19</v>
      </c>
      <c r="G251" s="90">
        <f t="shared" si="10"/>
        <v>3</v>
      </c>
      <c r="H251" s="91">
        <f t="shared" si="11"/>
        <v>86.36363636363636</v>
      </c>
    </row>
    <row r="252" spans="1:8" x14ac:dyDescent="0.3">
      <c r="A252" s="89" t="s">
        <v>1038</v>
      </c>
      <c r="B252" s="89" t="s">
        <v>75</v>
      </c>
      <c r="C252" s="89" t="s">
        <v>831</v>
      </c>
      <c r="D252" s="89" t="s">
        <v>862</v>
      </c>
      <c r="E252" s="90">
        <v>70</v>
      </c>
      <c r="F252" s="92">
        <v>70</v>
      </c>
      <c r="G252" s="90">
        <f t="shared" si="10"/>
        <v>0</v>
      </c>
      <c r="H252" s="91">
        <f t="shared" si="11"/>
        <v>100</v>
      </c>
    </row>
    <row r="253" spans="1:8" x14ac:dyDescent="0.3">
      <c r="A253" s="89" t="s">
        <v>1038</v>
      </c>
      <c r="B253" s="89" t="s">
        <v>76</v>
      </c>
      <c r="C253" s="89" t="s">
        <v>831</v>
      </c>
      <c r="D253" s="89" t="s">
        <v>1033</v>
      </c>
      <c r="E253" s="90">
        <v>45</v>
      </c>
      <c r="F253" s="90">
        <f>15+15+15</f>
        <v>45</v>
      </c>
      <c r="G253" s="90">
        <f t="shared" si="10"/>
        <v>0</v>
      </c>
      <c r="H253" s="91">
        <f t="shared" si="11"/>
        <v>100</v>
      </c>
    </row>
    <row r="254" spans="1:8" x14ac:dyDescent="0.3">
      <c r="A254" s="89" t="s">
        <v>1038</v>
      </c>
      <c r="B254" s="89" t="s">
        <v>77</v>
      </c>
      <c r="C254" s="89" t="s">
        <v>843</v>
      </c>
      <c r="D254" s="89"/>
      <c r="E254" s="90"/>
      <c r="F254" s="90"/>
      <c r="G254" s="90">
        <f t="shared" si="10"/>
        <v>0</v>
      </c>
      <c r="H254" s="91">
        <f t="shared" si="11"/>
        <v>0</v>
      </c>
    </row>
    <row r="255" spans="1:8" x14ac:dyDescent="0.3">
      <c r="A255" s="93" t="s">
        <v>1038</v>
      </c>
      <c r="B255" s="93" t="s">
        <v>78</v>
      </c>
      <c r="C255" s="93" t="s">
        <v>853</v>
      </c>
      <c r="D255" s="93" t="s">
        <v>862</v>
      </c>
      <c r="E255" s="92">
        <v>2</v>
      </c>
      <c r="F255" s="92">
        <v>2</v>
      </c>
      <c r="G255" s="92">
        <f t="shared" si="10"/>
        <v>0</v>
      </c>
      <c r="H255" s="94">
        <f t="shared" si="11"/>
        <v>100</v>
      </c>
    </row>
    <row r="256" spans="1:8" x14ac:dyDescent="0.3">
      <c r="A256" s="89" t="s">
        <v>1038</v>
      </c>
      <c r="B256" s="89" t="s">
        <v>87</v>
      </c>
      <c r="C256" s="89" t="s">
        <v>831</v>
      </c>
      <c r="D256" s="89" t="s">
        <v>1033</v>
      </c>
      <c r="E256" s="90">
        <v>2</v>
      </c>
      <c r="F256" s="90">
        <v>2</v>
      </c>
      <c r="G256" s="90">
        <f t="shared" si="10"/>
        <v>0</v>
      </c>
      <c r="H256" s="91">
        <f t="shared" si="11"/>
        <v>100</v>
      </c>
    </row>
    <row r="257" spans="1:8" x14ac:dyDescent="0.3">
      <c r="A257" s="89" t="s">
        <v>1038</v>
      </c>
      <c r="B257" s="89" t="s">
        <v>88</v>
      </c>
      <c r="C257" s="89" t="s">
        <v>843</v>
      </c>
      <c r="D257" s="89"/>
      <c r="E257" s="90"/>
      <c r="F257" s="90"/>
      <c r="G257" s="90">
        <f t="shared" ref="G257:G320" si="12">+E257-F257</f>
        <v>0</v>
      </c>
      <c r="H257" s="91">
        <f t="shared" ref="H257:H320" si="13">IFERROR(IF(7&lt;&gt;0, F257*100/E257, IF(E257=F257, F257*100/E257, 0)), 0)</f>
        <v>0</v>
      </c>
    </row>
    <row r="258" spans="1:8" x14ac:dyDescent="0.3">
      <c r="A258" s="89" t="s">
        <v>1038</v>
      </c>
      <c r="B258" s="89" t="s">
        <v>89</v>
      </c>
      <c r="C258" s="89" t="s">
        <v>853</v>
      </c>
      <c r="D258" s="89" t="s">
        <v>762</v>
      </c>
      <c r="E258" s="90">
        <v>1</v>
      </c>
      <c r="F258" s="90">
        <v>1</v>
      </c>
      <c r="G258" s="90">
        <f t="shared" si="12"/>
        <v>0</v>
      </c>
      <c r="H258" s="91">
        <f t="shared" si="13"/>
        <v>100</v>
      </c>
    </row>
    <row r="259" spans="1:8" x14ac:dyDescent="0.3">
      <c r="A259" s="89" t="s">
        <v>1038</v>
      </c>
      <c r="B259" s="89" t="s">
        <v>96</v>
      </c>
      <c r="C259" s="89" t="s">
        <v>95</v>
      </c>
      <c r="D259" s="89" t="s">
        <v>862</v>
      </c>
      <c r="E259" s="90">
        <v>1</v>
      </c>
      <c r="F259" s="90">
        <v>1</v>
      </c>
      <c r="G259" s="90">
        <f t="shared" si="12"/>
        <v>0</v>
      </c>
      <c r="H259" s="91">
        <f t="shared" si="13"/>
        <v>100</v>
      </c>
    </row>
    <row r="260" spans="1:8" x14ac:dyDescent="0.3">
      <c r="A260" s="89" t="s">
        <v>1038</v>
      </c>
      <c r="B260" s="89" t="s">
        <v>107</v>
      </c>
      <c r="C260" s="89" t="s">
        <v>831</v>
      </c>
      <c r="D260" s="89" t="s">
        <v>1033</v>
      </c>
      <c r="E260" s="90">
        <f>61+145+112+58+141+108</f>
        <v>625</v>
      </c>
      <c r="F260" s="90">
        <f>112+125+61+108+120+58</f>
        <v>584</v>
      </c>
      <c r="G260" s="90">
        <f t="shared" si="12"/>
        <v>41</v>
      </c>
      <c r="H260" s="91">
        <f t="shared" si="13"/>
        <v>93.44</v>
      </c>
    </row>
    <row r="261" spans="1:8" x14ac:dyDescent="0.3">
      <c r="A261" s="89" t="s">
        <v>1038</v>
      </c>
      <c r="B261" s="89" t="s">
        <v>108</v>
      </c>
      <c r="C261" s="89" t="s">
        <v>843</v>
      </c>
      <c r="D261" s="89"/>
      <c r="E261" s="90"/>
      <c r="F261" s="90"/>
      <c r="G261" s="90">
        <f t="shared" si="12"/>
        <v>0</v>
      </c>
      <c r="H261" s="91">
        <f t="shared" si="13"/>
        <v>0</v>
      </c>
    </row>
    <row r="262" spans="1:8" x14ac:dyDescent="0.3">
      <c r="A262" s="89" t="s">
        <v>1038</v>
      </c>
      <c r="B262" s="89" t="s">
        <v>109</v>
      </c>
      <c r="C262" s="89" t="s">
        <v>853</v>
      </c>
      <c r="D262" s="89" t="s">
        <v>744</v>
      </c>
      <c r="E262" s="90">
        <v>20</v>
      </c>
      <c r="F262" s="90">
        <v>0</v>
      </c>
      <c r="G262" s="90">
        <f t="shared" si="12"/>
        <v>20</v>
      </c>
      <c r="H262" s="91">
        <f t="shared" si="13"/>
        <v>0</v>
      </c>
    </row>
    <row r="263" spans="1:8" x14ac:dyDescent="0.3">
      <c r="A263" s="89" t="s">
        <v>1038</v>
      </c>
      <c r="B263" s="89" t="s">
        <v>113</v>
      </c>
      <c r="C263" s="89" t="s">
        <v>831</v>
      </c>
      <c r="D263" s="89" t="s">
        <v>862</v>
      </c>
      <c r="E263" s="90">
        <v>315</v>
      </c>
      <c r="F263" s="90">
        <v>305</v>
      </c>
      <c r="G263" s="90">
        <f t="shared" si="12"/>
        <v>10</v>
      </c>
      <c r="H263" s="91">
        <f t="shared" si="13"/>
        <v>96.825396825396822</v>
      </c>
    </row>
    <row r="264" spans="1:8" x14ac:dyDescent="0.3">
      <c r="A264" s="89" t="s">
        <v>1038</v>
      </c>
      <c r="B264" s="89" t="s">
        <v>114</v>
      </c>
      <c r="C264" s="89" t="s">
        <v>843</v>
      </c>
      <c r="D264" s="89"/>
      <c r="E264" s="90"/>
      <c r="F264" s="90"/>
      <c r="G264" s="90">
        <f t="shared" si="12"/>
        <v>0</v>
      </c>
      <c r="H264" s="91">
        <f t="shared" si="13"/>
        <v>0</v>
      </c>
    </row>
    <row r="265" spans="1:8" x14ac:dyDescent="0.3">
      <c r="A265" s="93" t="s">
        <v>1038</v>
      </c>
      <c r="B265" s="93" t="s">
        <v>115</v>
      </c>
      <c r="C265" s="93" t="s">
        <v>853</v>
      </c>
      <c r="D265" s="93" t="s">
        <v>862</v>
      </c>
      <c r="E265" s="92">
        <v>2</v>
      </c>
      <c r="F265" s="92">
        <v>2</v>
      </c>
      <c r="G265" s="92">
        <f t="shared" si="12"/>
        <v>0</v>
      </c>
      <c r="H265" s="94">
        <f t="shared" si="13"/>
        <v>100</v>
      </c>
    </row>
    <row r="266" spans="1:8" x14ac:dyDescent="0.3">
      <c r="A266" s="89" t="s">
        <v>1038</v>
      </c>
      <c r="B266" s="89" t="s">
        <v>120</v>
      </c>
      <c r="C266" s="89" t="s">
        <v>831</v>
      </c>
      <c r="D266" s="89" t="s">
        <v>744</v>
      </c>
      <c r="E266" s="90">
        <v>21</v>
      </c>
      <c r="F266" s="90">
        <v>21</v>
      </c>
      <c r="G266" s="90">
        <f t="shared" si="12"/>
        <v>0</v>
      </c>
      <c r="H266" s="91">
        <f t="shared" si="13"/>
        <v>100</v>
      </c>
    </row>
    <row r="267" spans="1:8" x14ac:dyDescent="0.3">
      <c r="A267" s="89" t="s">
        <v>1038</v>
      </c>
      <c r="B267" s="89" t="s">
        <v>126</v>
      </c>
      <c r="C267" s="89" t="s">
        <v>831</v>
      </c>
      <c r="D267" s="89" t="s">
        <v>862</v>
      </c>
      <c r="E267" s="90">
        <v>7</v>
      </c>
      <c r="F267" s="90">
        <v>7</v>
      </c>
      <c r="G267" s="90">
        <f t="shared" si="12"/>
        <v>0</v>
      </c>
      <c r="H267" s="91">
        <f t="shared" si="13"/>
        <v>100</v>
      </c>
    </row>
    <row r="268" spans="1:8" x14ac:dyDescent="0.3">
      <c r="A268" s="89" t="s">
        <v>1038</v>
      </c>
      <c r="B268" s="89" t="s">
        <v>127</v>
      </c>
      <c r="C268" s="89" t="s">
        <v>843</v>
      </c>
      <c r="D268" s="89"/>
      <c r="E268" s="90"/>
      <c r="F268" s="90"/>
      <c r="G268" s="90">
        <f t="shared" si="12"/>
        <v>0</v>
      </c>
      <c r="H268" s="91">
        <f t="shared" si="13"/>
        <v>0</v>
      </c>
    </row>
    <row r="269" spans="1:8" x14ac:dyDescent="0.3">
      <c r="A269" s="89" t="s">
        <v>1038</v>
      </c>
      <c r="B269" s="89" t="s">
        <v>128</v>
      </c>
      <c r="C269" s="89" t="s">
        <v>853</v>
      </c>
      <c r="D269" s="89" t="s">
        <v>862</v>
      </c>
      <c r="E269" s="90">
        <v>2</v>
      </c>
      <c r="F269" s="90">
        <v>2</v>
      </c>
      <c r="G269" s="90">
        <f t="shared" si="12"/>
        <v>0</v>
      </c>
      <c r="H269" s="91">
        <f t="shared" si="13"/>
        <v>100</v>
      </c>
    </row>
    <row r="270" spans="1:8" x14ac:dyDescent="0.3">
      <c r="A270" s="89" t="s">
        <v>1038</v>
      </c>
      <c r="B270" s="89" t="s">
        <v>129</v>
      </c>
      <c r="C270" s="89" t="s">
        <v>831</v>
      </c>
      <c r="D270" s="89" t="s">
        <v>862</v>
      </c>
      <c r="E270" s="90">
        <v>16</v>
      </c>
      <c r="F270" s="90">
        <v>15</v>
      </c>
      <c r="G270" s="90">
        <f t="shared" si="12"/>
        <v>1</v>
      </c>
      <c r="H270" s="91">
        <f t="shared" si="13"/>
        <v>93.75</v>
      </c>
    </row>
    <row r="271" spans="1:8" x14ac:dyDescent="0.3">
      <c r="A271" s="89" t="s">
        <v>1038</v>
      </c>
      <c r="B271" s="89" t="s">
        <v>130</v>
      </c>
      <c r="C271" s="89" t="s">
        <v>843</v>
      </c>
      <c r="D271" s="89"/>
      <c r="E271" s="90"/>
      <c r="F271" s="90"/>
      <c r="G271" s="90">
        <f t="shared" si="12"/>
        <v>0</v>
      </c>
      <c r="H271" s="91">
        <f t="shared" si="13"/>
        <v>0</v>
      </c>
    </row>
    <row r="272" spans="1:8" x14ac:dyDescent="0.3">
      <c r="A272" s="89" t="s">
        <v>1038</v>
      </c>
      <c r="B272" s="89" t="s">
        <v>131</v>
      </c>
      <c r="C272" s="89" t="s">
        <v>853</v>
      </c>
      <c r="D272" s="89" t="s">
        <v>862</v>
      </c>
      <c r="E272" s="90">
        <v>2</v>
      </c>
      <c r="F272" s="90">
        <v>2</v>
      </c>
      <c r="G272" s="90">
        <f t="shared" si="12"/>
        <v>0</v>
      </c>
      <c r="H272" s="91">
        <f t="shared" si="13"/>
        <v>100</v>
      </c>
    </row>
    <row r="273" spans="1:8" x14ac:dyDescent="0.3">
      <c r="A273" s="89" t="s">
        <v>1038</v>
      </c>
      <c r="B273" s="89" t="s">
        <v>141</v>
      </c>
      <c r="C273" s="89" t="s">
        <v>95</v>
      </c>
      <c r="D273" s="89"/>
      <c r="E273" s="90"/>
      <c r="F273" s="90"/>
      <c r="G273" s="90">
        <f t="shared" si="12"/>
        <v>0</v>
      </c>
      <c r="H273" s="91">
        <f t="shared" si="13"/>
        <v>0</v>
      </c>
    </row>
    <row r="274" spans="1:8" x14ac:dyDescent="0.3">
      <c r="A274" s="89" t="s">
        <v>1038</v>
      </c>
      <c r="B274" s="89" t="s">
        <v>155</v>
      </c>
      <c r="C274" s="89" t="s">
        <v>831</v>
      </c>
      <c r="D274" s="89"/>
      <c r="E274" s="90"/>
      <c r="F274" s="90"/>
      <c r="G274" s="90">
        <f t="shared" si="12"/>
        <v>0</v>
      </c>
      <c r="H274" s="91">
        <f t="shared" si="13"/>
        <v>0</v>
      </c>
    </row>
    <row r="275" spans="1:8" x14ac:dyDescent="0.3">
      <c r="A275" s="89" t="s">
        <v>1038</v>
      </c>
      <c r="B275" s="89" t="s">
        <v>156</v>
      </c>
      <c r="C275" s="89" t="s">
        <v>843</v>
      </c>
      <c r="D275" s="89"/>
      <c r="E275" s="90"/>
      <c r="F275" s="90"/>
      <c r="G275" s="90">
        <f t="shared" si="12"/>
        <v>0</v>
      </c>
      <c r="H275" s="91">
        <f t="shared" si="13"/>
        <v>0</v>
      </c>
    </row>
    <row r="276" spans="1:8" x14ac:dyDescent="0.3">
      <c r="A276" s="89" t="s">
        <v>1038</v>
      </c>
      <c r="B276" s="89" t="s">
        <v>157</v>
      </c>
      <c r="C276" s="89" t="s">
        <v>853</v>
      </c>
      <c r="D276" s="89"/>
      <c r="E276" s="90"/>
      <c r="F276" s="90"/>
      <c r="G276" s="90">
        <f t="shared" si="12"/>
        <v>0</v>
      </c>
      <c r="H276" s="91">
        <f t="shared" si="13"/>
        <v>0</v>
      </c>
    </row>
    <row r="277" spans="1:8" x14ac:dyDescent="0.3">
      <c r="A277" s="89" t="s">
        <v>1038</v>
      </c>
      <c r="B277" s="89" t="s">
        <v>164</v>
      </c>
      <c r="C277" s="89" t="s">
        <v>95</v>
      </c>
      <c r="D277" s="89" t="s">
        <v>862</v>
      </c>
      <c r="E277" s="90">
        <v>1</v>
      </c>
      <c r="F277" s="90">
        <v>1</v>
      </c>
      <c r="G277" s="90">
        <f t="shared" si="12"/>
        <v>0</v>
      </c>
      <c r="H277" s="91">
        <f t="shared" si="13"/>
        <v>100</v>
      </c>
    </row>
    <row r="278" spans="1:8" x14ac:dyDescent="0.3">
      <c r="A278" s="89" t="s">
        <v>1038</v>
      </c>
      <c r="B278" s="89" t="s">
        <v>167</v>
      </c>
      <c r="C278" s="89" t="s">
        <v>863</v>
      </c>
      <c r="D278" s="89"/>
      <c r="E278" s="90"/>
      <c r="F278" s="90"/>
      <c r="G278" s="90">
        <f t="shared" si="12"/>
        <v>0</v>
      </c>
      <c r="H278" s="91">
        <f t="shared" si="13"/>
        <v>0</v>
      </c>
    </row>
    <row r="279" spans="1:8" x14ac:dyDescent="0.3">
      <c r="A279" s="89" t="s">
        <v>1038</v>
      </c>
      <c r="B279" s="89" t="s">
        <v>169</v>
      </c>
      <c r="C279" s="89" t="s">
        <v>863</v>
      </c>
      <c r="D279" s="89" t="s">
        <v>862</v>
      </c>
      <c r="E279" s="90"/>
      <c r="F279" s="90"/>
      <c r="G279" s="90">
        <f t="shared" si="12"/>
        <v>0</v>
      </c>
      <c r="H279" s="91">
        <f t="shared" si="13"/>
        <v>0</v>
      </c>
    </row>
    <row r="280" spans="1:8" x14ac:dyDescent="0.3">
      <c r="A280" s="89" t="s">
        <v>1038</v>
      </c>
      <c r="B280" s="89" t="s">
        <v>171</v>
      </c>
      <c r="C280" s="89" t="s">
        <v>863</v>
      </c>
      <c r="D280" s="89" t="s">
        <v>862</v>
      </c>
      <c r="E280" s="90"/>
      <c r="F280" s="90"/>
      <c r="G280" s="90">
        <f t="shared" si="12"/>
        <v>0</v>
      </c>
      <c r="H280" s="91">
        <f t="shared" si="13"/>
        <v>0</v>
      </c>
    </row>
    <row r="281" spans="1:8" x14ac:dyDescent="0.3">
      <c r="A281" s="89" t="s">
        <v>1038</v>
      </c>
      <c r="B281" s="89" t="s">
        <v>172</v>
      </c>
      <c r="C281" s="89" t="s">
        <v>863</v>
      </c>
      <c r="D281" s="89" t="s">
        <v>862</v>
      </c>
      <c r="E281" s="90"/>
      <c r="F281" s="90"/>
      <c r="G281" s="90">
        <f t="shared" si="12"/>
        <v>0</v>
      </c>
      <c r="H281" s="91">
        <f t="shared" si="13"/>
        <v>0</v>
      </c>
    </row>
    <row r="282" spans="1:8" x14ac:dyDescent="0.3">
      <c r="A282" s="89" t="s">
        <v>1038</v>
      </c>
      <c r="B282" s="89" t="s">
        <v>174</v>
      </c>
      <c r="C282" s="89" t="s">
        <v>95</v>
      </c>
      <c r="D282" s="89" t="s">
        <v>862</v>
      </c>
      <c r="E282" s="90">
        <v>0</v>
      </c>
      <c r="F282" s="90">
        <v>0</v>
      </c>
      <c r="G282" s="90">
        <f t="shared" si="12"/>
        <v>0</v>
      </c>
      <c r="H282" s="91">
        <f t="shared" si="13"/>
        <v>0</v>
      </c>
    </row>
    <row r="283" spans="1:8" x14ac:dyDescent="0.3">
      <c r="A283" s="89" t="s">
        <v>1038</v>
      </c>
      <c r="B283" s="89" t="s">
        <v>1012</v>
      </c>
      <c r="C283" s="89" t="s">
        <v>863</v>
      </c>
      <c r="D283" s="89" t="s">
        <v>862</v>
      </c>
      <c r="E283" s="90"/>
      <c r="F283" s="90"/>
      <c r="G283" s="90">
        <f t="shared" si="12"/>
        <v>0</v>
      </c>
      <c r="H283" s="91">
        <f t="shared" si="13"/>
        <v>0</v>
      </c>
    </row>
    <row r="284" spans="1:8" x14ac:dyDescent="0.3">
      <c r="A284" s="89" t="s">
        <v>1038</v>
      </c>
      <c r="B284" s="89" t="s">
        <v>1013</v>
      </c>
      <c r="C284" s="89" t="s">
        <v>863</v>
      </c>
      <c r="D284" s="89" t="s">
        <v>862</v>
      </c>
      <c r="E284" s="90"/>
      <c r="F284" s="90"/>
      <c r="G284" s="90">
        <f t="shared" si="12"/>
        <v>0</v>
      </c>
      <c r="H284" s="91">
        <f t="shared" si="13"/>
        <v>0</v>
      </c>
    </row>
    <row r="285" spans="1:8" x14ac:dyDescent="0.3">
      <c r="A285" s="89" t="s">
        <v>1038</v>
      </c>
      <c r="B285" s="89" t="s">
        <v>1014</v>
      </c>
      <c r="C285" s="89" t="s">
        <v>863</v>
      </c>
      <c r="D285" s="89" t="s">
        <v>862</v>
      </c>
      <c r="E285" s="90"/>
      <c r="F285" s="90"/>
      <c r="G285" s="90">
        <f t="shared" si="12"/>
        <v>0</v>
      </c>
      <c r="H285" s="91">
        <f t="shared" si="13"/>
        <v>0</v>
      </c>
    </row>
    <row r="286" spans="1:8" x14ac:dyDescent="0.3">
      <c r="A286" s="89" t="s">
        <v>1038</v>
      </c>
      <c r="B286" s="89" t="s">
        <v>179</v>
      </c>
      <c r="C286" s="89" t="s">
        <v>863</v>
      </c>
      <c r="D286" s="89"/>
      <c r="E286" s="90"/>
      <c r="F286" s="90"/>
      <c r="G286" s="90">
        <f t="shared" si="12"/>
        <v>0</v>
      </c>
      <c r="H286" s="91">
        <f t="shared" si="13"/>
        <v>0</v>
      </c>
    </row>
    <row r="287" spans="1:8" x14ac:dyDescent="0.3">
      <c r="A287" s="89" t="s">
        <v>1038</v>
      </c>
      <c r="B287" s="89" t="s">
        <v>181</v>
      </c>
      <c r="C287" s="89" t="s">
        <v>863</v>
      </c>
      <c r="D287" s="89"/>
      <c r="E287" s="90"/>
      <c r="F287" s="90"/>
      <c r="G287" s="90">
        <f t="shared" si="12"/>
        <v>0</v>
      </c>
      <c r="H287" s="91">
        <f t="shared" si="13"/>
        <v>0</v>
      </c>
    </row>
    <row r="288" spans="1:8" x14ac:dyDescent="0.3">
      <c r="A288" s="89" t="s">
        <v>1038</v>
      </c>
      <c r="B288" s="89" t="s">
        <v>189</v>
      </c>
      <c r="C288" s="89" t="s">
        <v>831</v>
      </c>
      <c r="D288" s="89" t="s">
        <v>862</v>
      </c>
      <c r="E288" s="90">
        <v>15</v>
      </c>
      <c r="F288" s="90">
        <v>15</v>
      </c>
      <c r="G288" s="90">
        <f t="shared" si="12"/>
        <v>0</v>
      </c>
      <c r="H288" s="91">
        <f t="shared" si="13"/>
        <v>100</v>
      </c>
    </row>
    <row r="289" spans="1:8" x14ac:dyDescent="0.3">
      <c r="A289" s="89" t="s">
        <v>1038</v>
      </c>
      <c r="B289" s="89" t="s">
        <v>190</v>
      </c>
      <c r="C289" s="89" t="s">
        <v>843</v>
      </c>
      <c r="D289" s="89"/>
      <c r="E289" s="90"/>
      <c r="F289" s="90"/>
      <c r="G289" s="90">
        <f t="shared" si="12"/>
        <v>0</v>
      </c>
      <c r="H289" s="91">
        <f t="shared" si="13"/>
        <v>0</v>
      </c>
    </row>
    <row r="290" spans="1:8" x14ac:dyDescent="0.3">
      <c r="A290" s="89" t="s">
        <v>1038</v>
      </c>
      <c r="B290" s="89" t="s">
        <v>191</v>
      </c>
      <c r="C290" s="89" t="s">
        <v>853</v>
      </c>
      <c r="D290" s="89" t="s">
        <v>862</v>
      </c>
      <c r="E290" s="90">
        <v>2</v>
      </c>
      <c r="F290" s="90">
        <v>2</v>
      </c>
      <c r="G290" s="90">
        <f t="shared" si="12"/>
        <v>0</v>
      </c>
      <c r="H290" s="91">
        <f t="shared" si="13"/>
        <v>100</v>
      </c>
    </row>
    <row r="291" spans="1:8" x14ac:dyDescent="0.3">
      <c r="A291" s="89" t="s">
        <v>1038</v>
      </c>
      <c r="B291" s="89" t="s">
        <v>193</v>
      </c>
      <c r="C291" s="89" t="s">
        <v>95</v>
      </c>
      <c r="D291" s="89"/>
      <c r="E291" s="90"/>
      <c r="F291" s="90"/>
      <c r="G291" s="90">
        <f t="shared" si="12"/>
        <v>0</v>
      </c>
      <c r="H291" s="91">
        <f t="shared" si="13"/>
        <v>0</v>
      </c>
    </row>
    <row r="292" spans="1:8" x14ac:dyDescent="0.3">
      <c r="A292" s="89" t="s">
        <v>1038</v>
      </c>
      <c r="B292" s="89" t="s">
        <v>203</v>
      </c>
      <c r="C292" s="89" t="s">
        <v>95</v>
      </c>
      <c r="D292" s="89"/>
      <c r="E292" s="90"/>
      <c r="F292" s="90"/>
      <c r="G292" s="90">
        <f t="shared" si="12"/>
        <v>0</v>
      </c>
      <c r="H292" s="91">
        <f t="shared" si="13"/>
        <v>0</v>
      </c>
    </row>
    <row r="293" spans="1:8" x14ac:dyDescent="0.3">
      <c r="A293" s="89" t="s">
        <v>1039</v>
      </c>
      <c r="B293" s="89" t="s">
        <v>47</v>
      </c>
      <c r="C293" s="89" t="s">
        <v>831</v>
      </c>
      <c r="D293" s="89" t="s">
        <v>862</v>
      </c>
      <c r="E293" s="90">
        <v>206</v>
      </c>
      <c r="F293" s="90">
        <v>227</v>
      </c>
      <c r="G293" s="90">
        <f t="shared" si="12"/>
        <v>-21</v>
      </c>
      <c r="H293" s="91">
        <f t="shared" si="13"/>
        <v>110.19417475728156</v>
      </c>
    </row>
    <row r="294" spans="1:8" x14ac:dyDescent="0.3">
      <c r="A294" s="89" t="s">
        <v>1039</v>
      </c>
      <c r="B294" s="89" t="s">
        <v>49</v>
      </c>
      <c r="C294" s="89" t="s">
        <v>843</v>
      </c>
      <c r="D294" s="89"/>
      <c r="E294" s="90"/>
      <c r="F294" s="90"/>
      <c r="G294" s="90">
        <f t="shared" si="12"/>
        <v>0</v>
      </c>
      <c r="H294" s="91">
        <f t="shared" si="13"/>
        <v>0</v>
      </c>
    </row>
    <row r="295" spans="1:8" x14ac:dyDescent="0.3">
      <c r="A295" s="89" t="s">
        <v>1039</v>
      </c>
      <c r="B295" s="89" t="s">
        <v>1032</v>
      </c>
      <c r="C295" s="89" t="s">
        <v>843</v>
      </c>
      <c r="D295" s="89"/>
      <c r="E295" s="90"/>
      <c r="F295" s="90"/>
      <c r="G295" s="90">
        <f t="shared" si="12"/>
        <v>0</v>
      </c>
      <c r="H295" s="91">
        <f t="shared" si="13"/>
        <v>0</v>
      </c>
    </row>
    <row r="296" spans="1:8" x14ac:dyDescent="0.3">
      <c r="A296" s="89" t="s">
        <v>1039</v>
      </c>
      <c r="B296" s="89" t="s">
        <v>51</v>
      </c>
      <c r="C296" s="89" t="s">
        <v>853</v>
      </c>
      <c r="D296" s="89" t="s">
        <v>862</v>
      </c>
      <c r="E296" s="90">
        <v>26</v>
      </c>
      <c r="F296" s="90">
        <v>26</v>
      </c>
      <c r="G296" s="90">
        <f t="shared" si="12"/>
        <v>0</v>
      </c>
      <c r="H296" s="91">
        <f t="shared" si="13"/>
        <v>100</v>
      </c>
    </row>
    <row r="297" spans="1:8" x14ac:dyDescent="0.3">
      <c r="A297" s="89" t="s">
        <v>1039</v>
      </c>
      <c r="B297" s="89" t="s">
        <v>55</v>
      </c>
      <c r="C297" s="89" t="s">
        <v>831</v>
      </c>
      <c r="D297" s="89" t="s">
        <v>862</v>
      </c>
      <c r="E297" s="90">
        <v>1</v>
      </c>
      <c r="F297" s="90">
        <v>1</v>
      </c>
      <c r="G297" s="90">
        <f t="shared" si="12"/>
        <v>0</v>
      </c>
      <c r="H297" s="91">
        <f t="shared" si="13"/>
        <v>100</v>
      </c>
    </row>
    <row r="298" spans="1:8" x14ac:dyDescent="0.3">
      <c r="A298" s="89" t="s">
        <v>1039</v>
      </c>
      <c r="B298" s="89" t="s">
        <v>56</v>
      </c>
      <c r="C298" s="89" t="s">
        <v>843</v>
      </c>
      <c r="D298" s="89"/>
      <c r="E298" s="90"/>
      <c r="F298" s="90"/>
      <c r="G298" s="90">
        <f t="shared" si="12"/>
        <v>0</v>
      </c>
      <c r="H298" s="91">
        <f t="shared" si="13"/>
        <v>0</v>
      </c>
    </row>
    <row r="299" spans="1:8" x14ac:dyDescent="0.3">
      <c r="A299" s="89" t="s">
        <v>1039</v>
      </c>
      <c r="B299" s="89" t="s">
        <v>57</v>
      </c>
      <c r="C299" s="89" t="s">
        <v>853</v>
      </c>
      <c r="D299" s="89" t="s">
        <v>762</v>
      </c>
      <c r="E299" s="90">
        <f>14+15</f>
        <v>29</v>
      </c>
      <c r="F299" s="90">
        <f>13+15</f>
        <v>28</v>
      </c>
      <c r="G299" s="90">
        <f t="shared" si="12"/>
        <v>1</v>
      </c>
      <c r="H299" s="91">
        <f t="shared" si="13"/>
        <v>96.551724137931032</v>
      </c>
    </row>
    <row r="300" spans="1:8" x14ac:dyDescent="0.3">
      <c r="A300" s="89" t="s">
        <v>1039</v>
      </c>
      <c r="B300" s="89" t="s">
        <v>75</v>
      </c>
      <c r="C300" s="89" t="s">
        <v>831</v>
      </c>
      <c r="D300" s="89" t="s">
        <v>862</v>
      </c>
      <c r="E300" s="90">
        <v>74</v>
      </c>
      <c r="F300" s="92">
        <v>74</v>
      </c>
      <c r="G300" s="90">
        <f t="shared" si="12"/>
        <v>0</v>
      </c>
      <c r="H300" s="91">
        <f t="shared" si="13"/>
        <v>100</v>
      </c>
    </row>
    <row r="301" spans="1:8" x14ac:dyDescent="0.3">
      <c r="A301" s="89" t="s">
        <v>1039</v>
      </c>
      <c r="B301" s="89" t="s">
        <v>76</v>
      </c>
      <c r="C301" s="89" t="s">
        <v>831</v>
      </c>
      <c r="D301" s="89" t="s">
        <v>1033</v>
      </c>
      <c r="E301" s="90">
        <f>15+15+15</f>
        <v>45</v>
      </c>
      <c r="F301" s="90">
        <v>45</v>
      </c>
      <c r="G301" s="90">
        <f t="shared" si="12"/>
        <v>0</v>
      </c>
      <c r="H301" s="91">
        <f t="shared" si="13"/>
        <v>100</v>
      </c>
    </row>
    <row r="302" spans="1:8" x14ac:dyDescent="0.3">
      <c r="A302" s="89" t="s">
        <v>1039</v>
      </c>
      <c r="B302" s="89" t="s">
        <v>77</v>
      </c>
      <c r="C302" s="89" t="s">
        <v>843</v>
      </c>
      <c r="D302" s="89"/>
      <c r="E302" s="90"/>
      <c r="F302" s="90"/>
      <c r="G302" s="90">
        <f t="shared" si="12"/>
        <v>0</v>
      </c>
      <c r="H302" s="91">
        <f t="shared" si="13"/>
        <v>0</v>
      </c>
    </row>
    <row r="303" spans="1:8" x14ac:dyDescent="0.3">
      <c r="A303" s="93" t="s">
        <v>1039</v>
      </c>
      <c r="B303" s="93" t="s">
        <v>78</v>
      </c>
      <c r="C303" s="93" t="s">
        <v>853</v>
      </c>
      <c r="D303" s="93" t="s">
        <v>862</v>
      </c>
      <c r="E303" s="92">
        <v>2</v>
      </c>
      <c r="F303" s="92">
        <v>2</v>
      </c>
      <c r="G303" s="92">
        <f t="shared" si="12"/>
        <v>0</v>
      </c>
      <c r="H303" s="94">
        <f t="shared" si="13"/>
        <v>100</v>
      </c>
    </row>
    <row r="304" spans="1:8" x14ac:dyDescent="0.3">
      <c r="A304" s="89" t="s">
        <v>1039</v>
      </c>
      <c r="B304" s="89" t="s">
        <v>87</v>
      </c>
      <c r="C304" s="89" t="s">
        <v>831</v>
      </c>
      <c r="D304" s="89" t="s">
        <v>1033</v>
      </c>
      <c r="E304" s="90">
        <v>2</v>
      </c>
      <c r="F304" s="90">
        <v>2</v>
      </c>
      <c r="G304" s="90">
        <f t="shared" si="12"/>
        <v>0</v>
      </c>
      <c r="H304" s="91">
        <f t="shared" si="13"/>
        <v>100</v>
      </c>
    </row>
    <row r="305" spans="1:8" x14ac:dyDescent="0.3">
      <c r="A305" s="89" t="s">
        <v>1039</v>
      </c>
      <c r="B305" s="89" t="s">
        <v>88</v>
      </c>
      <c r="C305" s="89" t="s">
        <v>843</v>
      </c>
      <c r="D305" s="89"/>
      <c r="E305" s="90"/>
      <c r="F305" s="90"/>
      <c r="G305" s="90">
        <f t="shared" si="12"/>
        <v>0</v>
      </c>
      <c r="H305" s="91">
        <f t="shared" si="13"/>
        <v>0</v>
      </c>
    </row>
    <row r="306" spans="1:8" x14ac:dyDescent="0.3">
      <c r="A306" s="89" t="s">
        <v>1039</v>
      </c>
      <c r="B306" s="89" t="s">
        <v>89</v>
      </c>
      <c r="C306" s="89" t="s">
        <v>853</v>
      </c>
      <c r="D306" s="89" t="s">
        <v>762</v>
      </c>
      <c r="E306" s="90">
        <v>1</v>
      </c>
      <c r="F306" s="90">
        <v>1</v>
      </c>
      <c r="G306" s="90">
        <f t="shared" si="12"/>
        <v>0</v>
      </c>
      <c r="H306" s="91">
        <f t="shared" si="13"/>
        <v>100</v>
      </c>
    </row>
    <row r="307" spans="1:8" x14ac:dyDescent="0.3">
      <c r="A307" s="89" t="s">
        <v>1039</v>
      </c>
      <c r="B307" s="89" t="s">
        <v>96</v>
      </c>
      <c r="C307" s="89" t="s">
        <v>95</v>
      </c>
      <c r="D307" s="89" t="s">
        <v>862</v>
      </c>
      <c r="E307" s="90">
        <v>1</v>
      </c>
      <c r="F307" s="90">
        <v>1</v>
      </c>
      <c r="G307" s="90">
        <f t="shared" si="12"/>
        <v>0</v>
      </c>
      <c r="H307" s="91">
        <f t="shared" si="13"/>
        <v>100</v>
      </c>
    </row>
    <row r="308" spans="1:8" x14ac:dyDescent="0.3">
      <c r="A308" s="89" t="s">
        <v>1039</v>
      </c>
      <c r="B308" s="89" t="s">
        <v>107</v>
      </c>
      <c r="C308" s="89" t="s">
        <v>831</v>
      </c>
      <c r="D308" s="89" t="s">
        <v>1033</v>
      </c>
      <c r="E308" s="90">
        <f>65+60+113+116+62+63</f>
        <v>479</v>
      </c>
      <c r="F308" s="90">
        <f>64+58+111+63+59+116</f>
        <v>471</v>
      </c>
      <c r="G308" s="90">
        <f t="shared" si="12"/>
        <v>8</v>
      </c>
      <c r="H308" s="91">
        <f t="shared" si="13"/>
        <v>98.329853862212943</v>
      </c>
    </row>
    <row r="309" spans="1:8" x14ac:dyDescent="0.3">
      <c r="A309" s="89" t="s">
        <v>1039</v>
      </c>
      <c r="B309" s="89" t="s">
        <v>108</v>
      </c>
      <c r="C309" s="89" t="s">
        <v>843</v>
      </c>
      <c r="D309" s="89"/>
      <c r="E309" s="90"/>
      <c r="F309" s="90"/>
      <c r="G309" s="90">
        <f t="shared" si="12"/>
        <v>0</v>
      </c>
      <c r="H309" s="91">
        <f t="shared" si="13"/>
        <v>0</v>
      </c>
    </row>
    <row r="310" spans="1:8" x14ac:dyDescent="0.3">
      <c r="A310" s="89" t="s">
        <v>1039</v>
      </c>
      <c r="B310" s="89" t="s">
        <v>109</v>
      </c>
      <c r="C310" s="89" t="s">
        <v>853</v>
      </c>
      <c r="D310" s="89" t="s">
        <v>744</v>
      </c>
      <c r="E310" s="90">
        <f>15+12</f>
        <v>27</v>
      </c>
      <c r="F310" s="90">
        <v>0</v>
      </c>
      <c r="G310" s="90">
        <f t="shared" si="12"/>
        <v>27</v>
      </c>
      <c r="H310" s="91">
        <f t="shared" si="13"/>
        <v>0</v>
      </c>
    </row>
    <row r="311" spans="1:8" x14ac:dyDescent="0.3">
      <c r="A311" s="89" t="s">
        <v>1039</v>
      </c>
      <c r="B311" s="89" t="s">
        <v>113</v>
      </c>
      <c r="C311" s="89" t="s">
        <v>831</v>
      </c>
      <c r="D311" s="89" t="s">
        <v>862</v>
      </c>
      <c r="E311" s="90">
        <v>240</v>
      </c>
      <c r="F311" s="90">
        <v>238</v>
      </c>
      <c r="G311" s="90">
        <f t="shared" si="12"/>
        <v>2</v>
      </c>
      <c r="H311" s="91">
        <f t="shared" si="13"/>
        <v>99.166666666666671</v>
      </c>
    </row>
    <row r="312" spans="1:8" x14ac:dyDescent="0.3">
      <c r="A312" s="89" t="s">
        <v>1039</v>
      </c>
      <c r="B312" s="89" t="s">
        <v>114</v>
      </c>
      <c r="C312" s="89" t="s">
        <v>843</v>
      </c>
      <c r="D312" s="89"/>
      <c r="E312" s="90"/>
      <c r="F312" s="90"/>
      <c r="G312" s="90">
        <f t="shared" si="12"/>
        <v>0</v>
      </c>
      <c r="H312" s="91">
        <f t="shared" si="13"/>
        <v>0</v>
      </c>
    </row>
    <row r="313" spans="1:8" x14ac:dyDescent="0.3">
      <c r="A313" s="93" t="s">
        <v>1039</v>
      </c>
      <c r="B313" s="93" t="s">
        <v>115</v>
      </c>
      <c r="C313" s="93" t="s">
        <v>853</v>
      </c>
      <c r="D313" s="93" t="s">
        <v>862</v>
      </c>
      <c r="E313" s="92">
        <v>2</v>
      </c>
      <c r="F313" s="92">
        <v>2</v>
      </c>
      <c r="G313" s="92">
        <f t="shared" si="12"/>
        <v>0</v>
      </c>
      <c r="H313" s="94">
        <f t="shared" si="13"/>
        <v>100</v>
      </c>
    </row>
    <row r="314" spans="1:8" x14ac:dyDescent="0.3">
      <c r="A314" s="89" t="s">
        <v>1039</v>
      </c>
      <c r="B314" s="89" t="s">
        <v>120</v>
      </c>
      <c r="C314" s="89" t="s">
        <v>831</v>
      </c>
      <c r="D314" s="89" t="s">
        <v>744</v>
      </c>
      <c r="E314" s="90">
        <v>16</v>
      </c>
      <c r="F314" s="90">
        <v>16</v>
      </c>
      <c r="G314" s="90">
        <f t="shared" si="12"/>
        <v>0</v>
      </c>
      <c r="H314" s="91">
        <f t="shared" si="13"/>
        <v>100</v>
      </c>
    </row>
    <row r="315" spans="1:8" x14ac:dyDescent="0.3">
      <c r="A315" s="89" t="s">
        <v>1039</v>
      </c>
      <c r="B315" s="89" t="s">
        <v>126</v>
      </c>
      <c r="C315" s="89" t="s">
        <v>831</v>
      </c>
      <c r="D315" s="89" t="s">
        <v>862</v>
      </c>
      <c r="E315" s="90">
        <v>6</v>
      </c>
      <c r="F315" s="90">
        <v>6</v>
      </c>
      <c r="G315" s="90">
        <f t="shared" si="12"/>
        <v>0</v>
      </c>
      <c r="H315" s="91">
        <f t="shared" si="13"/>
        <v>100</v>
      </c>
    </row>
    <row r="316" spans="1:8" x14ac:dyDescent="0.3">
      <c r="A316" s="89" t="s">
        <v>1039</v>
      </c>
      <c r="B316" s="89" t="s">
        <v>127</v>
      </c>
      <c r="C316" s="89" t="s">
        <v>843</v>
      </c>
      <c r="D316" s="89"/>
      <c r="E316" s="90"/>
      <c r="F316" s="90"/>
      <c r="G316" s="90">
        <f t="shared" si="12"/>
        <v>0</v>
      </c>
      <c r="H316" s="91">
        <f t="shared" si="13"/>
        <v>0</v>
      </c>
    </row>
    <row r="317" spans="1:8" x14ac:dyDescent="0.3">
      <c r="A317" s="89" t="s">
        <v>1039</v>
      </c>
      <c r="B317" s="89" t="s">
        <v>128</v>
      </c>
      <c r="C317" s="89" t="s">
        <v>853</v>
      </c>
      <c r="D317" s="89" t="s">
        <v>862</v>
      </c>
      <c r="E317" s="90">
        <v>2</v>
      </c>
      <c r="F317" s="90">
        <v>2</v>
      </c>
      <c r="G317" s="90">
        <f t="shared" si="12"/>
        <v>0</v>
      </c>
      <c r="H317" s="91">
        <f t="shared" si="13"/>
        <v>100</v>
      </c>
    </row>
    <row r="318" spans="1:8" x14ac:dyDescent="0.3">
      <c r="A318" s="89" t="s">
        <v>1039</v>
      </c>
      <c r="B318" s="89" t="s">
        <v>129</v>
      </c>
      <c r="C318" s="89" t="s">
        <v>831</v>
      </c>
      <c r="D318" s="89" t="s">
        <v>862</v>
      </c>
      <c r="E318" s="90">
        <v>16</v>
      </c>
      <c r="F318" s="90">
        <v>15</v>
      </c>
      <c r="G318" s="90">
        <f t="shared" si="12"/>
        <v>1</v>
      </c>
      <c r="H318" s="91">
        <f t="shared" si="13"/>
        <v>93.75</v>
      </c>
    </row>
    <row r="319" spans="1:8" x14ac:dyDescent="0.3">
      <c r="A319" s="89" t="s">
        <v>1039</v>
      </c>
      <c r="B319" s="89" t="s">
        <v>130</v>
      </c>
      <c r="C319" s="89" t="s">
        <v>843</v>
      </c>
      <c r="D319" s="89"/>
      <c r="E319" s="90"/>
      <c r="F319" s="90"/>
      <c r="G319" s="90">
        <f t="shared" si="12"/>
        <v>0</v>
      </c>
      <c r="H319" s="91">
        <f t="shared" si="13"/>
        <v>0</v>
      </c>
    </row>
    <row r="320" spans="1:8" x14ac:dyDescent="0.3">
      <c r="A320" s="89" t="s">
        <v>1039</v>
      </c>
      <c r="B320" s="89" t="s">
        <v>131</v>
      </c>
      <c r="C320" s="89" t="s">
        <v>853</v>
      </c>
      <c r="D320" s="89" t="s">
        <v>862</v>
      </c>
      <c r="E320" s="90">
        <v>2</v>
      </c>
      <c r="F320" s="90">
        <v>2</v>
      </c>
      <c r="G320" s="90">
        <f t="shared" si="12"/>
        <v>0</v>
      </c>
      <c r="H320" s="91">
        <f t="shared" si="13"/>
        <v>100</v>
      </c>
    </row>
    <row r="321" spans="1:8" x14ac:dyDescent="0.3">
      <c r="A321" s="89" t="s">
        <v>1039</v>
      </c>
      <c r="B321" s="89" t="s">
        <v>141</v>
      </c>
      <c r="C321" s="89" t="s">
        <v>95</v>
      </c>
      <c r="D321" s="89"/>
      <c r="E321" s="90"/>
      <c r="F321" s="90"/>
      <c r="G321" s="90">
        <f t="shared" ref="G321:G384" si="14">+E321-F321</f>
        <v>0</v>
      </c>
      <c r="H321" s="91">
        <f t="shared" ref="H321:H384" si="15">IFERROR(IF(7&lt;&gt;0, F321*100/E321, IF(E321=F321, F321*100/E321, 0)), 0)</f>
        <v>0</v>
      </c>
    </row>
    <row r="322" spans="1:8" x14ac:dyDescent="0.3">
      <c r="A322" s="89" t="s">
        <v>1039</v>
      </c>
      <c r="B322" s="89" t="s">
        <v>155</v>
      </c>
      <c r="C322" s="89" t="s">
        <v>831</v>
      </c>
      <c r="D322" s="89"/>
      <c r="E322" s="90"/>
      <c r="F322" s="90"/>
      <c r="G322" s="90">
        <f t="shared" si="14"/>
        <v>0</v>
      </c>
      <c r="H322" s="91">
        <f t="shared" si="15"/>
        <v>0</v>
      </c>
    </row>
    <row r="323" spans="1:8" x14ac:dyDescent="0.3">
      <c r="A323" s="89" t="s">
        <v>1039</v>
      </c>
      <c r="B323" s="89" t="s">
        <v>156</v>
      </c>
      <c r="C323" s="89" t="s">
        <v>843</v>
      </c>
      <c r="D323" s="89"/>
      <c r="E323" s="90"/>
      <c r="F323" s="90"/>
      <c r="G323" s="90">
        <f t="shared" si="14"/>
        <v>0</v>
      </c>
      <c r="H323" s="91">
        <f t="shared" si="15"/>
        <v>0</v>
      </c>
    </row>
    <row r="324" spans="1:8" x14ac:dyDescent="0.3">
      <c r="A324" s="89" t="s">
        <v>1039</v>
      </c>
      <c r="B324" s="89" t="s">
        <v>157</v>
      </c>
      <c r="C324" s="89" t="s">
        <v>853</v>
      </c>
      <c r="D324" s="89"/>
      <c r="E324" s="90"/>
      <c r="F324" s="90"/>
      <c r="G324" s="90">
        <f t="shared" si="14"/>
        <v>0</v>
      </c>
      <c r="H324" s="91">
        <f t="shared" si="15"/>
        <v>0</v>
      </c>
    </row>
    <row r="325" spans="1:8" x14ac:dyDescent="0.3">
      <c r="A325" s="89" t="s">
        <v>1039</v>
      </c>
      <c r="B325" s="89" t="s">
        <v>164</v>
      </c>
      <c r="C325" s="89" t="s">
        <v>95</v>
      </c>
      <c r="D325" s="89" t="s">
        <v>862</v>
      </c>
      <c r="E325" s="90">
        <v>1</v>
      </c>
      <c r="F325" s="90">
        <v>1</v>
      </c>
      <c r="G325" s="90">
        <f t="shared" si="14"/>
        <v>0</v>
      </c>
      <c r="H325" s="91">
        <f t="shared" si="15"/>
        <v>100</v>
      </c>
    </row>
    <row r="326" spans="1:8" x14ac:dyDescent="0.3">
      <c r="A326" s="89" t="s">
        <v>1039</v>
      </c>
      <c r="B326" s="89" t="s">
        <v>167</v>
      </c>
      <c r="C326" s="89" t="s">
        <v>863</v>
      </c>
      <c r="D326" s="89"/>
      <c r="E326" s="90"/>
      <c r="F326" s="90"/>
      <c r="G326" s="90">
        <f t="shared" si="14"/>
        <v>0</v>
      </c>
      <c r="H326" s="91">
        <f t="shared" si="15"/>
        <v>0</v>
      </c>
    </row>
    <row r="327" spans="1:8" x14ac:dyDescent="0.3">
      <c r="A327" s="89" t="s">
        <v>1039</v>
      </c>
      <c r="B327" s="89" t="s">
        <v>169</v>
      </c>
      <c r="C327" s="89" t="s">
        <v>863</v>
      </c>
      <c r="D327" s="89" t="s">
        <v>862</v>
      </c>
      <c r="E327" s="90"/>
      <c r="F327" s="90"/>
      <c r="G327" s="90">
        <f t="shared" si="14"/>
        <v>0</v>
      </c>
      <c r="H327" s="91">
        <f t="shared" si="15"/>
        <v>0</v>
      </c>
    </row>
    <row r="328" spans="1:8" x14ac:dyDescent="0.3">
      <c r="A328" s="89" t="s">
        <v>1039</v>
      </c>
      <c r="B328" s="89" t="s">
        <v>171</v>
      </c>
      <c r="C328" s="89" t="s">
        <v>863</v>
      </c>
      <c r="D328" s="89" t="s">
        <v>862</v>
      </c>
      <c r="E328" s="90"/>
      <c r="F328" s="90"/>
      <c r="G328" s="90">
        <f t="shared" si="14"/>
        <v>0</v>
      </c>
      <c r="H328" s="91">
        <f t="shared" si="15"/>
        <v>0</v>
      </c>
    </row>
    <row r="329" spans="1:8" x14ac:dyDescent="0.3">
      <c r="A329" s="89" t="s">
        <v>1039</v>
      </c>
      <c r="B329" s="89" t="s">
        <v>172</v>
      </c>
      <c r="C329" s="89" t="s">
        <v>863</v>
      </c>
      <c r="D329" s="89" t="s">
        <v>862</v>
      </c>
      <c r="E329" s="90"/>
      <c r="F329" s="90"/>
      <c r="G329" s="90">
        <f t="shared" si="14"/>
        <v>0</v>
      </c>
      <c r="H329" s="91">
        <f t="shared" si="15"/>
        <v>0</v>
      </c>
    </row>
    <row r="330" spans="1:8" x14ac:dyDescent="0.3">
      <c r="A330" s="89" t="s">
        <v>1039</v>
      </c>
      <c r="B330" s="89" t="s">
        <v>174</v>
      </c>
      <c r="C330" s="89" t="s">
        <v>95</v>
      </c>
      <c r="D330" s="89" t="s">
        <v>862</v>
      </c>
      <c r="E330" s="90">
        <v>1</v>
      </c>
      <c r="F330" s="90">
        <v>1</v>
      </c>
      <c r="G330" s="90">
        <f t="shared" si="14"/>
        <v>0</v>
      </c>
      <c r="H330" s="91">
        <f t="shared" si="15"/>
        <v>100</v>
      </c>
    </row>
    <row r="331" spans="1:8" x14ac:dyDescent="0.3">
      <c r="A331" s="89" t="s">
        <v>1039</v>
      </c>
      <c r="B331" s="89" t="s">
        <v>1012</v>
      </c>
      <c r="C331" s="89" t="s">
        <v>863</v>
      </c>
      <c r="D331" s="89" t="s">
        <v>862</v>
      </c>
      <c r="E331" s="90"/>
      <c r="F331" s="90"/>
      <c r="G331" s="90">
        <f t="shared" si="14"/>
        <v>0</v>
      </c>
      <c r="H331" s="91">
        <f t="shared" si="15"/>
        <v>0</v>
      </c>
    </row>
    <row r="332" spans="1:8" x14ac:dyDescent="0.3">
      <c r="A332" s="89" t="s">
        <v>1039</v>
      </c>
      <c r="B332" s="89" t="s">
        <v>1013</v>
      </c>
      <c r="C332" s="89" t="s">
        <v>863</v>
      </c>
      <c r="D332" s="89" t="s">
        <v>862</v>
      </c>
      <c r="E332" s="90"/>
      <c r="F332" s="90"/>
      <c r="G332" s="90">
        <f t="shared" si="14"/>
        <v>0</v>
      </c>
      <c r="H332" s="91">
        <f t="shared" si="15"/>
        <v>0</v>
      </c>
    </row>
    <row r="333" spans="1:8" x14ac:dyDescent="0.3">
      <c r="A333" s="89" t="s">
        <v>1039</v>
      </c>
      <c r="B333" s="89" t="s">
        <v>1014</v>
      </c>
      <c r="C333" s="89" t="s">
        <v>863</v>
      </c>
      <c r="D333" s="89" t="s">
        <v>862</v>
      </c>
      <c r="E333" s="90"/>
      <c r="F333" s="90"/>
      <c r="G333" s="90">
        <f t="shared" si="14"/>
        <v>0</v>
      </c>
      <c r="H333" s="91">
        <f t="shared" si="15"/>
        <v>0</v>
      </c>
    </row>
    <row r="334" spans="1:8" x14ac:dyDescent="0.3">
      <c r="A334" s="89" t="s">
        <v>1039</v>
      </c>
      <c r="B334" s="89" t="s">
        <v>179</v>
      </c>
      <c r="C334" s="89" t="s">
        <v>863</v>
      </c>
      <c r="D334" s="89"/>
      <c r="E334" s="90"/>
      <c r="F334" s="90"/>
      <c r="G334" s="90">
        <f t="shared" si="14"/>
        <v>0</v>
      </c>
      <c r="H334" s="91">
        <f t="shared" si="15"/>
        <v>0</v>
      </c>
    </row>
    <row r="335" spans="1:8" x14ac:dyDescent="0.3">
      <c r="A335" s="89" t="s">
        <v>1039</v>
      </c>
      <c r="B335" s="89" t="s">
        <v>181</v>
      </c>
      <c r="C335" s="89" t="s">
        <v>863</v>
      </c>
      <c r="D335" s="89"/>
      <c r="E335" s="90"/>
      <c r="F335" s="90"/>
      <c r="G335" s="90">
        <f t="shared" si="14"/>
        <v>0</v>
      </c>
      <c r="H335" s="91">
        <f t="shared" si="15"/>
        <v>0</v>
      </c>
    </row>
    <row r="336" spans="1:8" x14ac:dyDescent="0.3">
      <c r="A336" s="89" t="s">
        <v>1039</v>
      </c>
      <c r="B336" s="89" t="s">
        <v>189</v>
      </c>
      <c r="C336" s="89" t="s">
        <v>831</v>
      </c>
      <c r="D336" s="89" t="s">
        <v>862</v>
      </c>
      <c r="E336" s="90">
        <v>15</v>
      </c>
      <c r="F336" s="90">
        <v>15</v>
      </c>
      <c r="G336" s="90">
        <f t="shared" si="14"/>
        <v>0</v>
      </c>
      <c r="H336" s="91">
        <f t="shared" si="15"/>
        <v>100</v>
      </c>
    </row>
    <row r="337" spans="1:8" x14ac:dyDescent="0.3">
      <c r="A337" s="89" t="s">
        <v>1039</v>
      </c>
      <c r="B337" s="89" t="s">
        <v>190</v>
      </c>
      <c r="C337" s="89" t="s">
        <v>843</v>
      </c>
      <c r="D337" s="89"/>
      <c r="E337" s="90"/>
      <c r="F337" s="90"/>
      <c r="G337" s="90">
        <f t="shared" si="14"/>
        <v>0</v>
      </c>
      <c r="H337" s="91">
        <f t="shared" si="15"/>
        <v>0</v>
      </c>
    </row>
    <row r="338" spans="1:8" x14ac:dyDescent="0.3">
      <c r="A338" s="89" t="s">
        <v>1039</v>
      </c>
      <c r="B338" s="89" t="s">
        <v>191</v>
      </c>
      <c r="C338" s="89" t="s">
        <v>853</v>
      </c>
      <c r="D338" s="89" t="s">
        <v>862</v>
      </c>
      <c r="E338" s="90">
        <v>2</v>
      </c>
      <c r="F338" s="90">
        <v>2</v>
      </c>
      <c r="G338" s="90">
        <f t="shared" si="14"/>
        <v>0</v>
      </c>
      <c r="H338" s="91">
        <f t="shared" si="15"/>
        <v>100</v>
      </c>
    </row>
    <row r="339" spans="1:8" x14ac:dyDescent="0.3">
      <c r="A339" s="89" t="s">
        <v>1039</v>
      </c>
      <c r="B339" s="89" t="s">
        <v>193</v>
      </c>
      <c r="C339" s="89" t="s">
        <v>95</v>
      </c>
      <c r="D339" s="89"/>
      <c r="E339" s="90"/>
      <c r="F339" s="90"/>
      <c r="G339" s="90">
        <f t="shared" si="14"/>
        <v>0</v>
      </c>
      <c r="H339" s="91">
        <f t="shared" si="15"/>
        <v>0</v>
      </c>
    </row>
    <row r="340" spans="1:8" x14ac:dyDescent="0.3">
      <c r="A340" s="89" t="s">
        <v>1039</v>
      </c>
      <c r="B340" s="89" t="s">
        <v>203</v>
      </c>
      <c r="C340" s="89" t="s">
        <v>95</v>
      </c>
      <c r="D340" s="89"/>
      <c r="E340" s="90"/>
      <c r="F340" s="90"/>
      <c r="G340" s="90">
        <f t="shared" si="14"/>
        <v>0</v>
      </c>
      <c r="H340" s="91">
        <f t="shared" si="15"/>
        <v>0</v>
      </c>
    </row>
    <row r="341" spans="1:8" x14ac:dyDescent="0.3">
      <c r="A341" s="89" t="s">
        <v>1040</v>
      </c>
      <c r="B341" s="89" t="s">
        <v>47</v>
      </c>
      <c r="C341" s="89" t="s">
        <v>831</v>
      </c>
      <c r="D341" s="89" t="s">
        <v>862</v>
      </c>
      <c r="E341" s="90">
        <v>116</v>
      </c>
      <c r="F341" s="90">
        <v>105</v>
      </c>
      <c r="G341" s="90">
        <f t="shared" si="14"/>
        <v>11</v>
      </c>
      <c r="H341" s="91">
        <f t="shared" si="15"/>
        <v>90.517241379310349</v>
      </c>
    </row>
    <row r="342" spans="1:8" x14ac:dyDescent="0.3">
      <c r="A342" s="89" t="s">
        <v>1040</v>
      </c>
      <c r="B342" s="89" t="s">
        <v>49</v>
      </c>
      <c r="C342" s="89" t="s">
        <v>843</v>
      </c>
      <c r="D342" s="89" t="s">
        <v>862</v>
      </c>
      <c r="E342" s="90">
        <v>15</v>
      </c>
      <c r="F342" s="90">
        <v>14</v>
      </c>
      <c r="G342" s="90">
        <f t="shared" si="14"/>
        <v>1</v>
      </c>
      <c r="H342" s="91">
        <f t="shared" si="15"/>
        <v>93.333333333333329</v>
      </c>
    </row>
    <row r="343" spans="1:8" x14ac:dyDescent="0.3">
      <c r="A343" s="89" t="s">
        <v>1040</v>
      </c>
      <c r="B343" s="89" t="s">
        <v>1032</v>
      </c>
      <c r="C343" s="89" t="s">
        <v>843</v>
      </c>
      <c r="D343" s="89" t="s">
        <v>862</v>
      </c>
      <c r="E343" s="95">
        <v>31</v>
      </c>
      <c r="F343" s="95">
        <v>31</v>
      </c>
      <c r="G343" s="90">
        <f t="shared" si="14"/>
        <v>0</v>
      </c>
      <c r="H343" s="91">
        <f t="shared" si="15"/>
        <v>100</v>
      </c>
    </row>
    <row r="344" spans="1:8" x14ac:dyDescent="0.3">
      <c r="A344" s="89" t="s">
        <v>1040</v>
      </c>
      <c r="B344" s="89" t="s">
        <v>51</v>
      </c>
      <c r="C344" s="89" t="s">
        <v>853</v>
      </c>
      <c r="D344" s="89" t="s">
        <v>862</v>
      </c>
      <c r="E344" s="90">
        <v>67</v>
      </c>
      <c r="F344" s="90">
        <v>66</v>
      </c>
      <c r="G344" s="90">
        <f t="shared" si="14"/>
        <v>1</v>
      </c>
      <c r="H344" s="91">
        <f t="shared" si="15"/>
        <v>98.507462686567166</v>
      </c>
    </row>
    <row r="345" spans="1:8" x14ac:dyDescent="0.3">
      <c r="A345" s="89" t="s">
        <v>1040</v>
      </c>
      <c r="B345" s="89" t="s">
        <v>55</v>
      </c>
      <c r="C345" s="89" t="s">
        <v>831</v>
      </c>
      <c r="D345" s="89" t="s">
        <v>862</v>
      </c>
      <c r="E345" s="90">
        <v>1</v>
      </c>
      <c r="F345" s="90">
        <v>1</v>
      </c>
      <c r="G345" s="90">
        <f t="shared" si="14"/>
        <v>0</v>
      </c>
      <c r="H345" s="91">
        <f t="shared" si="15"/>
        <v>100</v>
      </c>
    </row>
    <row r="346" spans="1:8" x14ac:dyDescent="0.3">
      <c r="A346" s="89" t="s">
        <v>1040</v>
      </c>
      <c r="B346" s="89" t="s">
        <v>56</v>
      </c>
      <c r="C346" s="89" t="s">
        <v>843</v>
      </c>
      <c r="D346" s="89"/>
      <c r="E346" s="90"/>
      <c r="F346" s="90"/>
      <c r="G346" s="90">
        <f t="shared" si="14"/>
        <v>0</v>
      </c>
      <c r="H346" s="91">
        <f t="shared" si="15"/>
        <v>0</v>
      </c>
    </row>
    <row r="347" spans="1:8" x14ac:dyDescent="0.3">
      <c r="A347" s="89" t="s">
        <v>1040</v>
      </c>
      <c r="B347" s="89" t="s">
        <v>57</v>
      </c>
      <c r="C347" s="89" t="s">
        <v>853</v>
      </c>
      <c r="D347" s="89" t="s">
        <v>762</v>
      </c>
      <c r="E347" s="90">
        <v>69</v>
      </c>
      <c r="F347" s="90">
        <v>58</v>
      </c>
      <c r="G347" s="90">
        <f t="shared" si="14"/>
        <v>11</v>
      </c>
      <c r="H347" s="91">
        <f t="shared" si="15"/>
        <v>84.05797101449275</v>
      </c>
    </row>
    <row r="348" spans="1:8" x14ac:dyDescent="0.3">
      <c r="A348" s="89" t="s">
        <v>1040</v>
      </c>
      <c r="B348" s="89" t="s">
        <v>75</v>
      </c>
      <c r="C348" s="89" t="s">
        <v>831</v>
      </c>
      <c r="D348" s="89" t="s">
        <v>862</v>
      </c>
      <c r="E348" s="90">
        <v>31</v>
      </c>
      <c r="F348" s="92">
        <v>31</v>
      </c>
      <c r="G348" s="90">
        <f t="shared" si="14"/>
        <v>0</v>
      </c>
      <c r="H348" s="91">
        <f t="shared" si="15"/>
        <v>100</v>
      </c>
    </row>
    <row r="349" spans="1:8" x14ac:dyDescent="0.3">
      <c r="A349" s="89" t="s">
        <v>1040</v>
      </c>
      <c r="B349" s="89" t="s">
        <v>76</v>
      </c>
      <c r="C349" s="89" t="s">
        <v>831</v>
      </c>
      <c r="D349" s="89" t="s">
        <v>1033</v>
      </c>
      <c r="E349" s="90">
        <v>15</v>
      </c>
      <c r="F349" s="90">
        <v>15</v>
      </c>
      <c r="G349" s="90">
        <f t="shared" si="14"/>
        <v>0</v>
      </c>
      <c r="H349" s="91">
        <f t="shared" si="15"/>
        <v>100</v>
      </c>
    </row>
    <row r="350" spans="1:8" x14ac:dyDescent="0.3">
      <c r="A350" s="89" t="s">
        <v>1040</v>
      </c>
      <c r="B350" s="89" t="s">
        <v>77</v>
      </c>
      <c r="C350" s="89" t="s">
        <v>843</v>
      </c>
      <c r="D350" s="89" t="s">
        <v>862</v>
      </c>
      <c r="E350" s="90">
        <v>15</v>
      </c>
      <c r="F350" s="90">
        <v>12</v>
      </c>
      <c r="G350" s="90">
        <f t="shared" si="14"/>
        <v>3</v>
      </c>
      <c r="H350" s="91">
        <f t="shared" si="15"/>
        <v>80</v>
      </c>
    </row>
    <row r="351" spans="1:8" x14ac:dyDescent="0.3">
      <c r="A351" s="93" t="s">
        <v>1040</v>
      </c>
      <c r="B351" s="93" t="s">
        <v>78</v>
      </c>
      <c r="C351" s="93" t="s">
        <v>853</v>
      </c>
      <c r="D351" s="93" t="s">
        <v>862</v>
      </c>
      <c r="E351" s="92">
        <v>1</v>
      </c>
      <c r="F351" s="92">
        <v>1</v>
      </c>
      <c r="G351" s="92">
        <f t="shared" si="14"/>
        <v>0</v>
      </c>
      <c r="H351" s="94">
        <f t="shared" si="15"/>
        <v>100</v>
      </c>
    </row>
    <row r="352" spans="1:8" x14ac:dyDescent="0.3">
      <c r="A352" s="89" t="s">
        <v>1040</v>
      </c>
      <c r="B352" s="89" t="s">
        <v>87</v>
      </c>
      <c r="C352" s="89" t="s">
        <v>831</v>
      </c>
      <c r="D352" s="89" t="s">
        <v>1033</v>
      </c>
      <c r="E352" s="90">
        <v>2</v>
      </c>
      <c r="F352" s="90">
        <v>2</v>
      </c>
      <c r="G352" s="90">
        <f t="shared" si="14"/>
        <v>0</v>
      </c>
      <c r="H352" s="91">
        <f t="shared" si="15"/>
        <v>100</v>
      </c>
    </row>
    <row r="353" spans="1:8" x14ac:dyDescent="0.3">
      <c r="A353" s="89" t="s">
        <v>1040</v>
      </c>
      <c r="B353" s="89" t="s">
        <v>88</v>
      </c>
      <c r="C353" s="89" t="s">
        <v>843</v>
      </c>
      <c r="D353" s="89" t="s">
        <v>862</v>
      </c>
      <c r="E353" s="90">
        <v>1</v>
      </c>
      <c r="F353" s="90">
        <v>1</v>
      </c>
      <c r="G353" s="90">
        <f t="shared" si="14"/>
        <v>0</v>
      </c>
      <c r="H353" s="91">
        <f t="shared" si="15"/>
        <v>100</v>
      </c>
    </row>
    <row r="354" spans="1:8" x14ac:dyDescent="0.3">
      <c r="A354" s="89" t="s">
        <v>1040</v>
      </c>
      <c r="B354" s="89" t="s">
        <v>89</v>
      </c>
      <c r="C354" s="89" t="s">
        <v>853</v>
      </c>
      <c r="D354" s="89" t="s">
        <v>762</v>
      </c>
      <c r="E354" s="90">
        <v>1</v>
      </c>
      <c r="F354" s="90">
        <v>1</v>
      </c>
      <c r="G354" s="90">
        <f t="shared" si="14"/>
        <v>0</v>
      </c>
      <c r="H354" s="91">
        <f t="shared" si="15"/>
        <v>100</v>
      </c>
    </row>
    <row r="355" spans="1:8" x14ac:dyDescent="0.3">
      <c r="A355" s="89" t="s">
        <v>1040</v>
      </c>
      <c r="B355" s="89" t="s">
        <v>96</v>
      </c>
      <c r="C355" s="89" t="s">
        <v>95</v>
      </c>
      <c r="D355" s="89" t="s">
        <v>862</v>
      </c>
      <c r="E355" s="90">
        <v>1</v>
      </c>
      <c r="F355" s="90">
        <v>1</v>
      </c>
      <c r="G355" s="90">
        <f t="shared" si="14"/>
        <v>0</v>
      </c>
      <c r="H355" s="91">
        <f t="shared" si="15"/>
        <v>100</v>
      </c>
    </row>
    <row r="356" spans="1:8" x14ac:dyDescent="0.3">
      <c r="A356" s="89" t="s">
        <v>1040</v>
      </c>
      <c r="B356" s="89" t="s">
        <v>107</v>
      </c>
      <c r="C356" s="89" t="s">
        <v>831</v>
      </c>
      <c r="D356" s="89" t="s">
        <v>1033</v>
      </c>
      <c r="E356" s="90">
        <f>133+138</f>
        <v>271</v>
      </c>
      <c r="F356" s="90">
        <f>131+122</f>
        <v>253</v>
      </c>
      <c r="G356" s="90">
        <f t="shared" si="14"/>
        <v>18</v>
      </c>
      <c r="H356" s="91">
        <f t="shared" si="15"/>
        <v>93.357933579335793</v>
      </c>
    </row>
    <row r="357" spans="1:8" x14ac:dyDescent="0.3">
      <c r="A357" s="89" t="s">
        <v>1040</v>
      </c>
      <c r="B357" s="89" t="s">
        <v>108</v>
      </c>
      <c r="C357" s="89" t="s">
        <v>843</v>
      </c>
      <c r="D357" s="89" t="s">
        <v>862</v>
      </c>
      <c r="E357" s="90">
        <f>552</f>
        <v>552</v>
      </c>
      <c r="F357" s="90">
        <f>544</f>
        <v>544</v>
      </c>
      <c r="G357" s="90">
        <f t="shared" si="14"/>
        <v>8</v>
      </c>
      <c r="H357" s="91">
        <f t="shared" si="15"/>
        <v>98.550724637681157</v>
      </c>
    </row>
    <row r="358" spans="1:8" x14ac:dyDescent="0.3">
      <c r="A358" s="89" t="s">
        <v>1040</v>
      </c>
      <c r="B358" s="89" t="s">
        <v>109</v>
      </c>
      <c r="C358" s="89" t="s">
        <v>853</v>
      </c>
      <c r="D358" s="89" t="s">
        <v>744</v>
      </c>
      <c r="E358" s="90">
        <v>64</v>
      </c>
      <c r="F358" s="90"/>
      <c r="G358" s="90">
        <f t="shared" si="14"/>
        <v>64</v>
      </c>
      <c r="H358" s="91">
        <f t="shared" si="15"/>
        <v>0</v>
      </c>
    </row>
    <row r="359" spans="1:8" x14ac:dyDescent="0.3">
      <c r="A359" s="89" t="s">
        <v>1040</v>
      </c>
      <c r="B359" s="89" t="s">
        <v>113</v>
      </c>
      <c r="C359" s="89" t="s">
        <v>831</v>
      </c>
      <c r="D359" s="89" t="s">
        <v>862</v>
      </c>
      <c r="E359" s="90">
        <v>128</v>
      </c>
      <c r="F359" s="90">
        <v>132</v>
      </c>
      <c r="G359" s="90">
        <f t="shared" si="14"/>
        <v>-4</v>
      </c>
      <c r="H359" s="91">
        <f t="shared" si="15"/>
        <v>103.125</v>
      </c>
    </row>
    <row r="360" spans="1:8" x14ac:dyDescent="0.3">
      <c r="A360" s="89" t="s">
        <v>1040</v>
      </c>
      <c r="B360" s="89" t="s">
        <v>114</v>
      </c>
      <c r="C360" s="89" t="s">
        <v>843</v>
      </c>
      <c r="D360" s="89" t="s">
        <v>862</v>
      </c>
      <c r="E360" s="90">
        <v>645</v>
      </c>
      <c r="F360" s="90">
        <v>581</v>
      </c>
      <c r="G360" s="90">
        <f t="shared" si="14"/>
        <v>64</v>
      </c>
      <c r="H360" s="91">
        <f t="shared" si="15"/>
        <v>90.077519379844958</v>
      </c>
    </row>
    <row r="361" spans="1:8" x14ac:dyDescent="0.3">
      <c r="A361" s="93" t="s">
        <v>1040</v>
      </c>
      <c r="B361" s="93" t="s">
        <v>115</v>
      </c>
      <c r="C361" s="93" t="s">
        <v>853</v>
      </c>
      <c r="D361" s="93" t="s">
        <v>862</v>
      </c>
      <c r="E361" s="92">
        <v>1</v>
      </c>
      <c r="F361" s="92">
        <v>1</v>
      </c>
      <c r="G361" s="92">
        <f t="shared" si="14"/>
        <v>0</v>
      </c>
      <c r="H361" s="94">
        <f t="shared" si="15"/>
        <v>100</v>
      </c>
    </row>
    <row r="362" spans="1:8" x14ac:dyDescent="0.3">
      <c r="A362" s="89" t="s">
        <v>1040</v>
      </c>
      <c r="B362" s="89" t="s">
        <v>120</v>
      </c>
      <c r="C362" s="89" t="s">
        <v>831</v>
      </c>
      <c r="D362" s="89" t="s">
        <v>744</v>
      </c>
      <c r="E362" s="90">
        <v>14</v>
      </c>
      <c r="F362" s="90">
        <v>14</v>
      </c>
      <c r="G362" s="90">
        <f t="shared" si="14"/>
        <v>0</v>
      </c>
      <c r="H362" s="91">
        <f t="shared" si="15"/>
        <v>100</v>
      </c>
    </row>
    <row r="363" spans="1:8" x14ac:dyDescent="0.3">
      <c r="A363" s="89" t="s">
        <v>1040</v>
      </c>
      <c r="B363" s="89" t="s">
        <v>126</v>
      </c>
      <c r="C363" s="89" t="s">
        <v>831</v>
      </c>
      <c r="D363" s="89" t="s">
        <v>862</v>
      </c>
      <c r="E363" s="90">
        <v>3</v>
      </c>
      <c r="F363" s="90">
        <v>3</v>
      </c>
      <c r="G363" s="90">
        <f t="shared" si="14"/>
        <v>0</v>
      </c>
      <c r="H363" s="91">
        <f t="shared" si="15"/>
        <v>100</v>
      </c>
    </row>
    <row r="364" spans="1:8" x14ac:dyDescent="0.3">
      <c r="A364" s="89" t="s">
        <v>1040</v>
      </c>
      <c r="B364" s="89" t="s">
        <v>127</v>
      </c>
      <c r="C364" s="89" t="s">
        <v>843</v>
      </c>
      <c r="D364" s="89" t="s">
        <v>862</v>
      </c>
      <c r="E364" s="90">
        <v>1</v>
      </c>
      <c r="F364" s="90">
        <v>1</v>
      </c>
      <c r="G364" s="90">
        <f t="shared" si="14"/>
        <v>0</v>
      </c>
      <c r="H364" s="91">
        <f t="shared" si="15"/>
        <v>100</v>
      </c>
    </row>
    <row r="365" spans="1:8" x14ac:dyDescent="0.3">
      <c r="A365" s="89" t="s">
        <v>1040</v>
      </c>
      <c r="B365" s="89" t="s">
        <v>128</v>
      </c>
      <c r="C365" s="89" t="s">
        <v>853</v>
      </c>
      <c r="D365" s="89" t="s">
        <v>862</v>
      </c>
      <c r="E365" s="90">
        <v>1</v>
      </c>
      <c r="F365" s="90">
        <v>1</v>
      </c>
      <c r="G365" s="90">
        <f t="shared" si="14"/>
        <v>0</v>
      </c>
      <c r="H365" s="91">
        <f t="shared" si="15"/>
        <v>100</v>
      </c>
    </row>
    <row r="366" spans="1:8" x14ac:dyDescent="0.3">
      <c r="A366" s="89" t="s">
        <v>1040</v>
      </c>
      <c r="B366" s="89" t="s">
        <v>129</v>
      </c>
      <c r="C366" s="89" t="s">
        <v>831</v>
      </c>
      <c r="D366" s="89" t="s">
        <v>862</v>
      </c>
      <c r="E366" s="90">
        <v>1</v>
      </c>
      <c r="F366" s="90">
        <v>1</v>
      </c>
      <c r="G366" s="90">
        <f t="shared" si="14"/>
        <v>0</v>
      </c>
      <c r="H366" s="91">
        <f t="shared" si="15"/>
        <v>100</v>
      </c>
    </row>
    <row r="367" spans="1:8" x14ac:dyDescent="0.3">
      <c r="A367" s="89" t="s">
        <v>1040</v>
      </c>
      <c r="B367" s="89" t="s">
        <v>130</v>
      </c>
      <c r="C367" s="89" t="s">
        <v>843</v>
      </c>
      <c r="D367" s="89" t="s">
        <v>862</v>
      </c>
      <c r="E367" s="90">
        <v>1</v>
      </c>
      <c r="F367" s="90">
        <v>1</v>
      </c>
      <c r="G367" s="90">
        <f t="shared" si="14"/>
        <v>0</v>
      </c>
      <c r="H367" s="91">
        <f t="shared" si="15"/>
        <v>100</v>
      </c>
    </row>
    <row r="368" spans="1:8" x14ac:dyDescent="0.3">
      <c r="A368" s="89" t="s">
        <v>1040</v>
      </c>
      <c r="B368" s="89" t="s">
        <v>131</v>
      </c>
      <c r="C368" s="89" t="s">
        <v>853</v>
      </c>
      <c r="D368" s="89" t="s">
        <v>862</v>
      </c>
      <c r="E368" s="90">
        <v>1</v>
      </c>
      <c r="F368" s="90">
        <v>1</v>
      </c>
      <c r="G368" s="90">
        <f t="shared" si="14"/>
        <v>0</v>
      </c>
      <c r="H368" s="91">
        <f t="shared" si="15"/>
        <v>100</v>
      </c>
    </row>
    <row r="369" spans="1:8" x14ac:dyDescent="0.3">
      <c r="A369" s="89" t="s">
        <v>1040</v>
      </c>
      <c r="B369" s="89" t="s">
        <v>141</v>
      </c>
      <c r="C369" s="89" t="s">
        <v>95</v>
      </c>
      <c r="D369" s="89"/>
      <c r="E369" s="90"/>
      <c r="F369" s="90"/>
      <c r="G369" s="90">
        <f t="shared" si="14"/>
        <v>0</v>
      </c>
      <c r="H369" s="91">
        <f t="shared" si="15"/>
        <v>0</v>
      </c>
    </row>
    <row r="370" spans="1:8" x14ac:dyDescent="0.3">
      <c r="A370" s="89" t="s">
        <v>1040</v>
      </c>
      <c r="B370" s="89" t="s">
        <v>155</v>
      </c>
      <c r="C370" s="89" t="s">
        <v>831</v>
      </c>
      <c r="D370" s="89"/>
      <c r="E370" s="90"/>
      <c r="F370" s="90"/>
      <c r="G370" s="90">
        <f t="shared" si="14"/>
        <v>0</v>
      </c>
      <c r="H370" s="91">
        <f t="shared" si="15"/>
        <v>0</v>
      </c>
    </row>
    <row r="371" spans="1:8" x14ac:dyDescent="0.3">
      <c r="A371" s="89" t="s">
        <v>1040</v>
      </c>
      <c r="B371" s="89" t="s">
        <v>156</v>
      </c>
      <c r="C371" s="89" t="s">
        <v>843</v>
      </c>
      <c r="D371" s="89"/>
      <c r="E371" s="90"/>
      <c r="F371" s="90"/>
      <c r="G371" s="90">
        <f t="shared" si="14"/>
        <v>0</v>
      </c>
      <c r="H371" s="91">
        <f t="shared" si="15"/>
        <v>0</v>
      </c>
    </row>
    <row r="372" spans="1:8" x14ac:dyDescent="0.3">
      <c r="A372" s="89" t="s">
        <v>1040</v>
      </c>
      <c r="B372" s="89" t="s">
        <v>157</v>
      </c>
      <c r="C372" s="89" t="s">
        <v>853</v>
      </c>
      <c r="D372" s="89"/>
      <c r="E372" s="90"/>
      <c r="F372" s="90"/>
      <c r="G372" s="90">
        <f t="shared" si="14"/>
        <v>0</v>
      </c>
      <c r="H372" s="91">
        <f t="shared" si="15"/>
        <v>0</v>
      </c>
    </row>
    <row r="373" spans="1:8" x14ac:dyDescent="0.3">
      <c r="A373" s="89" t="s">
        <v>1040</v>
      </c>
      <c r="B373" s="89" t="s">
        <v>164</v>
      </c>
      <c r="C373" s="89" t="s">
        <v>95</v>
      </c>
      <c r="D373" s="89" t="s">
        <v>862</v>
      </c>
      <c r="E373" s="90">
        <v>1</v>
      </c>
      <c r="F373" s="90">
        <v>1</v>
      </c>
      <c r="G373" s="90">
        <f t="shared" si="14"/>
        <v>0</v>
      </c>
      <c r="H373" s="91">
        <f t="shared" si="15"/>
        <v>100</v>
      </c>
    </row>
    <row r="374" spans="1:8" x14ac:dyDescent="0.3">
      <c r="A374" s="89" t="s">
        <v>1040</v>
      </c>
      <c r="B374" s="89" t="s">
        <v>167</v>
      </c>
      <c r="C374" s="89" t="s">
        <v>863</v>
      </c>
      <c r="D374" s="89"/>
      <c r="E374" s="90"/>
      <c r="F374" s="90"/>
      <c r="G374" s="90">
        <f t="shared" si="14"/>
        <v>0</v>
      </c>
      <c r="H374" s="91">
        <f t="shared" si="15"/>
        <v>0</v>
      </c>
    </row>
    <row r="375" spans="1:8" x14ac:dyDescent="0.3">
      <c r="A375" s="89" t="s">
        <v>1040</v>
      </c>
      <c r="B375" s="89" t="s">
        <v>169</v>
      </c>
      <c r="C375" s="89" t="s">
        <v>863</v>
      </c>
      <c r="D375" s="89" t="s">
        <v>862</v>
      </c>
      <c r="E375" s="90"/>
      <c r="F375" s="90"/>
      <c r="G375" s="90">
        <f t="shared" si="14"/>
        <v>0</v>
      </c>
      <c r="H375" s="91">
        <f t="shared" si="15"/>
        <v>0</v>
      </c>
    </row>
    <row r="376" spans="1:8" x14ac:dyDescent="0.3">
      <c r="A376" s="89" t="s">
        <v>1040</v>
      </c>
      <c r="B376" s="89" t="s">
        <v>171</v>
      </c>
      <c r="C376" s="89" t="s">
        <v>863</v>
      </c>
      <c r="D376" s="89" t="s">
        <v>862</v>
      </c>
      <c r="E376" s="90"/>
      <c r="F376" s="90"/>
      <c r="G376" s="90">
        <f t="shared" si="14"/>
        <v>0</v>
      </c>
      <c r="H376" s="91">
        <f t="shared" si="15"/>
        <v>0</v>
      </c>
    </row>
    <row r="377" spans="1:8" x14ac:dyDescent="0.3">
      <c r="A377" s="89" t="s">
        <v>1040</v>
      </c>
      <c r="B377" s="89" t="s">
        <v>172</v>
      </c>
      <c r="C377" s="89" t="s">
        <v>863</v>
      </c>
      <c r="D377" s="89" t="s">
        <v>862</v>
      </c>
      <c r="E377" s="90"/>
      <c r="F377" s="90"/>
      <c r="G377" s="90">
        <f t="shared" si="14"/>
        <v>0</v>
      </c>
      <c r="H377" s="91">
        <f t="shared" si="15"/>
        <v>0</v>
      </c>
    </row>
    <row r="378" spans="1:8" x14ac:dyDescent="0.3">
      <c r="A378" s="89" t="s">
        <v>1040</v>
      </c>
      <c r="B378" s="89" t="s">
        <v>174</v>
      </c>
      <c r="C378" s="89" t="s">
        <v>95</v>
      </c>
      <c r="D378" s="89" t="s">
        <v>862</v>
      </c>
      <c r="E378" s="90">
        <v>1</v>
      </c>
      <c r="F378" s="90">
        <v>1</v>
      </c>
      <c r="G378" s="90">
        <f t="shared" si="14"/>
        <v>0</v>
      </c>
      <c r="H378" s="91">
        <f t="shared" si="15"/>
        <v>100</v>
      </c>
    </row>
    <row r="379" spans="1:8" x14ac:dyDescent="0.3">
      <c r="A379" s="89" t="s">
        <v>1040</v>
      </c>
      <c r="B379" s="89" t="s">
        <v>1012</v>
      </c>
      <c r="C379" s="89" t="s">
        <v>863</v>
      </c>
      <c r="D379" s="89" t="s">
        <v>862</v>
      </c>
      <c r="E379" s="90"/>
      <c r="F379" s="90"/>
      <c r="G379" s="90">
        <f t="shared" si="14"/>
        <v>0</v>
      </c>
      <c r="H379" s="91">
        <f t="shared" si="15"/>
        <v>0</v>
      </c>
    </row>
    <row r="380" spans="1:8" x14ac:dyDescent="0.3">
      <c r="A380" s="89" t="s">
        <v>1040</v>
      </c>
      <c r="B380" s="89" t="s">
        <v>1013</v>
      </c>
      <c r="C380" s="89" t="s">
        <v>863</v>
      </c>
      <c r="D380" s="89" t="s">
        <v>862</v>
      </c>
      <c r="E380" s="90"/>
      <c r="F380" s="90"/>
      <c r="G380" s="90">
        <f t="shared" si="14"/>
        <v>0</v>
      </c>
      <c r="H380" s="91">
        <f t="shared" si="15"/>
        <v>0</v>
      </c>
    </row>
    <row r="381" spans="1:8" x14ac:dyDescent="0.3">
      <c r="A381" s="89" t="s">
        <v>1040</v>
      </c>
      <c r="B381" s="89" t="s">
        <v>1014</v>
      </c>
      <c r="C381" s="89" t="s">
        <v>863</v>
      </c>
      <c r="D381" s="89" t="s">
        <v>862</v>
      </c>
      <c r="E381" s="90"/>
      <c r="F381" s="90"/>
      <c r="G381" s="90">
        <f t="shared" si="14"/>
        <v>0</v>
      </c>
      <c r="H381" s="91">
        <f t="shared" si="15"/>
        <v>0</v>
      </c>
    </row>
    <row r="382" spans="1:8" x14ac:dyDescent="0.3">
      <c r="A382" s="89" t="s">
        <v>1040</v>
      </c>
      <c r="B382" s="89" t="s">
        <v>179</v>
      </c>
      <c r="C382" s="89" t="s">
        <v>863</v>
      </c>
      <c r="D382" s="89"/>
      <c r="E382" s="90"/>
      <c r="F382" s="90"/>
      <c r="G382" s="90">
        <f t="shared" si="14"/>
        <v>0</v>
      </c>
      <c r="H382" s="91">
        <f t="shared" si="15"/>
        <v>0</v>
      </c>
    </row>
    <row r="383" spans="1:8" x14ac:dyDescent="0.3">
      <c r="A383" s="89" t="s">
        <v>1040</v>
      </c>
      <c r="B383" s="89" t="s">
        <v>181</v>
      </c>
      <c r="C383" s="89" t="s">
        <v>863</v>
      </c>
      <c r="D383" s="89"/>
      <c r="E383" s="90"/>
      <c r="F383" s="90"/>
      <c r="G383" s="90">
        <f t="shared" si="14"/>
        <v>0</v>
      </c>
      <c r="H383" s="91">
        <f t="shared" si="15"/>
        <v>0</v>
      </c>
    </row>
    <row r="384" spans="1:8" x14ac:dyDescent="0.3">
      <c r="A384" s="89" t="s">
        <v>1040</v>
      </c>
      <c r="B384" s="89" t="s">
        <v>189</v>
      </c>
      <c r="C384" s="89" t="s">
        <v>831</v>
      </c>
      <c r="D384" s="89" t="s">
        <v>862</v>
      </c>
      <c r="E384" s="90">
        <f>3+3+3</f>
        <v>9</v>
      </c>
      <c r="F384" s="90">
        <f>3+3</f>
        <v>6</v>
      </c>
      <c r="G384" s="90">
        <f t="shared" si="14"/>
        <v>3</v>
      </c>
      <c r="H384" s="91">
        <f t="shared" si="15"/>
        <v>66.666666666666671</v>
      </c>
    </row>
    <row r="385" spans="1:8" x14ac:dyDescent="0.3">
      <c r="A385" s="89" t="s">
        <v>1040</v>
      </c>
      <c r="B385" s="89" t="s">
        <v>190</v>
      </c>
      <c r="C385" s="89" t="s">
        <v>843</v>
      </c>
      <c r="D385" s="89" t="s">
        <v>862</v>
      </c>
      <c r="E385" s="90">
        <f>31+15</f>
        <v>46</v>
      </c>
      <c r="F385" s="90">
        <v>46</v>
      </c>
      <c r="G385" s="90">
        <f t="shared" ref="G385:G448" si="16">+E385-F385</f>
        <v>0</v>
      </c>
      <c r="H385" s="91">
        <f t="shared" ref="H385:H448" si="17">IFERROR(IF(7&lt;&gt;0, F385*100/E385, IF(E385=F385, F385*100/E385, 0)), 0)</f>
        <v>100</v>
      </c>
    </row>
    <row r="386" spans="1:8" x14ac:dyDescent="0.3">
      <c r="A386" s="89" t="s">
        <v>1040</v>
      </c>
      <c r="B386" s="89" t="s">
        <v>191</v>
      </c>
      <c r="C386" s="89" t="s">
        <v>853</v>
      </c>
      <c r="D386" s="89" t="s">
        <v>862</v>
      </c>
      <c r="E386" s="90">
        <v>1</v>
      </c>
      <c r="F386" s="90">
        <v>1</v>
      </c>
      <c r="G386" s="90">
        <f t="shared" si="16"/>
        <v>0</v>
      </c>
      <c r="H386" s="91">
        <f t="shared" si="17"/>
        <v>100</v>
      </c>
    </row>
    <row r="387" spans="1:8" x14ac:dyDescent="0.3">
      <c r="A387" s="89" t="s">
        <v>1040</v>
      </c>
      <c r="B387" s="89" t="s">
        <v>193</v>
      </c>
      <c r="C387" s="89" t="s">
        <v>95</v>
      </c>
      <c r="D387" s="89"/>
      <c r="E387" s="90"/>
      <c r="F387" s="90"/>
      <c r="G387" s="90">
        <f t="shared" si="16"/>
        <v>0</v>
      </c>
      <c r="H387" s="91">
        <f t="shared" si="17"/>
        <v>0</v>
      </c>
    </row>
    <row r="388" spans="1:8" x14ac:dyDescent="0.3">
      <c r="A388" s="89" t="s">
        <v>1040</v>
      </c>
      <c r="B388" s="89" t="s">
        <v>203</v>
      </c>
      <c r="C388" s="89" t="s">
        <v>95</v>
      </c>
      <c r="D388" s="89"/>
      <c r="E388" s="90"/>
      <c r="F388" s="90"/>
      <c r="G388" s="90">
        <f t="shared" si="16"/>
        <v>0</v>
      </c>
      <c r="H388" s="91">
        <f t="shared" si="17"/>
        <v>0</v>
      </c>
    </row>
    <row r="389" spans="1:8" x14ac:dyDescent="0.3">
      <c r="A389" s="89" t="s">
        <v>1041</v>
      </c>
      <c r="B389" s="89" t="s">
        <v>47</v>
      </c>
      <c r="C389" s="89" t="s">
        <v>831</v>
      </c>
      <c r="D389" s="89"/>
      <c r="E389" s="90"/>
      <c r="F389" s="90"/>
      <c r="G389" s="90">
        <f t="shared" si="16"/>
        <v>0</v>
      </c>
      <c r="H389" s="91">
        <f t="shared" si="17"/>
        <v>0</v>
      </c>
    </row>
    <row r="390" spans="1:8" x14ac:dyDescent="0.3">
      <c r="A390" s="89" t="s">
        <v>1041</v>
      </c>
      <c r="B390" s="89" t="s">
        <v>49</v>
      </c>
      <c r="C390" s="89" t="s">
        <v>843</v>
      </c>
      <c r="D390" s="89" t="s">
        <v>862</v>
      </c>
      <c r="E390" s="90">
        <v>28</v>
      </c>
      <c r="F390" s="90">
        <v>26</v>
      </c>
      <c r="G390" s="90">
        <f t="shared" si="16"/>
        <v>2</v>
      </c>
      <c r="H390" s="91">
        <f t="shared" si="17"/>
        <v>92.857142857142861</v>
      </c>
    </row>
    <row r="391" spans="1:8" x14ac:dyDescent="0.3">
      <c r="A391" s="89" t="s">
        <v>1041</v>
      </c>
      <c r="B391" s="89" t="s">
        <v>1032</v>
      </c>
      <c r="C391" s="89" t="s">
        <v>843</v>
      </c>
      <c r="D391" s="89" t="s">
        <v>862</v>
      </c>
      <c r="E391" s="95">
        <v>72</v>
      </c>
      <c r="F391" s="95">
        <v>72</v>
      </c>
      <c r="G391" s="90">
        <f t="shared" si="16"/>
        <v>0</v>
      </c>
      <c r="H391" s="91">
        <f t="shared" si="17"/>
        <v>100</v>
      </c>
    </row>
    <row r="392" spans="1:8" x14ac:dyDescent="0.3">
      <c r="A392" s="89" t="s">
        <v>1041</v>
      </c>
      <c r="B392" s="89" t="s">
        <v>51</v>
      </c>
      <c r="C392" s="89" t="s">
        <v>853</v>
      </c>
      <c r="D392" s="89" t="s">
        <v>862</v>
      </c>
      <c r="E392" s="90">
        <v>42</v>
      </c>
      <c r="F392" s="90">
        <v>36</v>
      </c>
      <c r="G392" s="90">
        <f t="shared" si="16"/>
        <v>6</v>
      </c>
      <c r="H392" s="91">
        <f t="shared" si="17"/>
        <v>85.714285714285708</v>
      </c>
    </row>
    <row r="393" spans="1:8" x14ac:dyDescent="0.3">
      <c r="A393" s="89" t="s">
        <v>1041</v>
      </c>
      <c r="B393" s="89" t="s">
        <v>55</v>
      </c>
      <c r="C393" s="89" t="s">
        <v>831</v>
      </c>
      <c r="D393" s="89"/>
      <c r="E393" s="90"/>
      <c r="F393" s="90"/>
      <c r="G393" s="90">
        <f t="shared" si="16"/>
        <v>0</v>
      </c>
      <c r="H393" s="91">
        <f t="shared" si="17"/>
        <v>0</v>
      </c>
    </row>
    <row r="394" spans="1:8" x14ac:dyDescent="0.3">
      <c r="A394" s="89" t="s">
        <v>1041</v>
      </c>
      <c r="B394" s="89" t="s">
        <v>56</v>
      </c>
      <c r="C394" s="89" t="s">
        <v>843</v>
      </c>
      <c r="D394" s="89"/>
      <c r="E394" s="90"/>
      <c r="F394" s="90"/>
      <c r="G394" s="90">
        <f t="shared" si="16"/>
        <v>0</v>
      </c>
      <c r="H394" s="91">
        <f t="shared" si="17"/>
        <v>0</v>
      </c>
    </row>
    <row r="395" spans="1:8" x14ac:dyDescent="0.3">
      <c r="A395" s="89" t="s">
        <v>1041</v>
      </c>
      <c r="B395" s="89" t="s">
        <v>57</v>
      </c>
      <c r="C395" s="89" t="s">
        <v>853</v>
      </c>
      <c r="D395" s="89" t="s">
        <v>762</v>
      </c>
      <c r="E395" s="90">
        <f>17+21</f>
        <v>38</v>
      </c>
      <c r="F395" s="90">
        <f>16+14</f>
        <v>30</v>
      </c>
      <c r="G395" s="90">
        <f t="shared" si="16"/>
        <v>8</v>
      </c>
      <c r="H395" s="91">
        <f t="shared" si="17"/>
        <v>78.94736842105263</v>
      </c>
    </row>
    <row r="396" spans="1:8" x14ac:dyDescent="0.3">
      <c r="A396" s="89" t="s">
        <v>1041</v>
      </c>
      <c r="B396" s="89" t="s">
        <v>75</v>
      </c>
      <c r="C396" s="89" t="s">
        <v>831</v>
      </c>
      <c r="D396" s="89"/>
      <c r="E396" s="90"/>
      <c r="F396" s="90"/>
      <c r="G396" s="90">
        <f t="shared" si="16"/>
        <v>0</v>
      </c>
      <c r="H396" s="91">
        <f t="shared" si="17"/>
        <v>0</v>
      </c>
    </row>
    <row r="397" spans="1:8" x14ac:dyDescent="0.3">
      <c r="A397" s="89" t="s">
        <v>1041</v>
      </c>
      <c r="B397" s="89" t="s">
        <v>76</v>
      </c>
      <c r="C397" s="89" t="s">
        <v>831</v>
      </c>
      <c r="D397" s="89"/>
      <c r="E397" s="90"/>
      <c r="F397" s="90"/>
      <c r="G397" s="90">
        <f t="shared" si="16"/>
        <v>0</v>
      </c>
      <c r="H397" s="91">
        <f t="shared" si="17"/>
        <v>0</v>
      </c>
    </row>
    <row r="398" spans="1:8" x14ac:dyDescent="0.3">
      <c r="A398" s="89" t="s">
        <v>1041</v>
      </c>
      <c r="B398" s="89" t="s">
        <v>77</v>
      </c>
      <c r="C398" s="89" t="s">
        <v>843</v>
      </c>
      <c r="D398" s="89" t="s">
        <v>862</v>
      </c>
      <c r="E398" s="90">
        <v>28</v>
      </c>
      <c r="F398" s="90">
        <v>12</v>
      </c>
      <c r="G398" s="90">
        <f t="shared" si="16"/>
        <v>16</v>
      </c>
      <c r="H398" s="91">
        <f t="shared" si="17"/>
        <v>42.857142857142854</v>
      </c>
    </row>
    <row r="399" spans="1:8" x14ac:dyDescent="0.3">
      <c r="A399" s="93" t="s">
        <v>1041</v>
      </c>
      <c r="B399" s="93" t="s">
        <v>78</v>
      </c>
      <c r="C399" s="93" t="s">
        <v>853</v>
      </c>
      <c r="D399" s="93" t="s">
        <v>862</v>
      </c>
      <c r="E399" s="92">
        <v>2</v>
      </c>
      <c r="F399" s="92">
        <v>2</v>
      </c>
      <c r="G399" s="92">
        <f t="shared" si="16"/>
        <v>0</v>
      </c>
      <c r="H399" s="94">
        <f t="shared" si="17"/>
        <v>100</v>
      </c>
    </row>
    <row r="400" spans="1:8" x14ac:dyDescent="0.3">
      <c r="A400" s="89" t="s">
        <v>1041</v>
      </c>
      <c r="B400" s="89" t="s">
        <v>87</v>
      </c>
      <c r="C400" s="89" t="s">
        <v>831</v>
      </c>
      <c r="D400" s="89"/>
      <c r="E400" s="90"/>
      <c r="F400" s="90"/>
      <c r="G400" s="90">
        <f t="shared" si="16"/>
        <v>0</v>
      </c>
      <c r="H400" s="91">
        <f t="shared" si="17"/>
        <v>0</v>
      </c>
    </row>
    <row r="401" spans="1:8" x14ac:dyDescent="0.3">
      <c r="A401" s="89" t="s">
        <v>1041</v>
      </c>
      <c r="B401" s="89" t="s">
        <v>88</v>
      </c>
      <c r="C401" s="89" t="s">
        <v>843</v>
      </c>
      <c r="D401" s="89" t="s">
        <v>862</v>
      </c>
      <c r="E401" s="90">
        <v>1</v>
      </c>
      <c r="F401" s="90">
        <v>1</v>
      </c>
      <c r="G401" s="90">
        <f t="shared" si="16"/>
        <v>0</v>
      </c>
      <c r="H401" s="91">
        <f t="shared" si="17"/>
        <v>100</v>
      </c>
    </row>
    <row r="402" spans="1:8" x14ac:dyDescent="0.3">
      <c r="A402" s="89" t="s">
        <v>1041</v>
      </c>
      <c r="B402" s="89" t="s">
        <v>89</v>
      </c>
      <c r="C402" s="89" t="s">
        <v>853</v>
      </c>
      <c r="D402" s="89" t="s">
        <v>762</v>
      </c>
      <c r="E402" s="90">
        <v>1</v>
      </c>
      <c r="F402" s="90">
        <v>1</v>
      </c>
      <c r="G402" s="90">
        <f t="shared" si="16"/>
        <v>0</v>
      </c>
      <c r="H402" s="91">
        <f t="shared" si="17"/>
        <v>100</v>
      </c>
    </row>
    <row r="403" spans="1:8" x14ac:dyDescent="0.3">
      <c r="A403" s="89" t="s">
        <v>1041</v>
      </c>
      <c r="B403" s="89" t="s">
        <v>96</v>
      </c>
      <c r="C403" s="89" t="s">
        <v>95</v>
      </c>
      <c r="D403" s="89" t="s">
        <v>862</v>
      </c>
      <c r="E403" s="90">
        <v>1</v>
      </c>
      <c r="F403" s="90">
        <v>1</v>
      </c>
      <c r="G403" s="90">
        <f t="shared" si="16"/>
        <v>0</v>
      </c>
      <c r="H403" s="91">
        <f t="shared" si="17"/>
        <v>100</v>
      </c>
    </row>
    <row r="404" spans="1:8" x14ac:dyDescent="0.3">
      <c r="A404" s="89" t="s">
        <v>1041</v>
      </c>
      <c r="B404" s="89" t="s">
        <v>107</v>
      </c>
      <c r="C404" s="89" t="s">
        <v>831</v>
      </c>
      <c r="D404" s="89"/>
      <c r="E404" s="90"/>
      <c r="F404" s="90"/>
      <c r="G404" s="90">
        <f t="shared" si="16"/>
        <v>0</v>
      </c>
      <c r="H404" s="91">
        <f t="shared" si="17"/>
        <v>0</v>
      </c>
    </row>
    <row r="405" spans="1:8" x14ac:dyDescent="0.3">
      <c r="A405" s="89" t="s">
        <v>1041</v>
      </c>
      <c r="B405" s="89" t="s">
        <v>108</v>
      </c>
      <c r="C405" s="89" t="s">
        <v>843</v>
      </c>
      <c r="D405" s="89" t="s">
        <v>862</v>
      </c>
      <c r="E405" s="90">
        <f>2121</f>
        <v>2121</v>
      </c>
      <c r="F405" s="90">
        <f>2051</f>
        <v>2051</v>
      </c>
      <c r="G405" s="90">
        <f t="shared" si="16"/>
        <v>70</v>
      </c>
      <c r="H405" s="91">
        <f t="shared" si="17"/>
        <v>96.699669966996694</v>
      </c>
    </row>
    <row r="406" spans="1:8" x14ac:dyDescent="0.3">
      <c r="A406" s="89" t="s">
        <v>1041</v>
      </c>
      <c r="B406" s="89" t="s">
        <v>109</v>
      </c>
      <c r="C406" s="89" t="s">
        <v>853</v>
      </c>
      <c r="D406" s="89" t="s">
        <v>744</v>
      </c>
      <c r="E406" s="90">
        <f>17+20</f>
        <v>37</v>
      </c>
      <c r="F406" s="90">
        <v>0</v>
      </c>
      <c r="G406" s="90">
        <f t="shared" si="16"/>
        <v>37</v>
      </c>
      <c r="H406" s="91">
        <f t="shared" si="17"/>
        <v>0</v>
      </c>
    </row>
    <row r="407" spans="1:8" x14ac:dyDescent="0.3">
      <c r="A407" s="89" t="s">
        <v>1041</v>
      </c>
      <c r="B407" s="89" t="s">
        <v>113</v>
      </c>
      <c r="C407" s="89" t="s">
        <v>831</v>
      </c>
      <c r="D407" s="89"/>
      <c r="E407" s="90"/>
      <c r="F407" s="90"/>
      <c r="G407" s="90">
        <f t="shared" si="16"/>
        <v>0</v>
      </c>
      <c r="H407" s="91">
        <f t="shared" si="17"/>
        <v>0</v>
      </c>
    </row>
    <row r="408" spans="1:8" x14ac:dyDescent="0.3">
      <c r="A408" s="89" t="s">
        <v>1041</v>
      </c>
      <c r="B408" s="89" t="s">
        <v>114</v>
      </c>
      <c r="C408" s="89" t="s">
        <v>843</v>
      </c>
      <c r="D408" s="89" t="s">
        <v>862</v>
      </c>
      <c r="E408" s="90">
        <v>2215</v>
      </c>
      <c r="F408" s="90">
        <v>2124</v>
      </c>
      <c r="G408" s="90">
        <f t="shared" si="16"/>
        <v>91</v>
      </c>
      <c r="H408" s="91">
        <f t="shared" si="17"/>
        <v>95.891647855530479</v>
      </c>
    </row>
    <row r="409" spans="1:8" x14ac:dyDescent="0.3">
      <c r="A409" s="93" t="s">
        <v>1041</v>
      </c>
      <c r="B409" s="93" t="s">
        <v>115</v>
      </c>
      <c r="C409" s="93" t="s">
        <v>853</v>
      </c>
      <c r="D409" s="93" t="s">
        <v>862</v>
      </c>
      <c r="E409" s="92">
        <v>2</v>
      </c>
      <c r="F409" s="92">
        <v>2</v>
      </c>
      <c r="G409" s="92">
        <f t="shared" si="16"/>
        <v>0</v>
      </c>
      <c r="H409" s="94">
        <f t="shared" si="17"/>
        <v>100</v>
      </c>
    </row>
    <row r="410" spans="1:8" x14ac:dyDescent="0.3">
      <c r="A410" s="89" t="s">
        <v>1041</v>
      </c>
      <c r="B410" s="89" t="s">
        <v>120</v>
      </c>
      <c r="C410" s="89" t="s">
        <v>831</v>
      </c>
      <c r="D410" s="89"/>
      <c r="E410" s="90"/>
      <c r="F410" s="90"/>
      <c r="G410" s="90">
        <f t="shared" si="16"/>
        <v>0</v>
      </c>
      <c r="H410" s="91">
        <f t="shared" si="17"/>
        <v>0</v>
      </c>
    </row>
    <row r="411" spans="1:8" x14ac:dyDescent="0.3">
      <c r="A411" s="89" t="s">
        <v>1041</v>
      </c>
      <c r="B411" s="89" t="s">
        <v>126</v>
      </c>
      <c r="C411" s="89" t="s">
        <v>831</v>
      </c>
      <c r="D411" s="89"/>
      <c r="E411" s="90"/>
      <c r="F411" s="90"/>
      <c r="G411" s="90">
        <f t="shared" si="16"/>
        <v>0</v>
      </c>
      <c r="H411" s="91">
        <f t="shared" si="17"/>
        <v>0</v>
      </c>
    </row>
    <row r="412" spans="1:8" x14ac:dyDescent="0.3">
      <c r="A412" s="89" t="s">
        <v>1041</v>
      </c>
      <c r="B412" s="89" t="s">
        <v>127</v>
      </c>
      <c r="C412" s="89" t="s">
        <v>843</v>
      </c>
      <c r="D412" s="89" t="s">
        <v>862</v>
      </c>
      <c r="E412" s="90">
        <v>3</v>
      </c>
      <c r="F412" s="90">
        <v>3</v>
      </c>
      <c r="G412" s="90">
        <f t="shared" si="16"/>
        <v>0</v>
      </c>
      <c r="H412" s="91">
        <f t="shared" si="17"/>
        <v>100</v>
      </c>
    </row>
    <row r="413" spans="1:8" x14ac:dyDescent="0.3">
      <c r="A413" s="89" t="s">
        <v>1041</v>
      </c>
      <c r="B413" s="89" t="s">
        <v>128</v>
      </c>
      <c r="C413" s="89" t="s">
        <v>853</v>
      </c>
      <c r="D413" s="89" t="s">
        <v>862</v>
      </c>
      <c r="E413" s="90">
        <v>2</v>
      </c>
      <c r="F413" s="90">
        <v>2</v>
      </c>
      <c r="G413" s="90">
        <f t="shared" si="16"/>
        <v>0</v>
      </c>
      <c r="H413" s="91">
        <f t="shared" si="17"/>
        <v>100</v>
      </c>
    </row>
    <row r="414" spans="1:8" x14ac:dyDescent="0.3">
      <c r="A414" s="89" t="s">
        <v>1041</v>
      </c>
      <c r="B414" s="89" t="s">
        <v>129</v>
      </c>
      <c r="C414" s="89" t="s">
        <v>831</v>
      </c>
      <c r="D414" s="89"/>
      <c r="E414" s="90"/>
      <c r="F414" s="90"/>
      <c r="G414" s="90">
        <f t="shared" si="16"/>
        <v>0</v>
      </c>
      <c r="H414" s="91">
        <f t="shared" si="17"/>
        <v>0</v>
      </c>
    </row>
    <row r="415" spans="1:8" x14ac:dyDescent="0.3">
      <c r="A415" s="89" t="s">
        <v>1041</v>
      </c>
      <c r="B415" s="89" t="s">
        <v>130</v>
      </c>
      <c r="C415" s="89" t="s">
        <v>843</v>
      </c>
      <c r="D415" s="89" t="s">
        <v>862</v>
      </c>
      <c r="E415" s="90">
        <v>3</v>
      </c>
      <c r="F415" s="90">
        <v>3</v>
      </c>
      <c r="G415" s="90">
        <f t="shared" si="16"/>
        <v>0</v>
      </c>
      <c r="H415" s="91">
        <f t="shared" si="17"/>
        <v>100</v>
      </c>
    </row>
    <row r="416" spans="1:8" x14ac:dyDescent="0.3">
      <c r="A416" s="89" t="s">
        <v>1041</v>
      </c>
      <c r="B416" s="89" t="s">
        <v>131</v>
      </c>
      <c r="C416" s="89" t="s">
        <v>853</v>
      </c>
      <c r="D416" s="89" t="s">
        <v>862</v>
      </c>
      <c r="E416" s="90">
        <v>2</v>
      </c>
      <c r="F416" s="90">
        <v>2</v>
      </c>
      <c r="G416" s="90">
        <f t="shared" si="16"/>
        <v>0</v>
      </c>
      <c r="H416" s="91">
        <f t="shared" si="17"/>
        <v>100</v>
      </c>
    </row>
    <row r="417" spans="1:8" x14ac:dyDescent="0.3">
      <c r="A417" s="89" t="s">
        <v>1041</v>
      </c>
      <c r="B417" s="89" t="s">
        <v>141</v>
      </c>
      <c r="C417" s="89" t="s">
        <v>95</v>
      </c>
      <c r="D417" s="89"/>
      <c r="E417" s="90"/>
      <c r="F417" s="90"/>
      <c r="G417" s="90">
        <f t="shared" si="16"/>
        <v>0</v>
      </c>
      <c r="H417" s="91">
        <f t="shared" si="17"/>
        <v>0</v>
      </c>
    </row>
    <row r="418" spans="1:8" x14ac:dyDescent="0.3">
      <c r="A418" s="89" t="s">
        <v>1041</v>
      </c>
      <c r="B418" s="89" t="s">
        <v>155</v>
      </c>
      <c r="C418" s="89" t="s">
        <v>831</v>
      </c>
      <c r="D418" s="89"/>
      <c r="E418" s="90"/>
      <c r="F418" s="90"/>
      <c r="G418" s="90">
        <f t="shared" si="16"/>
        <v>0</v>
      </c>
      <c r="H418" s="91">
        <f t="shared" si="17"/>
        <v>0</v>
      </c>
    </row>
    <row r="419" spans="1:8" x14ac:dyDescent="0.3">
      <c r="A419" s="89" t="s">
        <v>1041</v>
      </c>
      <c r="B419" s="89" t="s">
        <v>156</v>
      </c>
      <c r="C419" s="89" t="s">
        <v>843</v>
      </c>
      <c r="D419" s="89"/>
      <c r="E419" s="90"/>
      <c r="F419" s="90"/>
      <c r="G419" s="90">
        <f t="shared" si="16"/>
        <v>0</v>
      </c>
      <c r="H419" s="91">
        <f t="shared" si="17"/>
        <v>0</v>
      </c>
    </row>
    <row r="420" spans="1:8" x14ac:dyDescent="0.3">
      <c r="A420" s="89" t="s">
        <v>1041</v>
      </c>
      <c r="B420" s="89" t="s">
        <v>157</v>
      </c>
      <c r="C420" s="89" t="s">
        <v>853</v>
      </c>
      <c r="D420" s="89"/>
      <c r="E420" s="90"/>
      <c r="F420" s="90"/>
      <c r="G420" s="90">
        <f t="shared" si="16"/>
        <v>0</v>
      </c>
      <c r="H420" s="91">
        <f t="shared" si="17"/>
        <v>0</v>
      </c>
    </row>
    <row r="421" spans="1:8" x14ac:dyDescent="0.3">
      <c r="A421" s="89" t="s">
        <v>1041</v>
      </c>
      <c r="B421" s="89" t="s">
        <v>164</v>
      </c>
      <c r="C421" s="89" t="s">
        <v>95</v>
      </c>
      <c r="D421" s="89" t="s">
        <v>862</v>
      </c>
      <c r="E421" s="90">
        <v>1</v>
      </c>
      <c r="F421" s="90">
        <v>1</v>
      </c>
      <c r="G421" s="90">
        <f t="shared" si="16"/>
        <v>0</v>
      </c>
      <c r="H421" s="91">
        <f t="shared" si="17"/>
        <v>100</v>
      </c>
    </row>
    <row r="422" spans="1:8" x14ac:dyDescent="0.3">
      <c r="A422" s="89" t="s">
        <v>1041</v>
      </c>
      <c r="B422" s="89" t="s">
        <v>167</v>
      </c>
      <c r="C422" s="89" t="s">
        <v>863</v>
      </c>
      <c r="D422" s="89"/>
      <c r="E422" s="90"/>
      <c r="F422" s="90"/>
      <c r="G422" s="90">
        <f t="shared" si="16"/>
        <v>0</v>
      </c>
      <c r="H422" s="91">
        <f t="shared" si="17"/>
        <v>0</v>
      </c>
    </row>
    <row r="423" spans="1:8" x14ac:dyDescent="0.3">
      <c r="A423" s="89" t="s">
        <v>1041</v>
      </c>
      <c r="B423" s="89" t="s">
        <v>169</v>
      </c>
      <c r="C423" s="89" t="s">
        <v>863</v>
      </c>
      <c r="D423" s="89" t="s">
        <v>862</v>
      </c>
      <c r="E423" s="90"/>
      <c r="F423" s="90"/>
      <c r="G423" s="90">
        <f t="shared" si="16"/>
        <v>0</v>
      </c>
      <c r="H423" s="91">
        <f t="shared" si="17"/>
        <v>0</v>
      </c>
    </row>
    <row r="424" spans="1:8" x14ac:dyDescent="0.3">
      <c r="A424" s="89" t="s">
        <v>1041</v>
      </c>
      <c r="B424" s="89" t="s">
        <v>171</v>
      </c>
      <c r="C424" s="89" t="s">
        <v>863</v>
      </c>
      <c r="D424" s="89" t="s">
        <v>862</v>
      </c>
      <c r="E424" s="90"/>
      <c r="F424" s="90"/>
      <c r="G424" s="90">
        <f t="shared" si="16"/>
        <v>0</v>
      </c>
      <c r="H424" s="91">
        <f t="shared" si="17"/>
        <v>0</v>
      </c>
    </row>
    <row r="425" spans="1:8" x14ac:dyDescent="0.3">
      <c r="A425" s="89" t="s">
        <v>1041</v>
      </c>
      <c r="B425" s="89" t="s">
        <v>172</v>
      </c>
      <c r="C425" s="89" t="s">
        <v>863</v>
      </c>
      <c r="D425" s="89" t="s">
        <v>862</v>
      </c>
      <c r="E425" s="90"/>
      <c r="F425" s="90"/>
      <c r="G425" s="90">
        <f t="shared" si="16"/>
        <v>0</v>
      </c>
      <c r="H425" s="91">
        <f t="shared" si="17"/>
        <v>0</v>
      </c>
    </row>
    <row r="426" spans="1:8" x14ac:dyDescent="0.3">
      <c r="A426" s="89" t="s">
        <v>1041</v>
      </c>
      <c r="B426" s="89" t="s">
        <v>174</v>
      </c>
      <c r="C426" s="89" t="s">
        <v>95</v>
      </c>
      <c r="D426" s="89" t="s">
        <v>862</v>
      </c>
      <c r="E426" s="90">
        <v>2</v>
      </c>
      <c r="F426" s="90">
        <v>0</v>
      </c>
      <c r="G426" s="90">
        <f t="shared" si="16"/>
        <v>2</v>
      </c>
      <c r="H426" s="91">
        <f t="shared" si="17"/>
        <v>0</v>
      </c>
    </row>
    <row r="427" spans="1:8" x14ac:dyDescent="0.3">
      <c r="A427" s="89" t="s">
        <v>1041</v>
      </c>
      <c r="B427" s="89" t="s">
        <v>1012</v>
      </c>
      <c r="C427" s="89" t="s">
        <v>863</v>
      </c>
      <c r="D427" s="89" t="s">
        <v>862</v>
      </c>
      <c r="E427" s="90"/>
      <c r="F427" s="90"/>
      <c r="G427" s="90">
        <f t="shared" si="16"/>
        <v>0</v>
      </c>
      <c r="H427" s="91">
        <f t="shared" si="17"/>
        <v>0</v>
      </c>
    </row>
    <row r="428" spans="1:8" x14ac:dyDescent="0.3">
      <c r="A428" s="89" t="s">
        <v>1041</v>
      </c>
      <c r="B428" s="89" t="s">
        <v>1013</v>
      </c>
      <c r="C428" s="89" t="s">
        <v>863</v>
      </c>
      <c r="D428" s="89" t="s">
        <v>862</v>
      </c>
      <c r="E428" s="90"/>
      <c r="F428" s="90"/>
      <c r="G428" s="90">
        <f t="shared" si="16"/>
        <v>0</v>
      </c>
      <c r="H428" s="91">
        <f t="shared" si="17"/>
        <v>0</v>
      </c>
    </row>
    <row r="429" spans="1:8" x14ac:dyDescent="0.3">
      <c r="A429" s="89" t="s">
        <v>1041</v>
      </c>
      <c r="B429" s="89" t="s">
        <v>1014</v>
      </c>
      <c r="C429" s="89" t="s">
        <v>863</v>
      </c>
      <c r="D429" s="89" t="s">
        <v>862</v>
      </c>
      <c r="E429" s="90"/>
      <c r="F429" s="90"/>
      <c r="G429" s="90">
        <f t="shared" si="16"/>
        <v>0</v>
      </c>
      <c r="H429" s="91">
        <f t="shared" si="17"/>
        <v>0</v>
      </c>
    </row>
    <row r="430" spans="1:8" x14ac:dyDescent="0.3">
      <c r="A430" s="89" t="s">
        <v>1041</v>
      </c>
      <c r="B430" s="89" t="s">
        <v>179</v>
      </c>
      <c r="C430" s="89" t="s">
        <v>863</v>
      </c>
      <c r="D430" s="89"/>
      <c r="E430" s="90"/>
      <c r="F430" s="90"/>
      <c r="G430" s="90">
        <f t="shared" si="16"/>
        <v>0</v>
      </c>
      <c r="H430" s="91">
        <f t="shared" si="17"/>
        <v>0</v>
      </c>
    </row>
    <row r="431" spans="1:8" x14ac:dyDescent="0.3">
      <c r="A431" s="89" t="s">
        <v>1041</v>
      </c>
      <c r="B431" s="89" t="s">
        <v>181</v>
      </c>
      <c r="C431" s="89" t="s">
        <v>863</v>
      </c>
      <c r="D431" s="89"/>
      <c r="E431" s="90"/>
      <c r="F431" s="90"/>
      <c r="G431" s="90">
        <f t="shared" si="16"/>
        <v>0</v>
      </c>
      <c r="H431" s="91">
        <f t="shared" si="17"/>
        <v>0</v>
      </c>
    </row>
    <row r="432" spans="1:8" x14ac:dyDescent="0.3">
      <c r="A432" s="101" t="s">
        <v>1031</v>
      </c>
      <c r="B432" s="101" t="s">
        <v>189</v>
      </c>
      <c r="C432" s="101" t="s">
        <v>831</v>
      </c>
      <c r="D432" s="101" t="s">
        <v>1033</v>
      </c>
      <c r="E432" s="101">
        <v>12</v>
      </c>
      <c r="F432" s="101">
        <v>12</v>
      </c>
      <c r="G432" s="90">
        <f t="shared" si="16"/>
        <v>0</v>
      </c>
      <c r="H432" s="91">
        <f t="shared" si="17"/>
        <v>100</v>
      </c>
    </row>
    <row r="433" spans="1:8" ht="14.4" customHeight="1" x14ac:dyDescent="0.3">
      <c r="A433" s="101" t="s">
        <v>1034</v>
      </c>
      <c r="B433" s="101" t="s">
        <v>189</v>
      </c>
      <c r="C433" s="101" t="s">
        <v>831</v>
      </c>
      <c r="D433" s="101" t="s">
        <v>1033</v>
      </c>
      <c r="E433" s="101">
        <v>12</v>
      </c>
      <c r="F433" s="101">
        <v>12</v>
      </c>
      <c r="G433" s="90">
        <f t="shared" si="16"/>
        <v>0</v>
      </c>
      <c r="H433" s="91">
        <f t="shared" si="17"/>
        <v>100</v>
      </c>
    </row>
    <row r="434" spans="1:8" ht="14.4" customHeight="1" x14ac:dyDescent="0.3">
      <c r="A434" s="101" t="s">
        <v>1035</v>
      </c>
      <c r="B434" s="101" t="s">
        <v>189</v>
      </c>
      <c r="C434" s="101" t="s">
        <v>831</v>
      </c>
      <c r="D434" s="101" t="s">
        <v>1033</v>
      </c>
      <c r="E434" s="101">
        <v>12</v>
      </c>
      <c r="F434" s="101">
        <v>12</v>
      </c>
      <c r="G434" s="90">
        <f t="shared" si="16"/>
        <v>0</v>
      </c>
      <c r="H434" s="91">
        <f t="shared" si="17"/>
        <v>100</v>
      </c>
    </row>
    <row r="435" spans="1:8" ht="14.4" customHeight="1" x14ac:dyDescent="0.3">
      <c r="A435" s="101" t="s">
        <v>1036</v>
      </c>
      <c r="B435" s="101" t="s">
        <v>189</v>
      </c>
      <c r="C435" s="101" t="s">
        <v>831</v>
      </c>
      <c r="D435" s="101" t="s">
        <v>1033</v>
      </c>
      <c r="E435" s="101">
        <v>6</v>
      </c>
      <c r="F435" s="101">
        <v>6</v>
      </c>
      <c r="G435" s="90">
        <f t="shared" si="16"/>
        <v>0</v>
      </c>
      <c r="H435" s="91">
        <f t="shared" si="17"/>
        <v>100</v>
      </c>
    </row>
    <row r="436" spans="1:8" ht="14.4" customHeight="1" x14ac:dyDescent="0.3">
      <c r="A436" s="101" t="s">
        <v>1037</v>
      </c>
      <c r="B436" s="101" t="s">
        <v>189</v>
      </c>
      <c r="C436" s="101" t="s">
        <v>831</v>
      </c>
      <c r="D436" s="101" t="s">
        <v>1033</v>
      </c>
      <c r="E436" s="101">
        <v>18</v>
      </c>
      <c r="F436" s="101">
        <v>18</v>
      </c>
      <c r="G436" s="90">
        <f t="shared" si="16"/>
        <v>0</v>
      </c>
      <c r="H436" s="91">
        <f t="shared" si="17"/>
        <v>100</v>
      </c>
    </row>
    <row r="437" spans="1:8" ht="14.4" customHeight="1" x14ac:dyDescent="0.3">
      <c r="A437" s="101" t="s">
        <v>1038</v>
      </c>
      <c r="B437" s="101" t="s">
        <v>189</v>
      </c>
      <c r="C437" s="101" t="s">
        <v>831</v>
      </c>
      <c r="D437" s="101" t="s">
        <v>1033</v>
      </c>
      <c r="E437" s="101">
        <v>18</v>
      </c>
      <c r="F437" s="101">
        <v>18</v>
      </c>
      <c r="G437" s="90">
        <f t="shared" si="16"/>
        <v>0</v>
      </c>
      <c r="H437" s="91">
        <f t="shared" si="17"/>
        <v>100</v>
      </c>
    </row>
    <row r="438" spans="1:8" ht="14.4" customHeight="1" x14ac:dyDescent="0.3">
      <c r="A438" s="101" t="s">
        <v>1040</v>
      </c>
      <c r="B438" s="101" t="s">
        <v>189</v>
      </c>
      <c r="C438" s="101" t="s">
        <v>831</v>
      </c>
      <c r="D438" s="101" t="s">
        <v>1033</v>
      </c>
      <c r="E438" s="101">
        <v>6</v>
      </c>
      <c r="F438" s="101">
        <v>6</v>
      </c>
      <c r="G438" s="90">
        <f t="shared" si="16"/>
        <v>0</v>
      </c>
      <c r="H438" s="91">
        <f t="shared" si="17"/>
        <v>100</v>
      </c>
    </row>
    <row r="439" spans="1:8" ht="14.4" customHeight="1" x14ac:dyDescent="0.3">
      <c r="A439" s="101" t="s">
        <v>1039</v>
      </c>
      <c r="B439" s="101" t="s">
        <v>189</v>
      </c>
      <c r="C439" s="101" t="s">
        <v>831</v>
      </c>
      <c r="D439" s="101" t="s">
        <v>1033</v>
      </c>
      <c r="E439" s="101">
        <v>18</v>
      </c>
      <c r="F439" s="101">
        <v>18</v>
      </c>
      <c r="G439" s="90">
        <f t="shared" si="16"/>
        <v>0</v>
      </c>
      <c r="H439" s="91">
        <f t="shared" si="17"/>
        <v>100</v>
      </c>
    </row>
    <row r="440" spans="1:8" x14ac:dyDescent="0.3">
      <c r="A440" s="89" t="s">
        <v>1042</v>
      </c>
      <c r="B440" s="89" t="s">
        <v>51</v>
      </c>
      <c r="C440" s="89" t="s">
        <v>853</v>
      </c>
      <c r="D440" s="89" t="s">
        <v>862</v>
      </c>
      <c r="E440" s="90">
        <v>19</v>
      </c>
      <c r="F440" s="90">
        <v>20</v>
      </c>
      <c r="G440" s="90">
        <f t="shared" si="16"/>
        <v>-1</v>
      </c>
      <c r="H440" s="91">
        <f t="shared" si="17"/>
        <v>105.26315789473684</v>
      </c>
    </row>
    <row r="441" spans="1:8" x14ac:dyDescent="0.3">
      <c r="A441" s="89" t="s">
        <v>1042</v>
      </c>
      <c r="B441" s="89" t="s">
        <v>55</v>
      </c>
      <c r="C441" s="89" t="s">
        <v>831</v>
      </c>
      <c r="D441" s="89"/>
      <c r="E441" s="90"/>
      <c r="F441" s="90"/>
      <c r="G441" s="90">
        <f t="shared" si="16"/>
        <v>0</v>
      </c>
      <c r="H441" s="91">
        <f t="shared" si="17"/>
        <v>0</v>
      </c>
    </row>
    <row r="442" spans="1:8" x14ac:dyDescent="0.3">
      <c r="A442" s="89" t="s">
        <v>1042</v>
      </c>
      <c r="B442" s="89" t="s">
        <v>56</v>
      </c>
      <c r="C442" s="89" t="s">
        <v>843</v>
      </c>
      <c r="D442" s="89"/>
      <c r="E442" s="90"/>
      <c r="F442" s="90"/>
      <c r="G442" s="90">
        <f t="shared" si="16"/>
        <v>0</v>
      </c>
      <c r="H442" s="91">
        <f t="shared" si="17"/>
        <v>0</v>
      </c>
    </row>
    <row r="443" spans="1:8" x14ac:dyDescent="0.3">
      <c r="A443" s="89" t="s">
        <v>1042</v>
      </c>
      <c r="B443" s="89" t="s">
        <v>57</v>
      </c>
      <c r="C443" s="89" t="s">
        <v>853</v>
      </c>
      <c r="D443" s="89" t="s">
        <v>762</v>
      </c>
      <c r="E443" s="90">
        <v>18</v>
      </c>
      <c r="F443" s="90">
        <v>14</v>
      </c>
      <c r="G443" s="90">
        <f t="shared" si="16"/>
        <v>4</v>
      </c>
      <c r="H443" s="91">
        <f t="shared" si="17"/>
        <v>77.777777777777771</v>
      </c>
    </row>
    <row r="444" spans="1:8" x14ac:dyDescent="0.3">
      <c r="A444" s="89" t="s">
        <v>1042</v>
      </c>
      <c r="B444" s="89" t="s">
        <v>75</v>
      </c>
      <c r="C444" s="89" t="s">
        <v>831</v>
      </c>
      <c r="D444" s="89"/>
      <c r="E444" s="90"/>
      <c r="F444" s="90"/>
      <c r="G444" s="90">
        <f t="shared" si="16"/>
        <v>0</v>
      </c>
      <c r="H444" s="91">
        <f t="shared" si="17"/>
        <v>0</v>
      </c>
    </row>
    <row r="445" spans="1:8" x14ac:dyDescent="0.3">
      <c r="A445" s="89" t="s">
        <v>1042</v>
      </c>
      <c r="B445" s="89" t="s">
        <v>76</v>
      </c>
      <c r="C445" s="89" t="s">
        <v>831</v>
      </c>
      <c r="D445" s="89"/>
      <c r="E445" s="90"/>
      <c r="F445" s="90"/>
      <c r="G445" s="90">
        <f t="shared" si="16"/>
        <v>0</v>
      </c>
      <c r="H445" s="91">
        <f t="shared" si="17"/>
        <v>0</v>
      </c>
    </row>
    <row r="446" spans="1:8" x14ac:dyDescent="0.3">
      <c r="A446" s="89" t="s">
        <v>1042</v>
      </c>
      <c r="B446" s="89" t="s">
        <v>77</v>
      </c>
      <c r="C446" s="89" t="s">
        <v>843</v>
      </c>
      <c r="D446" s="89" t="s">
        <v>862</v>
      </c>
      <c r="E446" s="90">
        <v>18</v>
      </c>
      <c r="F446" s="90">
        <v>2</v>
      </c>
      <c r="G446" s="90">
        <f t="shared" si="16"/>
        <v>16</v>
      </c>
      <c r="H446" s="91">
        <f t="shared" si="17"/>
        <v>11.111111111111111</v>
      </c>
    </row>
    <row r="447" spans="1:8" x14ac:dyDescent="0.3">
      <c r="A447" s="93" t="s">
        <v>1042</v>
      </c>
      <c r="B447" s="93" t="s">
        <v>78</v>
      </c>
      <c r="C447" s="93" t="s">
        <v>853</v>
      </c>
      <c r="D447" s="93" t="s">
        <v>862</v>
      </c>
      <c r="E447" s="92">
        <v>1</v>
      </c>
      <c r="F447" s="92">
        <v>1</v>
      </c>
      <c r="G447" s="92">
        <f t="shared" si="16"/>
        <v>0</v>
      </c>
      <c r="H447" s="94">
        <f t="shared" si="17"/>
        <v>100</v>
      </c>
    </row>
    <row r="448" spans="1:8" x14ac:dyDescent="0.3">
      <c r="A448" s="89" t="s">
        <v>1042</v>
      </c>
      <c r="B448" s="89" t="s">
        <v>87</v>
      </c>
      <c r="C448" s="89" t="s">
        <v>831</v>
      </c>
      <c r="D448" s="89"/>
      <c r="E448" s="90"/>
      <c r="F448" s="90"/>
      <c r="G448" s="90">
        <f t="shared" si="16"/>
        <v>0</v>
      </c>
      <c r="H448" s="91">
        <f t="shared" si="17"/>
        <v>0</v>
      </c>
    </row>
    <row r="449" spans="1:8" x14ac:dyDescent="0.3">
      <c r="A449" s="89" t="s">
        <v>1042</v>
      </c>
      <c r="B449" s="89" t="s">
        <v>88</v>
      </c>
      <c r="C449" s="89" t="s">
        <v>843</v>
      </c>
      <c r="D449" s="89" t="s">
        <v>862</v>
      </c>
      <c r="E449" s="90">
        <v>1</v>
      </c>
      <c r="F449" s="90">
        <v>1</v>
      </c>
      <c r="G449" s="90">
        <f t="shared" ref="G449:G512" si="18">+E449-F449</f>
        <v>0</v>
      </c>
      <c r="H449" s="91">
        <f t="shared" ref="H449:H512" si="19">IFERROR(IF(7&lt;&gt;0, F449*100/E449, IF(E449=F449, F449*100/E449, 0)), 0)</f>
        <v>100</v>
      </c>
    </row>
    <row r="450" spans="1:8" x14ac:dyDescent="0.3">
      <c r="A450" s="89" t="s">
        <v>1042</v>
      </c>
      <c r="B450" s="89" t="s">
        <v>89</v>
      </c>
      <c r="C450" s="89" t="s">
        <v>853</v>
      </c>
      <c r="D450" s="89" t="s">
        <v>762</v>
      </c>
      <c r="E450" s="90">
        <v>1</v>
      </c>
      <c r="F450" s="90">
        <v>1</v>
      </c>
      <c r="G450" s="90">
        <f t="shared" si="18"/>
        <v>0</v>
      </c>
      <c r="H450" s="91">
        <f t="shared" si="19"/>
        <v>100</v>
      </c>
    </row>
    <row r="451" spans="1:8" x14ac:dyDescent="0.3">
      <c r="A451" s="89" t="s">
        <v>1042</v>
      </c>
      <c r="B451" s="89" t="s">
        <v>96</v>
      </c>
      <c r="C451" s="89" t="s">
        <v>95</v>
      </c>
      <c r="D451" s="89" t="s">
        <v>862</v>
      </c>
      <c r="E451" s="90">
        <v>1</v>
      </c>
      <c r="F451" s="90">
        <v>1</v>
      </c>
      <c r="G451" s="90">
        <f t="shared" si="18"/>
        <v>0</v>
      </c>
      <c r="H451" s="91">
        <f t="shared" si="19"/>
        <v>100</v>
      </c>
    </row>
    <row r="452" spans="1:8" x14ac:dyDescent="0.3">
      <c r="A452" s="89" t="s">
        <v>1042</v>
      </c>
      <c r="B452" s="89" t="s">
        <v>107</v>
      </c>
      <c r="C452" s="89" t="s">
        <v>831</v>
      </c>
      <c r="D452" s="89"/>
      <c r="E452" s="90"/>
      <c r="F452" s="90"/>
      <c r="G452" s="90">
        <f t="shared" si="18"/>
        <v>0</v>
      </c>
      <c r="H452" s="91">
        <f t="shared" si="19"/>
        <v>0</v>
      </c>
    </row>
    <row r="453" spans="1:8" x14ac:dyDescent="0.3">
      <c r="A453" s="89" t="s">
        <v>1042</v>
      </c>
      <c r="B453" s="89" t="s">
        <v>108</v>
      </c>
      <c r="C453" s="89" t="s">
        <v>843</v>
      </c>
      <c r="D453" s="89" t="s">
        <v>862</v>
      </c>
      <c r="E453" s="90">
        <f>911</f>
        <v>911</v>
      </c>
      <c r="F453" s="90">
        <f>894</f>
        <v>894</v>
      </c>
      <c r="G453" s="90">
        <f t="shared" si="18"/>
        <v>17</v>
      </c>
      <c r="H453" s="91">
        <f t="shared" si="19"/>
        <v>98.133918770581772</v>
      </c>
    </row>
    <row r="454" spans="1:8" x14ac:dyDescent="0.3">
      <c r="A454" s="89" t="s">
        <v>1042</v>
      </c>
      <c r="B454" s="89" t="s">
        <v>109</v>
      </c>
      <c r="C454" s="89" t="s">
        <v>853</v>
      </c>
      <c r="D454" s="89" t="s">
        <v>744</v>
      </c>
      <c r="E454" s="90">
        <v>17</v>
      </c>
      <c r="F454" s="90">
        <v>0</v>
      </c>
      <c r="G454" s="90">
        <f t="shared" si="18"/>
        <v>17</v>
      </c>
      <c r="H454" s="91">
        <f t="shared" si="19"/>
        <v>0</v>
      </c>
    </row>
    <row r="455" spans="1:8" x14ac:dyDescent="0.3">
      <c r="A455" s="89" t="s">
        <v>1042</v>
      </c>
      <c r="B455" s="89" t="s">
        <v>113</v>
      </c>
      <c r="C455" s="89" t="s">
        <v>831</v>
      </c>
      <c r="D455" s="89"/>
      <c r="E455" s="90"/>
      <c r="F455" s="90"/>
      <c r="G455" s="90">
        <f t="shared" si="18"/>
        <v>0</v>
      </c>
      <c r="H455" s="91">
        <f t="shared" si="19"/>
        <v>0</v>
      </c>
    </row>
    <row r="456" spans="1:8" x14ac:dyDescent="0.3">
      <c r="A456" s="89" t="s">
        <v>1042</v>
      </c>
      <c r="B456" s="89" t="s">
        <v>114</v>
      </c>
      <c r="C456" s="89" t="s">
        <v>843</v>
      </c>
      <c r="D456" s="89" t="s">
        <v>862</v>
      </c>
      <c r="E456" s="90">
        <v>962</v>
      </c>
      <c r="F456" s="90">
        <v>989</v>
      </c>
      <c r="G456" s="90">
        <f t="shared" si="18"/>
        <v>-27</v>
      </c>
      <c r="H456" s="91">
        <f t="shared" si="19"/>
        <v>102.80665280665281</v>
      </c>
    </row>
    <row r="457" spans="1:8" x14ac:dyDescent="0.3">
      <c r="A457" s="93" t="s">
        <v>1042</v>
      </c>
      <c r="B457" s="93" t="s">
        <v>115</v>
      </c>
      <c r="C457" s="93" t="s">
        <v>853</v>
      </c>
      <c r="D457" s="93" t="s">
        <v>862</v>
      </c>
      <c r="E457" s="92">
        <v>1</v>
      </c>
      <c r="F457" s="92">
        <v>1</v>
      </c>
      <c r="G457" s="92">
        <f t="shared" si="18"/>
        <v>0</v>
      </c>
      <c r="H457" s="94">
        <f t="shared" si="19"/>
        <v>100</v>
      </c>
    </row>
    <row r="458" spans="1:8" x14ac:dyDescent="0.3">
      <c r="A458" s="89" t="s">
        <v>1042</v>
      </c>
      <c r="B458" s="89" t="s">
        <v>120</v>
      </c>
      <c r="C458" s="89" t="s">
        <v>831</v>
      </c>
      <c r="D458" s="89"/>
      <c r="E458" s="90"/>
      <c r="F458" s="90"/>
      <c r="G458" s="90">
        <f t="shared" si="18"/>
        <v>0</v>
      </c>
      <c r="H458" s="91">
        <f t="shared" si="19"/>
        <v>0</v>
      </c>
    </row>
    <row r="459" spans="1:8" x14ac:dyDescent="0.3">
      <c r="A459" s="89" t="s">
        <v>1042</v>
      </c>
      <c r="B459" s="89" t="s">
        <v>126</v>
      </c>
      <c r="C459" s="89" t="s">
        <v>831</v>
      </c>
      <c r="D459" s="89"/>
      <c r="E459" s="90"/>
      <c r="F459" s="90"/>
      <c r="G459" s="90">
        <f t="shared" si="18"/>
        <v>0</v>
      </c>
      <c r="H459" s="91">
        <f t="shared" si="19"/>
        <v>0</v>
      </c>
    </row>
    <row r="460" spans="1:8" x14ac:dyDescent="0.3">
      <c r="A460" s="89" t="s">
        <v>1042</v>
      </c>
      <c r="B460" s="89" t="s">
        <v>127</v>
      </c>
      <c r="C460" s="89" t="s">
        <v>843</v>
      </c>
      <c r="D460" s="89" t="s">
        <v>862</v>
      </c>
      <c r="E460" s="90">
        <v>3</v>
      </c>
      <c r="F460" s="90">
        <v>3</v>
      </c>
      <c r="G460" s="90">
        <f t="shared" si="18"/>
        <v>0</v>
      </c>
      <c r="H460" s="91">
        <f t="shared" si="19"/>
        <v>100</v>
      </c>
    </row>
    <row r="461" spans="1:8" x14ac:dyDescent="0.3">
      <c r="A461" s="89" t="s">
        <v>1042</v>
      </c>
      <c r="B461" s="89" t="s">
        <v>128</v>
      </c>
      <c r="C461" s="89" t="s">
        <v>853</v>
      </c>
      <c r="D461" s="89" t="s">
        <v>862</v>
      </c>
      <c r="E461" s="90">
        <v>1</v>
      </c>
      <c r="F461" s="90">
        <v>1</v>
      </c>
      <c r="G461" s="90">
        <f t="shared" si="18"/>
        <v>0</v>
      </c>
      <c r="H461" s="91">
        <f t="shared" si="19"/>
        <v>100</v>
      </c>
    </row>
    <row r="462" spans="1:8" x14ac:dyDescent="0.3">
      <c r="A462" s="89" t="s">
        <v>1042</v>
      </c>
      <c r="B462" s="89" t="s">
        <v>129</v>
      </c>
      <c r="C462" s="89" t="s">
        <v>831</v>
      </c>
      <c r="D462" s="89"/>
      <c r="E462" s="90"/>
      <c r="F462" s="90"/>
      <c r="G462" s="90">
        <f t="shared" si="18"/>
        <v>0</v>
      </c>
      <c r="H462" s="91">
        <f t="shared" si="19"/>
        <v>0</v>
      </c>
    </row>
    <row r="463" spans="1:8" x14ac:dyDescent="0.3">
      <c r="A463" s="89" t="s">
        <v>1042</v>
      </c>
      <c r="B463" s="89" t="s">
        <v>130</v>
      </c>
      <c r="C463" s="89" t="s">
        <v>843</v>
      </c>
      <c r="D463" s="89" t="s">
        <v>862</v>
      </c>
      <c r="E463" s="90">
        <v>3</v>
      </c>
      <c r="F463" s="90">
        <v>3</v>
      </c>
      <c r="G463" s="90">
        <f t="shared" si="18"/>
        <v>0</v>
      </c>
      <c r="H463" s="91">
        <f t="shared" si="19"/>
        <v>100</v>
      </c>
    </row>
    <row r="464" spans="1:8" x14ac:dyDescent="0.3">
      <c r="A464" s="89" t="s">
        <v>1042</v>
      </c>
      <c r="B464" s="89" t="s">
        <v>131</v>
      </c>
      <c r="C464" s="89" t="s">
        <v>853</v>
      </c>
      <c r="D464" s="89" t="s">
        <v>862</v>
      </c>
      <c r="E464" s="90">
        <v>1</v>
      </c>
      <c r="F464" s="90">
        <v>1</v>
      </c>
      <c r="G464" s="90">
        <f t="shared" si="18"/>
        <v>0</v>
      </c>
      <c r="H464" s="91">
        <f t="shared" si="19"/>
        <v>100</v>
      </c>
    </row>
    <row r="465" spans="1:8" x14ac:dyDescent="0.3">
      <c r="A465" s="89" t="s">
        <v>1042</v>
      </c>
      <c r="B465" s="89" t="s">
        <v>141</v>
      </c>
      <c r="C465" s="89" t="s">
        <v>95</v>
      </c>
      <c r="D465" s="89"/>
      <c r="E465" s="90"/>
      <c r="F465" s="90"/>
      <c r="G465" s="90">
        <f t="shared" si="18"/>
        <v>0</v>
      </c>
      <c r="H465" s="91">
        <f t="shared" si="19"/>
        <v>0</v>
      </c>
    </row>
    <row r="466" spans="1:8" x14ac:dyDescent="0.3">
      <c r="A466" s="89" t="s">
        <v>1042</v>
      </c>
      <c r="B466" s="89" t="s">
        <v>155</v>
      </c>
      <c r="C466" s="89" t="s">
        <v>831</v>
      </c>
      <c r="D466" s="89"/>
      <c r="E466" s="90"/>
      <c r="F466" s="90"/>
      <c r="G466" s="90">
        <f t="shared" si="18"/>
        <v>0</v>
      </c>
      <c r="H466" s="91">
        <f t="shared" si="19"/>
        <v>0</v>
      </c>
    </row>
    <row r="467" spans="1:8" x14ac:dyDescent="0.3">
      <c r="A467" s="89" t="s">
        <v>1042</v>
      </c>
      <c r="B467" s="89" t="s">
        <v>156</v>
      </c>
      <c r="C467" s="89" t="s">
        <v>843</v>
      </c>
      <c r="D467" s="89"/>
      <c r="E467" s="90"/>
      <c r="F467" s="90"/>
      <c r="G467" s="90">
        <f t="shared" si="18"/>
        <v>0</v>
      </c>
      <c r="H467" s="91">
        <f t="shared" si="19"/>
        <v>0</v>
      </c>
    </row>
    <row r="468" spans="1:8" x14ac:dyDescent="0.3">
      <c r="A468" s="89" t="s">
        <v>1042</v>
      </c>
      <c r="B468" s="89" t="s">
        <v>157</v>
      </c>
      <c r="C468" s="89" t="s">
        <v>853</v>
      </c>
      <c r="D468" s="89"/>
      <c r="E468" s="90"/>
      <c r="F468" s="90"/>
      <c r="G468" s="90">
        <f t="shared" si="18"/>
        <v>0</v>
      </c>
      <c r="H468" s="91">
        <f t="shared" si="19"/>
        <v>0</v>
      </c>
    </row>
    <row r="469" spans="1:8" x14ac:dyDescent="0.3">
      <c r="A469" s="89" t="s">
        <v>1042</v>
      </c>
      <c r="B469" s="89" t="s">
        <v>164</v>
      </c>
      <c r="C469" s="89" t="s">
        <v>95</v>
      </c>
      <c r="D469" s="89" t="s">
        <v>862</v>
      </c>
      <c r="E469" s="90">
        <v>1</v>
      </c>
      <c r="F469" s="90">
        <v>1</v>
      </c>
      <c r="G469" s="90">
        <f t="shared" si="18"/>
        <v>0</v>
      </c>
      <c r="H469" s="91">
        <f t="shared" si="19"/>
        <v>100</v>
      </c>
    </row>
    <row r="470" spans="1:8" x14ac:dyDescent="0.3">
      <c r="A470" s="89" t="s">
        <v>1042</v>
      </c>
      <c r="B470" s="89" t="s">
        <v>167</v>
      </c>
      <c r="C470" s="89" t="s">
        <v>863</v>
      </c>
      <c r="D470" s="89"/>
      <c r="E470" s="90"/>
      <c r="F470" s="90"/>
      <c r="G470" s="90">
        <f t="shared" si="18"/>
        <v>0</v>
      </c>
      <c r="H470" s="91">
        <f t="shared" si="19"/>
        <v>0</v>
      </c>
    </row>
    <row r="471" spans="1:8" x14ac:dyDescent="0.3">
      <c r="A471" s="89" t="s">
        <v>1042</v>
      </c>
      <c r="B471" s="89" t="s">
        <v>169</v>
      </c>
      <c r="C471" s="89" t="s">
        <v>863</v>
      </c>
      <c r="D471" s="89" t="s">
        <v>862</v>
      </c>
      <c r="E471" s="90"/>
      <c r="F471" s="90"/>
      <c r="G471" s="90">
        <f t="shared" si="18"/>
        <v>0</v>
      </c>
      <c r="H471" s="91">
        <f t="shared" si="19"/>
        <v>0</v>
      </c>
    </row>
    <row r="472" spans="1:8" x14ac:dyDescent="0.3">
      <c r="A472" s="89" t="s">
        <v>1042</v>
      </c>
      <c r="B472" s="89" t="s">
        <v>171</v>
      </c>
      <c r="C472" s="89" t="s">
        <v>863</v>
      </c>
      <c r="D472" s="89" t="s">
        <v>862</v>
      </c>
      <c r="E472" s="90"/>
      <c r="F472" s="90"/>
      <c r="G472" s="90">
        <f t="shared" si="18"/>
        <v>0</v>
      </c>
      <c r="H472" s="91">
        <f t="shared" si="19"/>
        <v>0</v>
      </c>
    </row>
    <row r="473" spans="1:8" x14ac:dyDescent="0.3">
      <c r="A473" s="89" t="s">
        <v>1042</v>
      </c>
      <c r="B473" s="89" t="s">
        <v>172</v>
      </c>
      <c r="C473" s="89" t="s">
        <v>863</v>
      </c>
      <c r="D473" s="89" t="s">
        <v>862</v>
      </c>
      <c r="E473" s="90"/>
      <c r="F473" s="90"/>
      <c r="G473" s="90">
        <f t="shared" si="18"/>
        <v>0</v>
      </c>
      <c r="H473" s="91">
        <f t="shared" si="19"/>
        <v>0</v>
      </c>
    </row>
    <row r="474" spans="1:8" x14ac:dyDescent="0.3">
      <c r="A474" s="89" t="s">
        <v>1042</v>
      </c>
      <c r="B474" s="89" t="s">
        <v>174</v>
      </c>
      <c r="C474" s="89" t="s">
        <v>95</v>
      </c>
      <c r="D474" s="89" t="s">
        <v>862</v>
      </c>
      <c r="E474" s="90">
        <v>2</v>
      </c>
      <c r="F474" s="90">
        <v>0</v>
      </c>
      <c r="G474" s="90">
        <f t="shared" si="18"/>
        <v>2</v>
      </c>
      <c r="H474" s="91">
        <f t="shared" si="19"/>
        <v>0</v>
      </c>
    </row>
    <row r="475" spans="1:8" x14ac:dyDescent="0.3">
      <c r="A475" s="89" t="s">
        <v>1042</v>
      </c>
      <c r="B475" s="89" t="s">
        <v>1012</v>
      </c>
      <c r="C475" s="89" t="s">
        <v>863</v>
      </c>
      <c r="D475" s="89" t="s">
        <v>862</v>
      </c>
      <c r="E475" s="90"/>
      <c r="F475" s="90"/>
      <c r="G475" s="90">
        <f t="shared" si="18"/>
        <v>0</v>
      </c>
      <c r="H475" s="91">
        <f t="shared" si="19"/>
        <v>0</v>
      </c>
    </row>
    <row r="476" spans="1:8" x14ac:dyDescent="0.3">
      <c r="A476" s="89" t="s">
        <v>1042</v>
      </c>
      <c r="B476" s="89" t="s">
        <v>1013</v>
      </c>
      <c r="C476" s="89" t="s">
        <v>863</v>
      </c>
      <c r="D476" s="89" t="s">
        <v>862</v>
      </c>
      <c r="E476" s="90"/>
      <c r="F476" s="90"/>
      <c r="G476" s="90">
        <f t="shared" si="18"/>
        <v>0</v>
      </c>
      <c r="H476" s="91">
        <f t="shared" si="19"/>
        <v>0</v>
      </c>
    </row>
    <row r="477" spans="1:8" x14ac:dyDescent="0.3">
      <c r="A477" s="89" t="s">
        <v>1042</v>
      </c>
      <c r="B477" s="89" t="s">
        <v>1014</v>
      </c>
      <c r="C477" s="89" t="s">
        <v>863</v>
      </c>
      <c r="D477" s="89" t="s">
        <v>862</v>
      </c>
      <c r="E477" s="90"/>
      <c r="F477" s="90"/>
      <c r="G477" s="90">
        <f t="shared" si="18"/>
        <v>0</v>
      </c>
      <c r="H477" s="91">
        <f t="shared" si="19"/>
        <v>0</v>
      </c>
    </row>
    <row r="478" spans="1:8" x14ac:dyDescent="0.3">
      <c r="A478" s="89" t="s">
        <v>1042</v>
      </c>
      <c r="B478" s="89" t="s">
        <v>179</v>
      </c>
      <c r="C478" s="89" t="s">
        <v>863</v>
      </c>
      <c r="D478" s="89"/>
      <c r="E478" s="90"/>
      <c r="F478" s="90"/>
      <c r="G478" s="90">
        <f t="shared" si="18"/>
        <v>0</v>
      </c>
      <c r="H478" s="91">
        <f t="shared" si="19"/>
        <v>0</v>
      </c>
    </row>
    <row r="479" spans="1:8" x14ac:dyDescent="0.3">
      <c r="A479" s="89" t="s">
        <v>1042</v>
      </c>
      <c r="B479" s="89" t="s">
        <v>181</v>
      </c>
      <c r="C479" s="89" t="s">
        <v>863</v>
      </c>
      <c r="D479" s="89"/>
      <c r="E479" s="90"/>
      <c r="F479" s="90"/>
      <c r="G479" s="90">
        <f t="shared" si="18"/>
        <v>0</v>
      </c>
      <c r="H479" s="91">
        <f t="shared" si="19"/>
        <v>0</v>
      </c>
    </row>
    <row r="480" spans="1:8" x14ac:dyDescent="0.3">
      <c r="A480" s="101" t="s">
        <v>1034</v>
      </c>
      <c r="B480" s="101" t="s">
        <v>189</v>
      </c>
      <c r="C480" s="101" t="s">
        <v>831</v>
      </c>
      <c r="D480" s="101" t="s">
        <v>1033</v>
      </c>
      <c r="E480" s="101">
        <v>12</v>
      </c>
      <c r="F480" s="101">
        <v>12</v>
      </c>
      <c r="G480" s="90">
        <f t="shared" si="18"/>
        <v>0</v>
      </c>
      <c r="H480" s="91">
        <f t="shared" si="19"/>
        <v>100</v>
      </c>
    </row>
    <row r="481" spans="1:8" ht="14.4" customHeight="1" x14ac:dyDescent="0.3">
      <c r="A481" s="101" t="s">
        <v>1035</v>
      </c>
      <c r="B481" s="101" t="s">
        <v>189</v>
      </c>
      <c r="C481" s="101" t="s">
        <v>831</v>
      </c>
      <c r="D481" s="101" t="s">
        <v>1033</v>
      </c>
      <c r="E481" s="101">
        <v>12</v>
      </c>
      <c r="F481" s="101">
        <v>12</v>
      </c>
      <c r="G481" s="90">
        <f t="shared" si="18"/>
        <v>0</v>
      </c>
      <c r="H481" s="91">
        <f t="shared" si="19"/>
        <v>100</v>
      </c>
    </row>
    <row r="482" spans="1:8" ht="14.4" customHeight="1" x14ac:dyDescent="0.3">
      <c r="A482" s="101" t="s">
        <v>1036</v>
      </c>
      <c r="B482" s="101" t="s">
        <v>189</v>
      </c>
      <c r="C482" s="101" t="s">
        <v>831</v>
      </c>
      <c r="D482" s="101" t="s">
        <v>1033</v>
      </c>
      <c r="E482" s="101">
        <v>6</v>
      </c>
      <c r="F482" s="101">
        <v>6</v>
      </c>
      <c r="G482" s="90">
        <f t="shared" si="18"/>
        <v>0</v>
      </c>
      <c r="H482" s="91">
        <f t="shared" si="19"/>
        <v>100</v>
      </c>
    </row>
    <row r="483" spans="1:8" ht="14.4" customHeight="1" x14ac:dyDescent="0.3">
      <c r="A483" s="101" t="s">
        <v>1037</v>
      </c>
      <c r="B483" s="101" t="s">
        <v>189</v>
      </c>
      <c r="C483" s="101" t="s">
        <v>831</v>
      </c>
      <c r="D483" s="101" t="s">
        <v>1033</v>
      </c>
      <c r="E483" s="101">
        <v>18</v>
      </c>
      <c r="F483" s="101">
        <v>18</v>
      </c>
      <c r="G483" s="90">
        <f t="shared" si="18"/>
        <v>0</v>
      </c>
      <c r="H483" s="91">
        <f t="shared" si="19"/>
        <v>100</v>
      </c>
    </row>
    <row r="484" spans="1:8" ht="14.4" customHeight="1" x14ac:dyDescent="0.3">
      <c r="A484" s="101" t="s">
        <v>1038</v>
      </c>
      <c r="B484" s="101" t="s">
        <v>189</v>
      </c>
      <c r="C484" s="101" t="s">
        <v>831</v>
      </c>
      <c r="D484" s="101" t="s">
        <v>1033</v>
      </c>
      <c r="E484" s="101">
        <v>18</v>
      </c>
      <c r="F484" s="101">
        <v>18</v>
      </c>
      <c r="G484" s="90">
        <f t="shared" si="18"/>
        <v>0</v>
      </c>
      <c r="H484" s="91">
        <f t="shared" si="19"/>
        <v>100</v>
      </c>
    </row>
    <row r="485" spans="1:8" ht="14.4" customHeight="1" x14ac:dyDescent="0.3">
      <c r="A485" s="101" t="s">
        <v>1040</v>
      </c>
      <c r="B485" s="101" t="s">
        <v>189</v>
      </c>
      <c r="C485" s="101" t="s">
        <v>831</v>
      </c>
      <c r="D485" s="101" t="s">
        <v>1033</v>
      </c>
      <c r="E485" s="101">
        <v>6</v>
      </c>
      <c r="F485" s="101">
        <v>6</v>
      </c>
      <c r="G485" s="90">
        <f t="shared" si="18"/>
        <v>0</v>
      </c>
      <c r="H485" s="91">
        <f t="shared" si="19"/>
        <v>100</v>
      </c>
    </row>
    <row r="486" spans="1:8" ht="14.4" customHeight="1" x14ac:dyDescent="0.3">
      <c r="A486" s="101" t="s">
        <v>1039</v>
      </c>
      <c r="B486" s="101" t="s">
        <v>189</v>
      </c>
      <c r="C486" s="101" t="s">
        <v>831</v>
      </c>
      <c r="D486" s="101" t="s">
        <v>1033</v>
      </c>
      <c r="E486" s="101">
        <v>18</v>
      </c>
      <c r="F486" s="101">
        <v>18</v>
      </c>
      <c r="G486" s="90">
        <f t="shared" si="18"/>
        <v>0</v>
      </c>
      <c r="H486" s="91">
        <f t="shared" si="19"/>
        <v>100</v>
      </c>
    </row>
    <row r="487" spans="1:8" x14ac:dyDescent="0.3">
      <c r="A487" s="89" t="s">
        <v>1043</v>
      </c>
      <c r="B487" s="89" t="s">
        <v>1032</v>
      </c>
      <c r="C487" s="89" t="s">
        <v>843</v>
      </c>
      <c r="D487" s="89" t="s">
        <v>862</v>
      </c>
      <c r="E487" s="95">
        <v>55</v>
      </c>
      <c r="F487" s="95">
        <v>55</v>
      </c>
      <c r="G487" s="90">
        <f t="shared" si="18"/>
        <v>0</v>
      </c>
      <c r="H487" s="91">
        <f t="shared" si="19"/>
        <v>100</v>
      </c>
    </row>
    <row r="488" spans="1:8" x14ac:dyDescent="0.3">
      <c r="A488" s="89" t="s">
        <v>1043</v>
      </c>
      <c r="B488" s="89" t="s">
        <v>51</v>
      </c>
      <c r="C488" s="89" t="s">
        <v>853</v>
      </c>
      <c r="D488" s="89" t="s">
        <v>862</v>
      </c>
      <c r="E488" s="90">
        <v>16</v>
      </c>
      <c r="F488" s="90">
        <v>16</v>
      </c>
      <c r="G488" s="90">
        <f t="shared" si="18"/>
        <v>0</v>
      </c>
      <c r="H488" s="91">
        <f t="shared" si="19"/>
        <v>100</v>
      </c>
    </row>
    <row r="489" spans="1:8" x14ac:dyDescent="0.3">
      <c r="A489" s="89" t="s">
        <v>1043</v>
      </c>
      <c r="B489" s="89" t="s">
        <v>55</v>
      </c>
      <c r="C489" s="89" t="s">
        <v>831</v>
      </c>
      <c r="D489" s="89"/>
      <c r="E489" s="90"/>
      <c r="F489" s="90"/>
      <c r="G489" s="90">
        <f t="shared" si="18"/>
        <v>0</v>
      </c>
      <c r="H489" s="91">
        <f t="shared" si="19"/>
        <v>0</v>
      </c>
    </row>
    <row r="490" spans="1:8" x14ac:dyDescent="0.3">
      <c r="A490" s="89" t="s">
        <v>1043</v>
      </c>
      <c r="B490" s="89" t="s">
        <v>56</v>
      </c>
      <c r="C490" s="89" t="s">
        <v>843</v>
      </c>
      <c r="D490" s="89"/>
      <c r="E490" s="90"/>
      <c r="F490" s="90"/>
      <c r="G490" s="90">
        <f t="shared" si="18"/>
        <v>0</v>
      </c>
      <c r="H490" s="91">
        <f t="shared" si="19"/>
        <v>0</v>
      </c>
    </row>
    <row r="491" spans="1:8" x14ac:dyDescent="0.3">
      <c r="A491" s="89" t="s">
        <v>1043</v>
      </c>
      <c r="B491" s="89" t="s">
        <v>57</v>
      </c>
      <c r="C491" s="89" t="s">
        <v>853</v>
      </c>
      <c r="D491" s="89" t="s">
        <v>762</v>
      </c>
      <c r="E491" s="90">
        <v>14</v>
      </c>
      <c r="F491" s="90">
        <v>6</v>
      </c>
      <c r="G491" s="90">
        <f t="shared" si="18"/>
        <v>8</v>
      </c>
      <c r="H491" s="91">
        <f t="shared" si="19"/>
        <v>42.857142857142854</v>
      </c>
    </row>
    <row r="492" spans="1:8" x14ac:dyDescent="0.3">
      <c r="A492" s="89" t="s">
        <v>1043</v>
      </c>
      <c r="B492" s="89" t="s">
        <v>75</v>
      </c>
      <c r="C492" s="89" t="s">
        <v>831</v>
      </c>
      <c r="D492" s="89"/>
      <c r="E492" s="90"/>
      <c r="F492" s="90"/>
      <c r="G492" s="90">
        <f t="shared" si="18"/>
        <v>0</v>
      </c>
      <c r="H492" s="91">
        <f t="shared" si="19"/>
        <v>0</v>
      </c>
    </row>
    <row r="493" spans="1:8" x14ac:dyDescent="0.3">
      <c r="A493" s="89" t="s">
        <v>1043</v>
      </c>
      <c r="B493" s="89" t="s">
        <v>76</v>
      </c>
      <c r="C493" s="89" t="s">
        <v>831</v>
      </c>
      <c r="D493" s="89"/>
      <c r="E493" s="90"/>
      <c r="F493" s="90"/>
      <c r="G493" s="90">
        <f t="shared" si="18"/>
        <v>0</v>
      </c>
      <c r="H493" s="91">
        <f t="shared" si="19"/>
        <v>0</v>
      </c>
    </row>
    <row r="494" spans="1:8" x14ac:dyDescent="0.3">
      <c r="A494" s="89" t="s">
        <v>1043</v>
      </c>
      <c r="B494" s="89" t="s">
        <v>77</v>
      </c>
      <c r="C494" s="89" t="s">
        <v>843</v>
      </c>
      <c r="D494" s="89" t="s">
        <v>862</v>
      </c>
      <c r="E494" s="90">
        <v>18</v>
      </c>
      <c r="F494" s="90">
        <v>5</v>
      </c>
      <c r="G494" s="90">
        <f t="shared" si="18"/>
        <v>13</v>
      </c>
      <c r="H494" s="91">
        <f t="shared" si="19"/>
        <v>27.777777777777779</v>
      </c>
    </row>
    <row r="495" spans="1:8" x14ac:dyDescent="0.3">
      <c r="A495" s="93" t="s">
        <v>1043</v>
      </c>
      <c r="B495" s="93" t="s">
        <v>78</v>
      </c>
      <c r="C495" s="93" t="s">
        <v>853</v>
      </c>
      <c r="D495" s="93" t="s">
        <v>862</v>
      </c>
      <c r="E495" s="92">
        <v>1</v>
      </c>
      <c r="F495" s="92">
        <v>1</v>
      </c>
      <c r="G495" s="92">
        <f t="shared" si="18"/>
        <v>0</v>
      </c>
      <c r="H495" s="94">
        <f t="shared" si="19"/>
        <v>100</v>
      </c>
    </row>
    <row r="496" spans="1:8" x14ac:dyDescent="0.3">
      <c r="A496" s="89" t="s">
        <v>1043</v>
      </c>
      <c r="B496" s="89" t="s">
        <v>87</v>
      </c>
      <c r="C496" s="89" t="s">
        <v>831</v>
      </c>
      <c r="D496" s="89"/>
      <c r="E496" s="90"/>
      <c r="F496" s="90"/>
      <c r="G496" s="90">
        <f t="shared" si="18"/>
        <v>0</v>
      </c>
      <c r="H496" s="91">
        <f t="shared" si="19"/>
        <v>0</v>
      </c>
    </row>
    <row r="497" spans="1:8" x14ac:dyDescent="0.3">
      <c r="A497" s="89" t="s">
        <v>1043</v>
      </c>
      <c r="B497" s="89" t="s">
        <v>88</v>
      </c>
      <c r="C497" s="89" t="s">
        <v>843</v>
      </c>
      <c r="D497" s="89" t="s">
        <v>862</v>
      </c>
      <c r="E497" s="90">
        <v>1</v>
      </c>
      <c r="F497" s="90">
        <v>1</v>
      </c>
      <c r="G497" s="90">
        <f t="shared" si="18"/>
        <v>0</v>
      </c>
      <c r="H497" s="91">
        <f t="shared" si="19"/>
        <v>100</v>
      </c>
    </row>
    <row r="498" spans="1:8" x14ac:dyDescent="0.3">
      <c r="A498" s="89" t="s">
        <v>1043</v>
      </c>
      <c r="B498" s="89" t="s">
        <v>89</v>
      </c>
      <c r="C498" s="89" t="s">
        <v>853</v>
      </c>
      <c r="D498" s="89" t="s">
        <v>762</v>
      </c>
      <c r="E498" s="90">
        <v>1</v>
      </c>
      <c r="F498" s="90">
        <v>1</v>
      </c>
      <c r="G498" s="90">
        <f t="shared" si="18"/>
        <v>0</v>
      </c>
      <c r="H498" s="91">
        <f t="shared" si="19"/>
        <v>100</v>
      </c>
    </row>
    <row r="499" spans="1:8" x14ac:dyDescent="0.3">
      <c r="A499" s="89" t="s">
        <v>1043</v>
      </c>
      <c r="B499" s="89" t="s">
        <v>96</v>
      </c>
      <c r="C499" s="89" t="s">
        <v>95</v>
      </c>
      <c r="D499" s="89" t="s">
        <v>862</v>
      </c>
      <c r="E499" s="90">
        <v>1</v>
      </c>
      <c r="F499" s="90">
        <v>1</v>
      </c>
      <c r="G499" s="90">
        <f t="shared" si="18"/>
        <v>0</v>
      </c>
      <c r="H499" s="91">
        <f t="shared" si="19"/>
        <v>100</v>
      </c>
    </row>
    <row r="500" spans="1:8" x14ac:dyDescent="0.3">
      <c r="A500" s="89" t="s">
        <v>1043</v>
      </c>
      <c r="B500" s="89" t="s">
        <v>107</v>
      </c>
      <c r="C500" s="89" t="s">
        <v>831</v>
      </c>
      <c r="D500" s="89"/>
      <c r="E500" s="90"/>
      <c r="F500" s="90"/>
      <c r="G500" s="90">
        <f t="shared" si="18"/>
        <v>0</v>
      </c>
      <c r="H500" s="91">
        <f t="shared" si="19"/>
        <v>0</v>
      </c>
    </row>
    <row r="501" spans="1:8" x14ac:dyDescent="0.3">
      <c r="A501" s="89" t="s">
        <v>1043</v>
      </c>
      <c r="B501" s="89" t="s">
        <v>108</v>
      </c>
      <c r="C501" s="89" t="s">
        <v>843</v>
      </c>
      <c r="D501" s="89" t="s">
        <v>862</v>
      </c>
      <c r="E501" s="90">
        <f>1168</f>
        <v>1168</v>
      </c>
      <c r="F501" s="90">
        <f>1100</f>
        <v>1100</v>
      </c>
      <c r="G501" s="90">
        <f t="shared" si="18"/>
        <v>68</v>
      </c>
      <c r="H501" s="91">
        <f t="shared" si="19"/>
        <v>94.178082191780817</v>
      </c>
    </row>
    <row r="502" spans="1:8" x14ac:dyDescent="0.3">
      <c r="A502" s="89" t="s">
        <v>1043</v>
      </c>
      <c r="B502" s="89" t="s">
        <v>109</v>
      </c>
      <c r="C502" s="89" t="s">
        <v>853</v>
      </c>
      <c r="D502" s="89" t="s">
        <v>744</v>
      </c>
      <c r="E502" s="90">
        <v>13</v>
      </c>
      <c r="F502" s="90">
        <v>0</v>
      </c>
      <c r="G502" s="90">
        <f t="shared" si="18"/>
        <v>13</v>
      </c>
      <c r="H502" s="91">
        <f t="shared" si="19"/>
        <v>0</v>
      </c>
    </row>
    <row r="503" spans="1:8" x14ac:dyDescent="0.3">
      <c r="A503" s="89" t="s">
        <v>1043</v>
      </c>
      <c r="B503" s="89" t="s">
        <v>113</v>
      </c>
      <c r="C503" s="89" t="s">
        <v>831</v>
      </c>
      <c r="D503" s="89"/>
      <c r="E503" s="90"/>
      <c r="F503" s="90"/>
      <c r="G503" s="90">
        <f t="shared" si="18"/>
        <v>0</v>
      </c>
      <c r="H503" s="91">
        <f t="shared" si="19"/>
        <v>0</v>
      </c>
    </row>
    <row r="504" spans="1:8" x14ac:dyDescent="0.3">
      <c r="A504" s="89" t="s">
        <v>1043</v>
      </c>
      <c r="B504" s="89" t="s">
        <v>114</v>
      </c>
      <c r="C504" s="89" t="s">
        <v>843</v>
      </c>
      <c r="D504" s="89" t="s">
        <v>862</v>
      </c>
      <c r="E504" s="90">
        <v>1285</v>
      </c>
      <c r="F504" s="90">
        <v>1128</v>
      </c>
      <c r="G504" s="90">
        <f t="shared" si="18"/>
        <v>157</v>
      </c>
      <c r="H504" s="91">
        <f t="shared" si="19"/>
        <v>87.782101167315176</v>
      </c>
    </row>
    <row r="505" spans="1:8" x14ac:dyDescent="0.3">
      <c r="A505" s="93" t="s">
        <v>1043</v>
      </c>
      <c r="B505" s="93" t="s">
        <v>115</v>
      </c>
      <c r="C505" s="93" t="s">
        <v>853</v>
      </c>
      <c r="D505" s="93" t="s">
        <v>862</v>
      </c>
      <c r="E505" s="92">
        <v>1</v>
      </c>
      <c r="F505" s="92">
        <v>1</v>
      </c>
      <c r="G505" s="92">
        <f t="shared" si="18"/>
        <v>0</v>
      </c>
      <c r="H505" s="94">
        <f t="shared" si="19"/>
        <v>100</v>
      </c>
    </row>
    <row r="506" spans="1:8" x14ac:dyDescent="0.3">
      <c r="A506" s="89" t="s">
        <v>1043</v>
      </c>
      <c r="B506" s="89" t="s">
        <v>120</v>
      </c>
      <c r="C506" s="89" t="s">
        <v>831</v>
      </c>
      <c r="D506" s="89"/>
      <c r="E506" s="90"/>
      <c r="F506" s="90"/>
      <c r="G506" s="90">
        <f t="shared" si="18"/>
        <v>0</v>
      </c>
      <c r="H506" s="91">
        <f t="shared" si="19"/>
        <v>0</v>
      </c>
    </row>
    <row r="507" spans="1:8" x14ac:dyDescent="0.3">
      <c r="A507" s="89" t="s">
        <v>1043</v>
      </c>
      <c r="B507" s="89" t="s">
        <v>126</v>
      </c>
      <c r="C507" s="89" t="s">
        <v>831</v>
      </c>
      <c r="D507" s="89"/>
      <c r="E507" s="90"/>
      <c r="F507" s="90"/>
      <c r="G507" s="90">
        <f t="shared" si="18"/>
        <v>0</v>
      </c>
      <c r="H507" s="91">
        <f t="shared" si="19"/>
        <v>0</v>
      </c>
    </row>
    <row r="508" spans="1:8" x14ac:dyDescent="0.3">
      <c r="A508" s="89" t="s">
        <v>1043</v>
      </c>
      <c r="B508" s="89" t="s">
        <v>127</v>
      </c>
      <c r="C508" s="89" t="s">
        <v>843</v>
      </c>
      <c r="D508" s="89" t="s">
        <v>862</v>
      </c>
      <c r="E508" s="90">
        <v>3</v>
      </c>
      <c r="F508" s="90">
        <v>3</v>
      </c>
      <c r="G508" s="90">
        <f t="shared" si="18"/>
        <v>0</v>
      </c>
      <c r="H508" s="91">
        <f t="shared" si="19"/>
        <v>100</v>
      </c>
    </row>
    <row r="509" spans="1:8" x14ac:dyDescent="0.3">
      <c r="A509" s="89" t="s">
        <v>1043</v>
      </c>
      <c r="B509" s="89" t="s">
        <v>128</v>
      </c>
      <c r="C509" s="89" t="s">
        <v>853</v>
      </c>
      <c r="D509" s="89" t="s">
        <v>862</v>
      </c>
      <c r="E509" s="90">
        <v>1</v>
      </c>
      <c r="F509" s="90">
        <v>1</v>
      </c>
      <c r="G509" s="90">
        <f t="shared" si="18"/>
        <v>0</v>
      </c>
      <c r="H509" s="91">
        <f t="shared" si="19"/>
        <v>100</v>
      </c>
    </row>
    <row r="510" spans="1:8" x14ac:dyDescent="0.3">
      <c r="A510" s="89" t="s">
        <v>1043</v>
      </c>
      <c r="B510" s="89" t="s">
        <v>129</v>
      </c>
      <c r="C510" s="89" t="s">
        <v>831</v>
      </c>
      <c r="D510" s="89"/>
      <c r="E510" s="90"/>
      <c r="F510" s="90"/>
      <c r="G510" s="90">
        <f t="shared" si="18"/>
        <v>0</v>
      </c>
      <c r="H510" s="91">
        <f t="shared" si="19"/>
        <v>0</v>
      </c>
    </row>
    <row r="511" spans="1:8" x14ac:dyDescent="0.3">
      <c r="A511" s="89" t="s">
        <v>1043</v>
      </c>
      <c r="B511" s="89" t="s">
        <v>130</v>
      </c>
      <c r="C511" s="89" t="s">
        <v>843</v>
      </c>
      <c r="D511" s="89" t="s">
        <v>862</v>
      </c>
      <c r="E511" s="90">
        <v>3</v>
      </c>
      <c r="F511" s="90">
        <v>3</v>
      </c>
      <c r="G511" s="90">
        <f t="shared" si="18"/>
        <v>0</v>
      </c>
      <c r="H511" s="91">
        <f t="shared" si="19"/>
        <v>100</v>
      </c>
    </row>
    <row r="512" spans="1:8" x14ac:dyDescent="0.3">
      <c r="A512" s="89" t="s">
        <v>1043</v>
      </c>
      <c r="B512" s="89" t="s">
        <v>131</v>
      </c>
      <c r="C512" s="89" t="s">
        <v>853</v>
      </c>
      <c r="D512" s="89" t="s">
        <v>862</v>
      </c>
      <c r="E512" s="90">
        <v>1</v>
      </c>
      <c r="F512" s="90">
        <v>1</v>
      </c>
      <c r="G512" s="90">
        <f t="shared" si="18"/>
        <v>0</v>
      </c>
      <c r="H512" s="91">
        <f t="shared" si="19"/>
        <v>100</v>
      </c>
    </row>
    <row r="513" spans="1:8" x14ac:dyDescent="0.3">
      <c r="A513" s="89" t="s">
        <v>1043</v>
      </c>
      <c r="B513" s="89" t="s">
        <v>141</v>
      </c>
      <c r="C513" s="89" t="s">
        <v>95</v>
      </c>
      <c r="D513" s="89"/>
      <c r="E513" s="90"/>
      <c r="F513" s="90"/>
      <c r="G513" s="90">
        <f t="shared" ref="G513:G576" si="20">+E513-F513</f>
        <v>0</v>
      </c>
      <c r="H513" s="91">
        <f t="shared" ref="H513:H576" si="21">IFERROR(IF(7&lt;&gt;0, F513*100/E513, IF(E513=F513, F513*100/E513, 0)), 0)</f>
        <v>0</v>
      </c>
    </row>
    <row r="514" spans="1:8" x14ac:dyDescent="0.3">
      <c r="A514" s="89" t="s">
        <v>1043</v>
      </c>
      <c r="B514" s="89" t="s">
        <v>155</v>
      </c>
      <c r="C514" s="89" t="s">
        <v>831</v>
      </c>
      <c r="D514" s="89"/>
      <c r="E514" s="90"/>
      <c r="F514" s="90"/>
      <c r="G514" s="90">
        <f t="shared" si="20"/>
        <v>0</v>
      </c>
      <c r="H514" s="91">
        <f t="shared" si="21"/>
        <v>0</v>
      </c>
    </row>
    <row r="515" spans="1:8" x14ac:dyDescent="0.3">
      <c r="A515" s="89" t="s">
        <v>1043</v>
      </c>
      <c r="B515" s="89" t="s">
        <v>156</v>
      </c>
      <c r="C515" s="89" t="s">
        <v>843</v>
      </c>
      <c r="D515" s="89"/>
      <c r="E515" s="90"/>
      <c r="F515" s="90"/>
      <c r="G515" s="90">
        <f t="shared" si="20"/>
        <v>0</v>
      </c>
      <c r="H515" s="91">
        <f t="shared" si="21"/>
        <v>0</v>
      </c>
    </row>
    <row r="516" spans="1:8" x14ac:dyDescent="0.3">
      <c r="A516" s="89" t="s">
        <v>1043</v>
      </c>
      <c r="B516" s="89" t="s">
        <v>157</v>
      </c>
      <c r="C516" s="89" t="s">
        <v>853</v>
      </c>
      <c r="D516" s="89"/>
      <c r="E516" s="90"/>
      <c r="F516" s="90"/>
      <c r="G516" s="90">
        <f t="shared" si="20"/>
        <v>0</v>
      </c>
      <c r="H516" s="91">
        <f t="shared" si="21"/>
        <v>0</v>
      </c>
    </row>
    <row r="517" spans="1:8" x14ac:dyDescent="0.3">
      <c r="A517" s="89" t="s">
        <v>1043</v>
      </c>
      <c r="B517" s="89" t="s">
        <v>164</v>
      </c>
      <c r="C517" s="89" t="s">
        <v>95</v>
      </c>
      <c r="D517" s="89" t="s">
        <v>862</v>
      </c>
      <c r="E517" s="90">
        <v>1</v>
      </c>
      <c r="F517" s="90">
        <v>1</v>
      </c>
      <c r="G517" s="90">
        <f t="shared" si="20"/>
        <v>0</v>
      </c>
      <c r="H517" s="91">
        <f t="shared" si="21"/>
        <v>100</v>
      </c>
    </row>
    <row r="518" spans="1:8" x14ac:dyDescent="0.3">
      <c r="A518" s="89" t="s">
        <v>1043</v>
      </c>
      <c r="B518" s="89" t="s">
        <v>167</v>
      </c>
      <c r="C518" s="89" t="s">
        <v>863</v>
      </c>
      <c r="D518" s="89"/>
      <c r="E518" s="90"/>
      <c r="F518" s="90"/>
      <c r="G518" s="90">
        <f t="shared" si="20"/>
        <v>0</v>
      </c>
      <c r="H518" s="91">
        <f t="shared" si="21"/>
        <v>0</v>
      </c>
    </row>
    <row r="519" spans="1:8" x14ac:dyDescent="0.3">
      <c r="A519" s="89" t="s">
        <v>1043</v>
      </c>
      <c r="B519" s="89" t="s">
        <v>169</v>
      </c>
      <c r="C519" s="89" t="s">
        <v>863</v>
      </c>
      <c r="D519" s="89" t="s">
        <v>862</v>
      </c>
      <c r="E519" s="90"/>
      <c r="F519" s="90"/>
      <c r="G519" s="90">
        <f t="shared" si="20"/>
        <v>0</v>
      </c>
      <c r="H519" s="91">
        <f t="shared" si="21"/>
        <v>0</v>
      </c>
    </row>
    <row r="520" spans="1:8" x14ac:dyDescent="0.3">
      <c r="A520" s="89" t="s">
        <v>1043</v>
      </c>
      <c r="B520" s="89" t="s">
        <v>171</v>
      </c>
      <c r="C520" s="89" t="s">
        <v>863</v>
      </c>
      <c r="D520" s="89" t="s">
        <v>862</v>
      </c>
      <c r="E520" s="90"/>
      <c r="F520" s="90"/>
      <c r="G520" s="90">
        <f t="shared" si="20"/>
        <v>0</v>
      </c>
      <c r="H520" s="91">
        <f t="shared" si="21"/>
        <v>0</v>
      </c>
    </row>
    <row r="521" spans="1:8" x14ac:dyDescent="0.3">
      <c r="A521" s="89" t="s">
        <v>1043</v>
      </c>
      <c r="B521" s="89" t="s">
        <v>172</v>
      </c>
      <c r="C521" s="89" t="s">
        <v>863</v>
      </c>
      <c r="D521" s="89" t="s">
        <v>862</v>
      </c>
      <c r="E521" s="90"/>
      <c r="F521" s="90"/>
      <c r="G521" s="90">
        <f t="shared" si="20"/>
        <v>0</v>
      </c>
      <c r="H521" s="91">
        <f t="shared" si="21"/>
        <v>0</v>
      </c>
    </row>
    <row r="522" spans="1:8" x14ac:dyDescent="0.3">
      <c r="A522" s="89" t="s">
        <v>1043</v>
      </c>
      <c r="B522" s="89" t="s">
        <v>174</v>
      </c>
      <c r="C522" s="89" t="s">
        <v>95</v>
      </c>
      <c r="D522" s="89" t="s">
        <v>862</v>
      </c>
      <c r="E522" s="90">
        <v>2</v>
      </c>
      <c r="F522" s="90">
        <v>0</v>
      </c>
      <c r="G522" s="90">
        <f t="shared" si="20"/>
        <v>2</v>
      </c>
      <c r="H522" s="91">
        <f t="shared" si="21"/>
        <v>0</v>
      </c>
    </row>
    <row r="523" spans="1:8" x14ac:dyDescent="0.3">
      <c r="A523" s="89" t="s">
        <v>1043</v>
      </c>
      <c r="B523" s="89" t="s">
        <v>1012</v>
      </c>
      <c r="C523" s="89" t="s">
        <v>863</v>
      </c>
      <c r="D523" s="89" t="s">
        <v>862</v>
      </c>
      <c r="E523" s="90"/>
      <c r="F523" s="90"/>
      <c r="G523" s="90">
        <f t="shared" si="20"/>
        <v>0</v>
      </c>
      <c r="H523" s="91">
        <f t="shared" si="21"/>
        <v>0</v>
      </c>
    </row>
    <row r="524" spans="1:8" x14ac:dyDescent="0.3">
      <c r="A524" s="89" t="s">
        <v>1043</v>
      </c>
      <c r="B524" s="89" t="s">
        <v>1013</v>
      </c>
      <c r="C524" s="89" t="s">
        <v>863</v>
      </c>
      <c r="D524" s="89" t="s">
        <v>862</v>
      </c>
      <c r="E524" s="90"/>
      <c r="F524" s="90"/>
      <c r="G524" s="90">
        <f t="shared" si="20"/>
        <v>0</v>
      </c>
      <c r="H524" s="91">
        <f t="shared" si="21"/>
        <v>0</v>
      </c>
    </row>
    <row r="525" spans="1:8" x14ac:dyDescent="0.3">
      <c r="A525" s="89" t="s">
        <v>1043</v>
      </c>
      <c r="B525" s="89" t="s">
        <v>1014</v>
      </c>
      <c r="C525" s="89" t="s">
        <v>863</v>
      </c>
      <c r="D525" s="89" t="s">
        <v>862</v>
      </c>
      <c r="E525" s="90"/>
      <c r="F525" s="90"/>
      <c r="G525" s="90">
        <f t="shared" si="20"/>
        <v>0</v>
      </c>
      <c r="H525" s="91">
        <f t="shared" si="21"/>
        <v>0</v>
      </c>
    </row>
    <row r="526" spans="1:8" x14ac:dyDescent="0.3">
      <c r="A526" s="89" t="s">
        <v>1043</v>
      </c>
      <c r="B526" s="89" t="s">
        <v>179</v>
      </c>
      <c r="C526" s="89" t="s">
        <v>863</v>
      </c>
      <c r="D526" s="89"/>
      <c r="E526" s="90"/>
      <c r="F526" s="90"/>
      <c r="G526" s="90">
        <f t="shared" si="20"/>
        <v>0</v>
      </c>
      <c r="H526" s="91">
        <f t="shared" si="21"/>
        <v>0</v>
      </c>
    </row>
    <row r="527" spans="1:8" x14ac:dyDescent="0.3">
      <c r="A527" s="89" t="s">
        <v>1043</v>
      </c>
      <c r="B527" s="89" t="s">
        <v>181</v>
      </c>
      <c r="C527" s="89" t="s">
        <v>863</v>
      </c>
      <c r="D527" s="89"/>
      <c r="E527" s="90"/>
      <c r="F527" s="90"/>
      <c r="G527" s="90">
        <f t="shared" si="20"/>
        <v>0</v>
      </c>
      <c r="H527" s="91">
        <f t="shared" si="21"/>
        <v>0</v>
      </c>
    </row>
    <row r="528" spans="1:8" x14ac:dyDescent="0.3">
      <c r="A528" s="101" t="s">
        <v>1035</v>
      </c>
      <c r="B528" s="101" t="s">
        <v>189</v>
      </c>
      <c r="C528" s="101" t="s">
        <v>831</v>
      </c>
      <c r="D528" s="101" t="s">
        <v>1033</v>
      </c>
      <c r="E528" s="101">
        <v>12</v>
      </c>
      <c r="F528" s="101">
        <v>12</v>
      </c>
      <c r="G528" s="90">
        <f t="shared" si="20"/>
        <v>0</v>
      </c>
      <c r="H528" s="91">
        <f t="shared" si="21"/>
        <v>100</v>
      </c>
    </row>
    <row r="529" spans="1:8" x14ac:dyDescent="0.3">
      <c r="A529" s="89" t="s">
        <v>1043</v>
      </c>
      <c r="B529" s="89" t="s">
        <v>190</v>
      </c>
      <c r="C529" s="89" t="s">
        <v>843</v>
      </c>
      <c r="D529" s="89" t="s">
        <v>862</v>
      </c>
      <c r="E529" s="90">
        <v>73</v>
      </c>
      <c r="F529" s="90">
        <v>73</v>
      </c>
      <c r="G529" s="90">
        <f t="shared" si="20"/>
        <v>0</v>
      </c>
      <c r="H529" s="91">
        <f t="shared" si="21"/>
        <v>100</v>
      </c>
    </row>
    <row r="530" spans="1:8" x14ac:dyDescent="0.3">
      <c r="A530" s="89" t="s">
        <v>1043</v>
      </c>
      <c r="B530" s="89" t="s">
        <v>191</v>
      </c>
      <c r="C530" s="89" t="s">
        <v>853</v>
      </c>
      <c r="D530" s="89" t="s">
        <v>862</v>
      </c>
      <c r="E530" s="90">
        <v>1</v>
      </c>
      <c r="F530" s="90">
        <v>1</v>
      </c>
      <c r="G530" s="90">
        <f t="shared" si="20"/>
        <v>0</v>
      </c>
      <c r="H530" s="91">
        <f t="shared" si="21"/>
        <v>100</v>
      </c>
    </row>
    <row r="531" spans="1:8" x14ac:dyDescent="0.3">
      <c r="A531" s="89" t="s">
        <v>1043</v>
      </c>
      <c r="B531" s="89" t="s">
        <v>193</v>
      </c>
      <c r="C531" s="89" t="s">
        <v>95</v>
      </c>
      <c r="D531" s="89"/>
      <c r="E531" s="90"/>
      <c r="F531" s="90"/>
      <c r="G531" s="90">
        <f t="shared" si="20"/>
        <v>0</v>
      </c>
      <c r="H531" s="91">
        <f t="shared" si="21"/>
        <v>0</v>
      </c>
    </row>
    <row r="532" spans="1:8" x14ac:dyDescent="0.3">
      <c r="A532" s="89" t="s">
        <v>1043</v>
      </c>
      <c r="B532" s="89" t="s">
        <v>203</v>
      </c>
      <c r="C532" s="89" t="s">
        <v>95</v>
      </c>
      <c r="D532" s="89"/>
      <c r="E532" s="90"/>
      <c r="F532" s="90"/>
      <c r="G532" s="90">
        <f t="shared" si="20"/>
        <v>0</v>
      </c>
      <c r="H532" s="91">
        <f t="shared" si="21"/>
        <v>0</v>
      </c>
    </row>
    <row r="533" spans="1:8" x14ac:dyDescent="0.3">
      <c r="A533" s="89" t="s">
        <v>1044</v>
      </c>
      <c r="B533" s="89" t="s">
        <v>47</v>
      </c>
      <c r="C533" s="89" t="s">
        <v>831</v>
      </c>
      <c r="D533" s="89"/>
      <c r="E533" s="90"/>
      <c r="F533" s="90"/>
      <c r="G533" s="90">
        <f t="shared" si="20"/>
        <v>0</v>
      </c>
      <c r="H533" s="91">
        <f t="shared" si="21"/>
        <v>0</v>
      </c>
    </row>
    <row r="534" spans="1:8" x14ac:dyDescent="0.3">
      <c r="A534" s="89" t="s">
        <v>1044</v>
      </c>
      <c r="B534" s="89" t="s">
        <v>49</v>
      </c>
      <c r="C534" s="89" t="s">
        <v>843</v>
      </c>
      <c r="D534" s="89" t="s">
        <v>862</v>
      </c>
      <c r="E534" s="90">
        <v>18</v>
      </c>
      <c r="F534" s="90">
        <v>18</v>
      </c>
      <c r="G534" s="90">
        <f t="shared" si="20"/>
        <v>0</v>
      </c>
      <c r="H534" s="91">
        <f t="shared" si="21"/>
        <v>100</v>
      </c>
    </row>
    <row r="535" spans="1:8" x14ac:dyDescent="0.3">
      <c r="A535" s="89" t="s">
        <v>1044</v>
      </c>
      <c r="B535" s="89" t="s">
        <v>1032</v>
      </c>
      <c r="C535" s="89" t="s">
        <v>843</v>
      </c>
      <c r="D535" s="89" t="s">
        <v>862</v>
      </c>
      <c r="E535" s="95">
        <v>44</v>
      </c>
      <c r="F535" s="95">
        <v>45</v>
      </c>
      <c r="G535" s="90">
        <f t="shared" si="20"/>
        <v>-1</v>
      </c>
      <c r="H535" s="91">
        <f t="shared" si="21"/>
        <v>102.27272727272727</v>
      </c>
    </row>
    <row r="536" spans="1:8" x14ac:dyDescent="0.3">
      <c r="A536" s="89" t="s">
        <v>1044</v>
      </c>
      <c r="B536" s="89" t="s">
        <v>51</v>
      </c>
      <c r="C536" s="89" t="s">
        <v>853</v>
      </c>
      <c r="D536" s="89" t="s">
        <v>862</v>
      </c>
      <c r="E536" s="90">
        <v>53</v>
      </c>
      <c r="F536" s="90">
        <v>50</v>
      </c>
      <c r="G536" s="90">
        <f t="shared" si="20"/>
        <v>3</v>
      </c>
      <c r="H536" s="91">
        <f t="shared" si="21"/>
        <v>94.339622641509436</v>
      </c>
    </row>
    <row r="537" spans="1:8" x14ac:dyDescent="0.3">
      <c r="A537" s="89" t="s">
        <v>1044</v>
      </c>
      <c r="B537" s="89" t="s">
        <v>55</v>
      </c>
      <c r="C537" s="89" t="s">
        <v>831</v>
      </c>
      <c r="D537" s="89"/>
      <c r="E537" s="90"/>
      <c r="F537" s="90"/>
      <c r="G537" s="90">
        <f t="shared" si="20"/>
        <v>0</v>
      </c>
      <c r="H537" s="91">
        <f t="shared" si="21"/>
        <v>0</v>
      </c>
    </row>
    <row r="538" spans="1:8" x14ac:dyDescent="0.3">
      <c r="A538" s="89" t="s">
        <v>1044</v>
      </c>
      <c r="B538" s="89" t="s">
        <v>56</v>
      </c>
      <c r="C538" s="89" t="s">
        <v>843</v>
      </c>
      <c r="D538" s="89"/>
      <c r="E538" s="90"/>
      <c r="F538" s="90"/>
      <c r="G538" s="90">
        <f t="shared" si="20"/>
        <v>0</v>
      </c>
      <c r="H538" s="91">
        <f t="shared" si="21"/>
        <v>0</v>
      </c>
    </row>
    <row r="539" spans="1:8" x14ac:dyDescent="0.3">
      <c r="A539" s="89" t="s">
        <v>1044</v>
      </c>
      <c r="B539" s="89" t="s">
        <v>57</v>
      </c>
      <c r="C539" s="89" t="s">
        <v>853</v>
      </c>
      <c r="D539" s="89" t="s">
        <v>762</v>
      </c>
      <c r="E539" s="90">
        <v>55</v>
      </c>
      <c r="F539" s="90">
        <v>41</v>
      </c>
      <c r="G539" s="90">
        <f t="shared" si="20"/>
        <v>14</v>
      </c>
      <c r="H539" s="91">
        <f t="shared" si="21"/>
        <v>74.545454545454547</v>
      </c>
    </row>
    <row r="540" spans="1:8" x14ac:dyDescent="0.3">
      <c r="A540" s="89" t="s">
        <v>1044</v>
      </c>
      <c r="B540" s="89" t="s">
        <v>75</v>
      </c>
      <c r="C540" s="89" t="s">
        <v>831</v>
      </c>
      <c r="D540" s="89"/>
      <c r="E540" s="90"/>
      <c r="F540" s="90"/>
      <c r="G540" s="90">
        <f t="shared" si="20"/>
        <v>0</v>
      </c>
      <c r="H540" s="91">
        <f t="shared" si="21"/>
        <v>0</v>
      </c>
    </row>
    <row r="541" spans="1:8" x14ac:dyDescent="0.3">
      <c r="A541" s="89" t="s">
        <v>1044</v>
      </c>
      <c r="B541" s="89" t="s">
        <v>76</v>
      </c>
      <c r="C541" s="89" t="s">
        <v>831</v>
      </c>
      <c r="D541" s="89"/>
      <c r="E541" s="90"/>
      <c r="F541" s="90"/>
      <c r="G541" s="90">
        <f t="shared" si="20"/>
        <v>0</v>
      </c>
      <c r="H541" s="91">
        <f t="shared" si="21"/>
        <v>0</v>
      </c>
    </row>
    <row r="542" spans="1:8" x14ac:dyDescent="0.3">
      <c r="A542" s="89" t="s">
        <v>1044</v>
      </c>
      <c r="B542" s="89" t="s">
        <v>77</v>
      </c>
      <c r="C542" s="89" t="s">
        <v>843</v>
      </c>
      <c r="D542" s="89" t="s">
        <v>862</v>
      </c>
      <c r="E542" s="90">
        <v>15</v>
      </c>
      <c r="F542" s="90">
        <v>7</v>
      </c>
      <c r="G542" s="90">
        <f t="shared" si="20"/>
        <v>8</v>
      </c>
      <c r="H542" s="91">
        <f t="shared" si="21"/>
        <v>46.666666666666664</v>
      </c>
    </row>
    <row r="543" spans="1:8" x14ac:dyDescent="0.3">
      <c r="A543" s="93" t="s">
        <v>1044</v>
      </c>
      <c r="B543" s="93" t="s">
        <v>78</v>
      </c>
      <c r="C543" s="93" t="s">
        <v>853</v>
      </c>
      <c r="D543" s="93" t="s">
        <v>862</v>
      </c>
      <c r="E543" s="92">
        <v>1</v>
      </c>
      <c r="F543" s="92">
        <v>1</v>
      </c>
      <c r="G543" s="92">
        <f t="shared" si="20"/>
        <v>0</v>
      </c>
      <c r="H543" s="94">
        <f t="shared" si="21"/>
        <v>100</v>
      </c>
    </row>
    <row r="544" spans="1:8" x14ac:dyDescent="0.3">
      <c r="A544" s="89" t="s">
        <v>1044</v>
      </c>
      <c r="B544" s="89" t="s">
        <v>87</v>
      </c>
      <c r="C544" s="89" t="s">
        <v>831</v>
      </c>
      <c r="D544" s="89"/>
      <c r="E544" s="90"/>
      <c r="F544" s="90"/>
      <c r="G544" s="90">
        <f t="shared" si="20"/>
        <v>0</v>
      </c>
      <c r="H544" s="91">
        <f t="shared" si="21"/>
        <v>0</v>
      </c>
    </row>
    <row r="545" spans="1:8" x14ac:dyDescent="0.3">
      <c r="A545" s="89" t="s">
        <v>1044</v>
      </c>
      <c r="B545" s="89" t="s">
        <v>88</v>
      </c>
      <c r="C545" s="89" t="s">
        <v>843</v>
      </c>
      <c r="D545" s="89" t="s">
        <v>862</v>
      </c>
      <c r="E545" s="90">
        <v>1</v>
      </c>
      <c r="F545" s="90">
        <v>1</v>
      </c>
      <c r="G545" s="90">
        <f t="shared" si="20"/>
        <v>0</v>
      </c>
      <c r="H545" s="91">
        <f t="shared" si="21"/>
        <v>100</v>
      </c>
    </row>
    <row r="546" spans="1:8" x14ac:dyDescent="0.3">
      <c r="A546" s="89" t="s">
        <v>1044</v>
      </c>
      <c r="B546" s="89" t="s">
        <v>89</v>
      </c>
      <c r="C546" s="89" t="s">
        <v>853</v>
      </c>
      <c r="D546" s="89" t="s">
        <v>762</v>
      </c>
      <c r="E546" s="90">
        <v>1</v>
      </c>
      <c r="F546" s="90">
        <v>1</v>
      </c>
      <c r="G546" s="90">
        <f t="shared" si="20"/>
        <v>0</v>
      </c>
      <c r="H546" s="91">
        <f t="shared" si="21"/>
        <v>100</v>
      </c>
    </row>
    <row r="547" spans="1:8" x14ac:dyDescent="0.3">
      <c r="A547" s="89" t="s">
        <v>1044</v>
      </c>
      <c r="B547" s="89" t="s">
        <v>96</v>
      </c>
      <c r="C547" s="89" t="s">
        <v>95</v>
      </c>
      <c r="D547" s="89" t="s">
        <v>862</v>
      </c>
      <c r="E547" s="90">
        <v>1</v>
      </c>
      <c r="F547" s="90">
        <v>1</v>
      </c>
      <c r="G547" s="90">
        <f t="shared" si="20"/>
        <v>0</v>
      </c>
      <c r="H547" s="91">
        <f t="shared" si="21"/>
        <v>100</v>
      </c>
    </row>
    <row r="548" spans="1:8" x14ac:dyDescent="0.3">
      <c r="A548" s="89" t="s">
        <v>1044</v>
      </c>
      <c r="B548" s="89" t="s">
        <v>107</v>
      </c>
      <c r="C548" s="89" t="s">
        <v>831</v>
      </c>
      <c r="D548" s="89"/>
      <c r="E548" s="90"/>
      <c r="F548" s="90"/>
      <c r="G548" s="90">
        <f t="shared" si="20"/>
        <v>0</v>
      </c>
      <c r="H548" s="91">
        <f t="shared" si="21"/>
        <v>0</v>
      </c>
    </row>
    <row r="549" spans="1:8" x14ac:dyDescent="0.3">
      <c r="A549" s="89" t="s">
        <v>1044</v>
      </c>
      <c r="B549" s="89" t="s">
        <v>108</v>
      </c>
      <c r="C549" s="89" t="s">
        <v>843</v>
      </c>
      <c r="D549" s="89" t="s">
        <v>862</v>
      </c>
      <c r="E549" s="90">
        <f>1046</f>
        <v>1046</v>
      </c>
      <c r="F549" s="90">
        <f>961</f>
        <v>961</v>
      </c>
      <c r="G549" s="90">
        <f t="shared" si="20"/>
        <v>85</v>
      </c>
      <c r="H549" s="91">
        <f t="shared" si="21"/>
        <v>91.873804971319316</v>
      </c>
    </row>
    <row r="550" spans="1:8" x14ac:dyDescent="0.3">
      <c r="A550" s="89" t="s">
        <v>1044</v>
      </c>
      <c r="B550" s="89" t="s">
        <v>109</v>
      </c>
      <c r="C550" s="89" t="s">
        <v>853</v>
      </c>
      <c r="D550" s="89" t="s">
        <v>744</v>
      </c>
      <c r="E550" s="90">
        <v>52</v>
      </c>
      <c r="F550" s="90">
        <v>0</v>
      </c>
      <c r="G550" s="90">
        <f t="shared" si="20"/>
        <v>52</v>
      </c>
      <c r="H550" s="91">
        <f t="shared" si="21"/>
        <v>0</v>
      </c>
    </row>
    <row r="551" spans="1:8" x14ac:dyDescent="0.3">
      <c r="A551" s="89" t="s">
        <v>1044</v>
      </c>
      <c r="B551" s="89" t="s">
        <v>113</v>
      </c>
      <c r="C551" s="89" t="s">
        <v>831</v>
      </c>
      <c r="D551" s="89"/>
      <c r="E551" s="90"/>
      <c r="F551" s="90"/>
      <c r="G551" s="90">
        <f t="shared" si="20"/>
        <v>0</v>
      </c>
      <c r="H551" s="91">
        <f t="shared" si="21"/>
        <v>0</v>
      </c>
    </row>
    <row r="552" spans="1:8" x14ac:dyDescent="0.3">
      <c r="A552" s="89" t="s">
        <v>1044</v>
      </c>
      <c r="B552" s="89" t="s">
        <v>114</v>
      </c>
      <c r="C552" s="89" t="s">
        <v>843</v>
      </c>
      <c r="D552" s="89" t="s">
        <v>862</v>
      </c>
      <c r="E552" s="90">
        <v>1202</v>
      </c>
      <c r="F552" s="90">
        <v>1039</v>
      </c>
      <c r="G552" s="90">
        <f t="shared" si="20"/>
        <v>163</v>
      </c>
      <c r="H552" s="91">
        <f t="shared" si="21"/>
        <v>86.439267886855248</v>
      </c>
    </row>
    <row r="553" spans="1:8" x14ac:dyDescent="0.3">
      <c r="A553" s="93" t="s">
        <v>1044</v>
      </c>
      <c r="B553" s="93" t="s">
        <v>115</v>
      </c>
      <c r="C553" s="93" t="s">
        <v>853</v>
      </c>
      <c r="D553" s="93" t="s">
        <v>862</v>
      </c>
      <c r="E553" s="92">
        <v>1</v>
      </c>
      <c r="F553" s="92">
        <v>1</v>
      </c>
      <c r="G553" s="92">
        <f t="shared" si="20"/>
        <v>0</v>
      </c>
      <c r="H553" s="94">
        <f t="shared" si="21"/>
        <v>100</v>
      </c>
    </row>
    <row r="554" spans="1:8" x14ac:dyDescent="0.3">
      <c r="A554" s="89" t="s">
        <v>1044</v>
      </c>
      <c r="B554" s="89" t="s">
        <v>120</v>
      </c>
      <c r="C554" s="89" t="s">
        <v>831</v>
      </c>
      <c r="D554" s="89"/>
      <c r="E554" s="90"/>
      <c r="F554" s="90"/>
      <c r="G554" s="90">
        <f t="shared" si="20"/>
        <v>0</v>
      </c>
      <c r="H554" s="91">
        <f t="shared" si="21"/>
        <v>0</v>
      </c>
    </row>
    <row r="555" spans="1:8" x14ac:dyDescent="0.3">
      <c r="A555" s="89" t="s">
        <v>1044</v>
      </c>
      <c r="B555" s="89" t="s">
        <v>126</v>
      </c>
      <c r="C555" s="89" t="s">
        <v>831</v>
      </c>
      <c r="D555" s="89"/>
      <c r="E555" s="90"/>
      <c r="F555" s="90"/>
      <c r="G555" s="90">
        <f t="shared" si="20"/>
        <v>0</v>
      </c>
      <c r="H555" s="91">
        <f t="shared" si="21"/>
        <v>0</v>
      </c>
    </row>
    <row r="556" spans="1:8" x14ac:dyDescent="0.3">
      <c r="A556" s="89" t="s">
        <v>1044</v>
      </c>
      <c r="B556" s="89" t="s">
        <v>127</v>
      </c>
      <c r="C556" s="89" t="s">
        <v>843</v>
      </c>
      <c r="D556" s="89" t="s">
        <v>862</v>
      </c>
      <c r="E556" s="90">
        <v>2</v>
      </c>
      <c r="F556" s="90">
        <v>2</v>
      </c>
      <c r="G556" s="90">
        <f t="shared" si="20"/>
        <v>0</v>
      </c>
      <c r="H556" s="91">
        <f t="shared" si="21"/>
        <v>100</v>
      </c>
    </row>
    <row r="557" spans="1:8" x14ac:dyDescent="0.3">
      <c r="A557" s="89" t="s">
        <v>1044</v>
      </c>
      <c r="B557" s="89" t="s">
        <v>128</v>
      </c>
      <c r="C557" s="89" t="s">
        <v>853</v>
      </c>
      <c r="D557" s="89" t="s">
        <v>862</v>
      </c>
      <c r="E557" s="90">
        <v>1</v>
      </c>
      <c r="F557" s="90">
        <v>1</v>
      </c>
      <c r="G557" s="90">
        <f t="shared" si="20"/>
        <v>0</v>
      </c>
      <c r="H557" s="91">
        <f t="shared" si="21"/>
        <v>100</v>
      </c>
    </row>
    <row r="558" spans="1:8" x14ac:dyDescent="0.3">
      <c r="A558" s="89" t="s">
        <v>1044</v>
      </c>
      <c r="B558" s="89" t="s">
        <v>129</v>
      </c>
      <c r="C558" s="89" t="s">
        <v>831</v>
      </c>
      <c r="D558" s="89"/>
      <c r="E558" s="90"/>
      <c r="F558" s="90"/>
      <c r="G558" s="90">
        <f t="shared" si="20"/>
        <v>0</v>
      </c>
      <c r="H558" s="91">
        <f t="shared" si="21"/>
        <v>0</v>
      </c>
    </row>
    <row r="559" spans="1:8" x14ac:dyDescent="0.3">
      <c r="A559" s="89" t="s">
        <v>1044</v>
      </c>
      <c r="B559" s="89" t="s">
        <v>130</v>
      </c>
      <c r="C559" s="89" t="s">
        <v>843</v>
      </c>
      <c r="D559" s="89" t="s">
        <v>862</v>
      </c>
      <c r="E559" s="90">
        <v>1</v>
      </c>
      <c r="F559" s="90">
        <v>1</v>
      </c>
      <c r="G559" s="90">
        <f t="shared" si="20"/>
        <v>0</v>
      </c>
      <c r="H559" s="91">
        <f t="shared" si="21"/>
        <v>100</v>
      </c>
    </row>
    <row r="560" spans="1:8" x14ac:dyDescent="0.3">
      <c r="A560" s="89" t="s">
        <v>1044</v>
      </c>
      <c r="B560" s="89" t="s">
        <v>131</v>
      </c>
      <c r="C560" s="89" t="s">
        <v>853</v>
      </c>
      <c r="D560" s="89" t="s">
        <v>862</v>
      </c>
      <c r="E560" s="90">
        <v>1</v>
      </c>
      <c r="F560" s="90">
        <v>1</v>
      </c>
      <c r="G560" s="90">
        <f t="shared" si="20"/>
        <v>0</v>
      </c>
      <c r="H560" s="91">
        <f t="shared" si="21"/>
        <v>100</v>
      </c>
    </row>
    <row r="561" spans="1:8" x14ac:dyDescent="0.3">
      <c r="A561" s="89" t="s">
        <v>1044</v>
      </c>
      <c r="B561" s="89" t="s">
        <v>141</v>
      </c>
      <c r="C561" s="89" t="s">
        <v>95</v>
      </c>
      <c r="D561" s="89"/>
      <c r="E561" s="90"/>
      <c r="F561" s="90"/>
      <c r="G561" s="90">
        <f t="shared" si="20"/>
        <v>0</v>
      </c>
      <c r="H561" s="91">
        <f t="shared" si="21"/>
        <v>0</v>
      </c>
    </row>
    <row r="562" spans="1:8" x14ac:dyDescent="0.3">
      <c r="A562" s="89" t="s">
        <v>1044</v>
      </c>
      <c r="B562" s="89" t="s">
        <v>155</v>
      </c>
      <c r="C562" s="89" t="s">
        <v>831</v>
      </c>
      <c r="D562" s="89"/>
      <c r="E562" s="90"/>
      <c r="F562" s="90"/>
      <c r="G562" s="90">
        <f t="shared" si="20"/>
        <v>0</v>
      </c>
      <c r="H562" s="91">
        <f t="shared" si="21"/>
        <v>0</v>
      </c>
    </row>
    <row r="563" spans="1:8" x14ac:dyDescent="0.3">
      <c r="A563" s="89" t="s">
        <v>1044</v>
      </c>
      <c r="B563" s="89" t="s">
        <v>156</v>
      </c>
      <c r="C563" s="89" t="s">
        <v>843</v>
      </c>
      <c r="D563" s="89"/>
      <c r="E563" s="90"/>
      <c r="F563" s="90"/>
      <c r="G563" s="90">
        <f t="shared" si="20"/>
        <v>0</v>
      </c>
      <c r="H563" s="91">
        <f t="shared" si="21"/>
        <v>0</v>
      </c>
    </row>
    <row r="564" spans="1:8" x14ac:dyDescent="0.3">
      <c r="A564" s="89" t="s">
        <v>1044</v>
      </c>
      <c r="B564" s="89" t="s">
        <v>157</v>
      </c>
      <c r="C564" s="89" t="s">
        <v>853</v>
      </c>
      <c r="D564" s="89"/>
      <c r="E564" s="90"/>
      <c r="F564" s="90"/>
      <c r="G564" s="90">
        <f t="shared" si="20"/>
        <v>0</v>
      </c>
      <c r="H564" s="91">
        <f t="shared" si="21"/>
        <v>0</v>
      </c>
    </row>
    <row r="565" spans="1:8" x14ac:dyDescent="0.3">
      <c r="A565" s="89" t="s">
        <v>1044</v>
      </c>
      <c r="B565" s="89" t="s">
        <v>164</v>
      </c>
      <c r="C565" s="89" t="s">
        <v>95</v>
      </c>
      <c r="D565" s="89" t="s">
        <v>862</v>
      </c>
      <c r="E565" s="90">
        <v>1</v>
      </c>
      <c r="F565" s="90">
        <v>1</v>
      </c>
      <c r="G565" s="90">
        <f t="shared" si="20"/>
        <v>0</v>
      </c>
      <c r="H565" s="91">
        <f t="shared" si="21"/>
        <v>100</v>
      </c>
    </row>
    <row r="566" spans="1:8" x14ac:dyDescent="0.3">
      <c r="A566" s="89" t="s">
        <v>1044</v>
      </c>
      <c r="B566" s="89" t="s">
        <v>167</v>
      </c>
      <c r="C566" s="89" t="s">
        <v>863</v>
      </c>
      <c r="D566" s="89"/>
      <c r="E566" s="90"/>
      <c r="F566" s="90"/>
      <c r="G566" s="90">
        <f t="shared" si="20"/>
        <v>0</v>
      </c>
      <c r="H566" s="91">
        <f t="shared" si="21"/>
        <v>0</v>
      </c>
    </row>
    <row r="567" spans="1:8" x14ac:dyDescent="0.3">
      <c r="A567" s="89" t="s">
        <v>1044</v>
      </c>
      <c r="B567" s="89" t="s">
        <v>169</v>
      </c>
      <c r="C567" s="89" t="s">
        <v>863</v>
      </c>
      <c r="D567" s="89" t="s">
        <v>862</v>
      </c>
      <c r="E567" s="90"/>
      <c r="F567" s="90"/>
      <c r="G567" s="90">
        <f t="shared" si="20"/>
        <v>0</v>
      </c>
      <c r="H567" s="91">
        <f t="shared" si="21"/>
        <v>0</v>
      </c>
    </row>
    <row r="568" spans="1:8" x14ac:dyDescent="0.3">
      <c r="A568" s="89" t="s">
        <v>1044</v>
      </c>
      <c r="B568" s="89" t="s">
        <v>171</v>
      </c>
      <c r="C568" s="89" t="s">
        <v>863</v>
      </c>
      <c r="D568" s="89" t="s">
        <v>862</v>
      </c>
      <c r="E568" s="90"/>
      <c r="F568" s="90"/>
      <c r="G568" s="90">
        <f t="shared" si="20"/>
        <v>0</v>
      </c>
      <c r="H568" s="91">
        <f t="shared" si="21"/>
        <v>0</v>
      </c>
    </row>
    <row r="569" spans="1:8" x14ac:dyDescent="0.3">
      <c r="A569" s="89" t="s">
        <v>1044</v>
      </c>
      <c r="B569" s="89" t="s">
        <v>172</v>
      </c>
      <c r="C569" s="89" t="s">
        <v>863</v>
      </c>
      <c r="D569" s="89" t="s">
        <v>862</v>
      </c>
      <c r="E569" s="90"/>
      <c r="F569" s="90"/>
      <c r="G569" s="90">
        <f t="shared" si="20"/>
        <v>0</v>
      </c>
      <c r="H569" s="91">
        <f t="shared" si="21"/>
        <v>0</v>
      </c>
    </row>
    <row r="570" spans="1:8" x14ac:dyDescent="0.3">
      <c r="A570" s="89" t="s">
        <v>1044</v>
      </c>
      <c r="B570" s="89" t="s">
        <v>174</v>
      </c>
      <c r="C570" s="89" t="s">
        <v>95</v>
      </c>
      <c r="D570" s="89" t="s">
        <v>862</v>
      </c>
      <c r="E570" s="90">
        <v>2</v>
      </c>
      <c r="F570" s="90">
        <v>1</v>
      </c>
      <c r="G570" s="90">
        <f t="shared" si="20"/>
        <v>1</v>
      </c>
      <c r="H570" s="91">
        <f t="shared" si="21"/>
        <v>50</v>
      </c>
    </row>
    <row r="571" spans="1:8" x14ac:dyDescent="0.3">
      <c r="A571" s="89" t="s">
        <v>1044</v>
      </c>
      <c r="B571" s="89" t="s">
        <v>1012</v>
      </c>
      <c r="C571" s="89" t="s">
        <v>863</v>
      </c>
      <c r="D571" s="89" t="s">
        <v>862</v>
      </c>
      <c r="E571" s="90"/>
      <c r="F571" s="90"/>
      <c r="G571" s="90">
        <f t="shared" si="20"/>
        <v>0</v>
      </c>
      <c r="H571" s="91">
        <f t="shared" si="21"/>
        <v>0</v>
      </c>
    </row>
    <row r="572" spans="1:8" x14ac:dyDescent="0.3">
      <c r="A572" s="89" t="s">
        <v>1044</v>
      </c>
      <c r="B572" s="89" t="s">
        <v>1013</v>
      </c>
      <c r="C572" s="89" t="s">
        <v>863</v>
      </c>
      <c r="D572" s="89" t="s">
        <v>862</v>
      </c>
      <c r="E572" s="90"/>
      <c r="F572" s="90"/>
      <c r="G572" s="90">
        <f t="shared" si="20"/>
        <v>0</v>
      </c>
      <c r="H572" s="91">
        <f t="shared" si="21"/>
        <v>0</v>
      </c>
    </row>
    <row r="573" spans="1:8" x14ac:dyDescent="0.3">
      <c r="A573" s="89" t="s">
        <v>1044</v>
      </c>
      <c r="B573" s="89" t="s">
        <v>1014</v>
      </c>
      <c r="C573" s="89" t="s">
        <v>863</v>
      </c>
      <c r="D573" s="89" t="s">
        <v>862</v>
      </c>
      <c r="E573" s="90"/>
      <c r="F573" s="90"/>
      <c r="G573" s="90">
        <f t="shared" si="20"/>
        <v>0</v>
      </c>
      <c r="H573" s="91">
        <f t="shared" si="21"/>
        <v>0</v>
      </c>
    </row>
    <row r="574" spans="1:8" x14ac:dyDescent="0.3">
      <c r="A574" s="89" t="s">
        <v>1044</v>
      </c>
      <c r="B574" s="89" t="s">
        <v>179</v>
      </c>
      <c r="C574" s="89" t="s">
        <v>863</v>
      </c>
      <c r="D574" s="89"/>
      <c r="E574" s="90"/>
      <c r="F574" s="90"/>
      <c r="G574" s="90">
        <f t="shared" si="20"/>
        <v>0</v>
      </c>
      <c r="H574" s="91">
        <f t="shared" si="21"/>
        <v>0</v>
      </c>
    </row>
    <row r="575" spans="1:8" x14ac:dyDescent="0.3">
      <c r="A575" s="89" t="s">
        <v>1044</v>
      </c>
      <c r="B575" s="89" t="s">
        <v>181</v>
      </c>
      <c r="C575" s="89" t="s">
        <v>863</v>
      </c>
      <c r="D575" s="89"/>
      <c r="E575" s="90"/>
      <c r="F575" s="90"/>
      <c r="G575" s="90">
        <f t="shared" si="20"/>
        <v>0</v>
      </c>
      <c r="H575" s="91">
        <f t="shared" si="21"/>
        <v>0</v>
      </c>
    </row>
    <row r="576" spans="1:8" x14ac:dyDescent="0.3">
      <c r="A576" s="101" t="s">
        <v>1036</v>
      </c>
      <c r="B576" s="101" t="s">
        <v>189</v>
      </c>
      <c r="C576" s="101" t="s">
        <v>831</v>
      </c>
      <c r="D576" s="101" t="s">
        <v>1033</v>
      </c>
      <c r="E576" s="101">
        <v>6</v>
      </c>
      <c r="F576" s="101">
        <v>6</v>
      </c>
      <c r="G576" s="90">
        <f t="shared" si="20"/>
        <v>0</v>
      </c>
      <c r="H576" s="91">
        <f t="shared" si="21"/>
        <v>100</v>
      </c>
    </row>
    <row r="577" spans="1:8" x14ac:dyDescent="0.3">
      <c r="A577" s="89" t="s">
        <v>1044</v>
      </c>
      <c r="B577" s="89" t="s">
        <v>190</v>
      </c>
      <c r="C577" s="89" t="s">
        <v>843</v>
      </c>
      <c r="D577" s="89" t="s">
        <v>862</v>
      </c>
      <c r="E577" s="90">
        <v>44</v>
      </c>
      <c r="F577" s="90">
        <v>45</v>
      </c>
      <c r="G577" s="90">
        <f t="shared" ref="G577:G640" si="22">+E577-F577</f>
        <v>-1</v>
      </c>
      <c r="H577" s="91">
        <f t="shared" ref="H577:H640" si="23">IFERROR(IF(7&lt;&gt;0, F577*100/E577, IF(E577=F577, F577*100/E577, 0)), 0)</f>
        <v>102.27272727272727</v>
      </c>
    </row>
    <row r="578" spans="1:8" x14ac:dyDescent="0.3">
      <c r="A578" s="89" t="s">
        <v>1044</v>
      </c>
      <c r="B578" s="89" t="s">
        <v>191</v>
      </c>
      <c r="C578" s="89" t="s">
        <v>853</v>
      </c>
      <c r="D578" s="89" t="s">
        <v>862</v>
      </c>
      <c r="E578" s="90">
        <v>1</v>
      </c>
      <c r="F578" s="90">
        <v>1</v>
      </c>
      <c r="G578" s="90">
        <f t="shared" si="22"/>
        <v>0</v>
      </c>
      <c r="H578" s="91">
        <f t="shared" si="23"/>
        <v>100</v>
      </c>
    </row>
    <row r="579" spans="1:8" x14ac:dyDescent="0.3">
      <c r="A579" s="89" t="s">
        <v>1044</v>
      </c>
      <c r="B579" s="89" t="s">
        <v>193</v>
      </c>
      <c r="C579" s="89" t="s">
        <v>95</v>
      </c>
      <c r="D579" s="89"/>
      <c r="E579" s="90"/>
      <c r="F579" s="90"/>
      <c r="G579" s="90">
        <f t="shared" si="22"/>
        <v>0</v>
      </c>
      <c r="H579" s="91">
        <f t="shared" si="23"/>
        <v>0</v>
      </c>
    </row>
    <row r="580" spans="1:8" x14ac:dyDescent="0.3">
      <c r="A580" s="89" t="s">
        <v>1044</v>
      </c>
      <c r="B580" s="89" t="s">
        <v>203</v>
      </c>
      <c r="C580" s="89" t="s">
        <v>95</v>
      </c>
      <c r="D580" s="89"/>
      <c r="E580" s="90"/>
      <c r="F580" s="90"/>
      <c r="G580" s="90">
        <f t="shared" si="22"/>
        <v>0</v>
      </c>
      <c r="H580" s="91">
        <f t="shared" si="23"/>
        <v>0</v>
      </c>
    </row>
    <row r="581" spans="1:8" x14ac:dyDescent="0.3">
      <c r="A581" s="89" t="s">
        <v>1045</v>
      </c>
      <c r="B581" s="89" t="s">
        <v>47</v>
      </c>
      <c r="C581" s="89" t="s">
        <v>831</v>
      </c>
      <c r="D581" s="89"/>
      <c r="E581" s="90"/>
      <c r="F581" s="90"/>
      <c r="G581" s="90">
        <f t="shared" si="22"/>
        <v>0</v>
      </c>
      <c r="H581" s="91">
        <f t="shared" si="23"/>
        <v>0</v>
      </c>
    </row>
    <row r="582" spans="1:8" x14ac:dyDescent="0.3">
      <c r="A582" s="89" t="s">
        <v>1045</v>
      </c>
      <c r="B582" s="89" t="s">
        <v>49</v>
      </c>
      <c r="C582" s="89" t="s">
        <v>843</v>
      </c>
      <c r="D582" s="89" t="s">
        <v>862</v>
      </c>
      <c r="E582" s="90">
        <v>60</v>
      </c>
      <c r="F582" s="90">
        <v>60</v>
      </c>
      <c r="G582" s="90">
        <f t="shared" si="22"/>
        <v>0</v>
      </c>
      <c r="H582" s="91">
        <f t="shared" si="23"/>
        <v>100</v>
      </c>
    </row>
    <row r="583" spans="1:8" x14ac:dyDescent="0.3">
      <c r="A583" s="89" t="s">
        <v>1045</v>
      </c>
      <c r="B583" s="89" t="s">
        <v>1032</v>
      </c>
      <c r="C583" s="89" t="s">
        <v>843</v>
      </c>
      <c r="D583" s="89" t="s">
        <v>862</v>
      </c>
      <c r="E583" s="95">
        <v>50</v>
      </c>
      <c r="F583" s="95">
        <v>50</v>
      </c>
      <c r="G583" s="90">
        <f t="shared" si="22"/>
        <v>0</v>
      </c>
      <c r="H583" s="91">
        <f t="shared" si="23"/>
        <v>100</v>
      </c>
    </row>
    <row r="584" spans="1:8" x14ac:dyDescent="0.3">
      <c r="A584" s="89" t="s">
        <v>1045</v>
      </c>
      <c r="B584" s="89" t="s">
        <v>51</v>
      </c>
      <c r="C584" s="89" t="s">
        <v>853</v>
      </c>
      <c r="D584" s="89" t="s">
        <v>862</v>
      </c>
      <c r="E584" s="90">
        <v>90</v>
      </c>
      <c r="F584" s="90">
        <v>90</v>
      </c>
      <c r="G584" s="90">
        <f t="shared" si="22"/>
        <v>0</v>
      </c>
      <c r="H584" s="91">
        <f t="shared" si="23"/>
        <v>100</v>
      </c>
    </row>
    <row r="585" spans="1:8" x14ac:dyDescent="0.3">
      <c r="A585" s="89" t="s">
        <v>1045</v>
      </c>
      <c r="B585" s="89" t="s">
        <v>55</v>
      </c>
      <c r="C585" s="89" t="s">
        <v>831</v>
      </c>
      <c r="D585" s="89"/>
      <c r="E585" s="90"/>
      <c r="F585" s="90"/>
      <c r="G585" s="90">
        <f t="shared" si="22"/>
        <v>0</v>
      </c>
      <c r="H585" s="91">
        <f t="shared" si="23"/>
        <v>0</v>
      </c>
    </row>
    <row r="586" spans="1:8" x14ac:dyDescent="0.3">
      <c r="A586" s="89" t="s">
        <v>1045</v>
      </c>
      <c r="B586" s="89" t="s">
        <v>56</v>
      </c>
      <c r="C586" s="89" t="s">
        <v>843</v>
      </c>
      <c r="D586" s="89"/>
      <c r="E586" s="90"/>
      <c r="F586" s="90"/>
      <c r="G586" s="90">
        <f t="shared" si="22"/>
        <v>0</v>
      </c>
      <c r="H586" s="91">
        <f t="shared" si="23"/>
        <v>0</v>
      </c>
    </row>
    <row r="587" spans="1:8" x14ac:dyDescent="0.3">
      <c r="A587" s="89" t="s">
        <v>1045</v>
      </c>
      <c r="B587" s="89" t="s">
        <v>57</v>
      </c>
      <c r="C587" s="89" t="s">
        <v>853</v>
      </c>
      <c r="D587" s="89" t="s">
        <v>762</v>
      </c>
      <c r="E587" s="90">
        <v>89</v>
      </c>
      <c r="F587" s="90">
        <v>88</v>
      </c>
      <c r="G587" s="90">
        <f t="shared" si="22"/>
        <v>1</v>
      </c>
      <c r="H587" s="91">
        <f t="shared" si="23"/>
        <v>98.876404494382029</v>
      </c>
    </row>
    <row r="588" spans="1:8" x14ac:dyDescent="0.3">
      <c r="A588" s="89" t="s">
        <v>1045</v>
      </c>
      <c r="B588" s="89" t="s">
        <v>75</v>
      </c>
      <c r="C588" s="89" t="s">
        <v>831</v>
      </c>
      <c r="D588" s="89"/>
      <c r="E588" s="90"/>
      <c r="F588" s="90"/>
      <c r="G588" s="90">
        <f t="shared" si="22"/>
        <v>0</v>
      </c>
      <c r="H588" s="91">
        <f t="shared" si="23"/>
        <v>0</v>
      </c>
    </row>
    <row r="589" spans="1:8" x14ac:dyDescent="0.3">
      <c r="A589" s="89" t="s">
        <v>1045</v>
      </c>
      <c r="B589" s="89" t="s">
        <v>76</v>
      </c>
      <c r="C589" s="89" t="s">
        <v>831</v>
      </c>
      <c r="D589" s="89"/>
      <c r="E589" s="90"/>
      <c r="F589" s="90"/>
      <c r="G589" s="90">
        <f t="shared" si="22"/>
        <v>0</v>
      </c>
      <c r="H589" s="91">
        <f t="shared" si="23"/>
        <v>0</v>
      </c>
    </row>
    <row r="590" spans="1:8" x14ac:dyDescent="0.3">
      <c r="A590" s="89" t="s">
        <v>1045</v>
      </c>
      <c r="B590" s="89" t="s">
        <v>77</v>
      </c>
      <c r="C590" s="89" t="s">
        <v>843</v>
      </c>
      <c r="D590" s="89" t="s">
        <v>862</v>
      </c>
      <c r="E590" s="90">
        <v>14</v>
      </c>
      <c r="F590" s="90">
        <v>9</v>
      </c>
      <c r="G590" s="90">
        <f t="shared" si="22"/>
        <v>5</v>
      </c>
      <c r="H590" s="91">
        <f t="shared" si="23"/>
        <v>64.285714285714292</v>
      </c>
    </row>
    <row r="591" spans="1:8" x14ac:dyDescent="0.3">
      <c r="A591" s="93" t="s">
        <v>1045</v>
      </c>
      <c r="B591" s="93" t="s">
        <v>78</v>
      </c>
      <c r="C591" s="93" t="s">
        <v>853</v>
      </c>
      <c r="D591" s="93" t="s">
        <v>862</v>
      </c>
      <c r="E591" s="92">
        <v>1</v>
      </c>
      <c r="F591" s="92">
        <v>1</v>
      </c>
      <c r="G591" s="92">
        <f t="shared" si="22"/>
        <v>0</v>
      </c>
      <c r="H591" s="94">
        <f t="shared" si="23"/>
        <v>100</v>
      </c>
    </row>
    <row r="592" spans="1:8" x14ac:dyDescent="0.3">
      <c r="A592" s="89" t="s">
        <v>1045</v>
      </c>
      <c r="B592" s="89" t="s">
        <v>87</v>
      </c>
      <c r="C592" s="89" t="s">
        <v>831</v>
      </c>
      <c r="D592" s="89"/>
      <c r="E592" s="90"/>
      <c r="F592" s="90"/>
      <c r="G592" s="90">
        <f t="shared" si="22"/>
        <v>0</v>
      </c>
      <c r="H592" s="91">
        <f t="shared" si="23"/>
        <v>0</v>
      </c>
    </row>
    <row r="593" spans="1:8" x14ac:dyDescent="0.3">
      <c r="A593" s="89" t="s">
        <v>1045</v>
      </c>
      <c r="B593" s="89" t="s">
        <v>88</v>
      </c>
      <c r="C593" s="89" t="s">
        <v>843</v>
      </c>
      <c r="D593" s="89" t="s">
        <v>862</v>
      </c>
      <c r="E593" s="90">
        <v>1</v>
      </c>
      <c r="F593" s="90">
        <v>1</v>
      </c>
      <c r="G593" s="90">
        <f t="shared" si="22"/>
        <v>0</v>
      </c>
      <c r="H593" s="91">
        <f t="shared" si="23"/>
        <v>100</v>
      </c>
    </row>
    <row r="594" spans="1:8" x14ac:dyDescent="0.3">
      <c r="A594" s="89" t="s">
        <v>1045</v>
      </c>
      <c r="B594" s="89" t="s">
        <v>89</v>
      </c>
      <c r="C594" s="89" t="s">
        <v>853</v>
      </c>
      <c r="D594" s="89"/>
      <c r="E594" s="90"/>
      <c r="F594" s="90"/>
      <c r="G594" s="90">
        <f t="shared" si="22"/>
        <v>0</v>
      </c>
      <c r="H594" s="91">
        <f t="shared" si="23"/>
        <v>0</v>
      </c>
    </row>
    <row r="595" spans="1:8" x14ac:dyDescent="0.3">
      <c r="A595" s="89" t="s">
        <v>1045</v>
      </c>
      <c r="B595" s="89" t="s">
        <v>96</v>
      </c>
      <c r="C595" s="89" t="s">
        <v>95</v>
      </c>
      <c r="D595" s="89" t="s">
        <v>862</v>
      </c>
      <c r="E595" s="90">
        <v>1</v>
      </c>
      <c r="F595" s="90">
        <v>1</v>
      </c>
      <c r="G595" s="90">
        <f t="shared" si="22"/>
        <v>0</v>
      </c>
      <c r="H595" s="91">
        <f t="shared" si="23"/>
        <v>100</v>
      </c>
    </row>
    <row r="596" spans="1:8" x14ac:dyDescent="0.3">
      <c r="A596" s="89" t="s">
        <v>1045</v>
      </c>
      <c r="B596" s="89" t="s">
        <v>107</v>
      </c>
      <c r="C596" s="89" t="s">
        <v>831</v>
      </c>
      <c r="D596" s="89"/>
      <c r="E596" s="90"/>
      <c r="F596" s="90"/>
      <c r="G596" s="90">
        <f t="shared" si="22"/>
        <v>0</v>
      </c>
      <c r="H596" s="91">
        <f t="shared" si="23"/>
        <v>0</v>
      </c>
    </row>
    <row r="597" spans="1:8" x14ac:dyDescent="0.3">
      <c r="A597" s="89" t="s">
        <v>1045</v>
      </c>
      <c r="B597" s="89" t="s">
        <v>108</v>
      </c>
      <c r="C597" s="89" t="s">
        <v>843</v>
      </c>
      <c r="D597" s="89" t="s">
        <v>862</v>
      </c>
      <c r="E597" s="90">
        <f>1122</f>
        <v>1122</v>
      </c>
      <c r="F597" s="90">
        <f>1016</f>
        <v>1016</v>
      </c>
      <c r="G597" s="90">
        <f t="shared" si="22"/>
        <v>106</v>
      </c>
      <c r="H597" s="91">
        <f t="shared" si="23"/>
        <v>90.552584670231724</v>
      </c>
    </row>
    <row r="598" spans="1:8" x14ac:dyDescent="0.3">
      <c r="A598" s="89" t="s">
        <v>1045</v>
      </c>
      <c r="B598" s="89" t="s">
        <v>109</v>
      </c>
      <c r="C598" s="89" t="s">
        <v>853</v>
      </c>
      <c r="D598" s="89" t="s">
        <v>762</v>
      </c>
      <c r="E598" s="90">
        <v>87</v>
      </c>
      <c r="F598" s="90">
        <v>0</v>
      </c>
      <c r="G598" s="90">
        <f t="shared" si="22"/>
        <v>87</v>
      </c>
      <c r="H598" s="91">
        <f t="shared" si="23"/>
        <v>0</v>
      </c>
    </row>
    <row r="599" spans="1:8" x14ac:dyDescent="0.3">
      <c r="A599" s="89" t="s">
        <v>1045</v>
      </c>
      <c r="B599" s="89" t="s">
        <v>113</v>
      </c>
      <c r="C599" s="89" t="s">
        <v>831</v>
      </c>
      <c r="D599" s="89"/>
      <c r="E599" s="90"/>
      <c r="F599" s="90"/>
      <c r="G599" s="90">
        <f t="shared" si="22"/>
        <v>0</v>
      </c>
      <c r="H599" s="91">
        <f t="shared" si="23"/>
        <v>0</v>
      </c>
    </row>
    <row r="600" spans="1:8" x14ac:dyDescent="0.3">
      <c r="A600" s="89" t="s">
        <v>1045</v>
      </c>
      <c r="B600" s="89" t="s">
        <v>114</v>
      </c>
      <c r="C600" s="89" t="s">
        <v>843</v>
      </c>
      <c r="D600" s="89" t="s">
        <v>862</v>
      </c>
      <c r="E600" s="90">
        <v>1205</v>
      </c>
      <c r="F600" s="90">
        <v>1078</v>
      </c>
      <c r="G600" s="90">
        <f t="shared" si="22"/>
        <v>127</v>
      </c>
      <c r="H600" s="91">
        <f t="shared" si="23"/>
        <v>89.460580912863065</v>
      </c>
    </row>
    <row r="601" spans="1:8" x14ac:dyDescent="0.3">
      <c r="A601" s="93" t="s">
        <v>1045</v>
      </c>
      <c r="B601" s="93" t="s">
        <v>115</v>
      </c>
      <c r="C601" s="93" t="s">
        <v>853</v>
      </c>
      <c r="D601" s="93" t="s">
        <v>862</v>
      </c>
      <c r="E601" s="92">
        <v>1</v>
      </c>
      <c r="F601" s="92">
        <v>1</v>
      </c>
      <c r="G601" s="92">
        <f t="shared" si="22"/>
        <v>0</v>
      </c>
      <c r="H601" s="94">
        <f t="shared" si="23"/>
        <v>100</v>
      </c>
    </row>
    <row r="602" spans="1:8" x14ac:dyDescent="0.3">
      <c r="A602" s="89" t="s">
        <v>1045</v>
      </c>
      <c r="B602" s="89" t="s">
        <v>120</v>
      </c>
      <c r="C602" s="89" t="s">
        <v>831</v>
      </c>
      <c r="D602" s="89"/>
      <c r="E602" s="90"/>
      <c r="F602" s="90"/>
      <c r="G602" s="90">
        <f t="shared" si="22"/>
        <v>0</v>
      </c>
      <c r="H602" s="91">
        <f t="shared" si="23"/>
        <v>0</v>
      </c>
    </row>
    <row r="603" spans="1:8" x14ac:dyDescent="0.3">
      <c r="A603" s="89" t="s">
        <v>1045</v>
      </c>
      <c r="B603" s="89" t="s">
        <v>126</v>
      </c>
      <c r="C603" s="89" t="s">
        <v>831</v>
      </c>
      <c r="D603" s="89"/>
      <c r="E603" s="90"/>
      <c r="F603" s="90"/>
      <c r="G603" s="90">
        <f t="shared" si="22"/>
        <v>0</v>
      </c>
      <c r="H603" s="91">
        <f t="shared" si="23"/>
        <v>0</v>
      </c>
    </row>
    <row r="604" spans="1:8" x14ac:dyDescent="0.3">
      <c r="A604" s="89" t="s">
        <v>1045</v>
      </c>
      <c r="B604" s="89" t="s">
        <v>127</v>
      </c>
      <c r="C604" s="89" t="s">
        <v>843</v>
      </c>
      <c r="D604" s="89" t="s">
        <v>862</v>
      </c>
      <c r="E604" s="90">
        <v>2</v>
      </c>
      <c r="F604" s="90">
        <v>2</v>
      </c>
      <c r="G604" s="90">
        <f t="shared" si="22"/>
        <v>0</v>
      </c>
      <c r="H604" s="91">
        <f t="shared" si="23"/>
        <v>100</v>
      </c>
    </row>
    <row r="605" spans="1:8" x14ac:dyDescent="0.3">
      <c r="A605" s="89" t="s">
        <v>1045</v>
      </c>
      <c r="B605" s="89" t="s">
        <v>128</v>
      </c>
      <c r="C605" s="89" t="s">
        <v>853</v>
      </c>
      <c r="D605" s="89" t="s">
        <v>862</v>
      </c>
      <c r="E605" s="90">
        <v>1</v>
      </c>
      <c r="F605" s="90">
        <v>1</v>
      </c>
      <c r="G605" s="90">
        <f t="shared" si="22"/>
        <v>0</v>
      </c>
      <c r="H605" s="91">
        <f t="shared" si="23"/>
        <v>100</v>
      </c>
    </row>
    <row r="606" spans="1:8" x14ac:dyDescent="0.3">
      <c r="A606" s="89" t="s">
        <v>1045</v>
      </c>
      <c r="B606" s="89" t="s">
        <v>129</v>
      </c>
      <c r="C606" s="89" t="s">
        <v>831</v>
      </c>
      <c r="D606" s="89"/>
      <c r="E606" s="90"/>
      <c r="F606" s="90"/>
      <c r="G606" s="90">
        <f t="shared" si="22"/>
        <v>0</v>
      </c>
      <c r="H606" s="91">
        <f t="shared" si="23"/>
        <v>0</v>
      </c>
    </row>
    <row r="607" spans="1:8" x14ac:dyDescent="0.3">
      <c r="A607" s="89" t="s">
        <v>1045</v>
      </c>
      <c r="B607" s="89" t="s">
        <v>130</v>
      </c>
      <c r="C607" s="89" t="s">
        <v>843</v>
      </c>
      <c r="D607" s="89" t="s">
        <v>862</v>
      </c>
      <c r="E607" s="90">
        <v>1</v>
      </c>
      <c r="F607" s="90">
        <v>1</v>
      </c>
      <c r="G607" s="90">
        <f t="shared" si="22"/>
        <v>0</v>
      </c>
      <c r="H607" s="91">
        <f t="shared" si="23"/>
        <v>100</v>
      </c>
    </row>
    <row r="608" spans="1:8" x14ac:dyDescent="0.3">
      <c r="A608" s="89" t="s">
        <v>1045</v>
      </c>
      <c r="B608" s="89" t="s">
        <v>131</v>
      </c>
      <c r="C608" s="89" t="s">
        <v>853</v>
      </c>
      <c r="D608" s="89" t="s">
        <v>862</v>
      </c>
      <c r="E608" s="90">
        <v>1</v>
      </c>
      <c r="F608" s="90">
        <v>1</v>
      </c>
      <c r="G608" s="90">
        <f t="shared" si="22"/>
        <v>0</v>
      </c>
      <c r="H608" s="91">
        <f t="shared" si="23"/>
        <v>100</v>
      </c>
    </row>
    <row r="609" spans="1:8" x14ac:dyDescent="0.3">
      <c r="A609" s="89" t="s">
        <v>1045</v>
      </c>
      <c r="B609" s="89" t="s">
        <v>141</v>
      </c>
      <c r="C609" s="89" t="s">
        <v>95</v>
      </c>
      <c r="D609" s="89"/>
      <c r="E609" s="90"/>
      <c r="F609" s="90"/>
      <c r="G609" s="90">
        <f t="shared" si="22"/>
        <v>0</v>
      </c>
      <c r="H609" s="91">
        <f t="shared" si="23"/>
        <v>0</v>
      </c>
    </row>
    <row r="610" spans="1:8" x14ac:dyDescent="0.3">
      <c r="A610" s="89" t="s">
        <v>1045</v>
      </c>
      <c r="B610" s="89" t="s">
        <v>155</v>
      </c>
      <c r="C610" s="89" t="s">
        <v>831</v>
      </c>
      <c r="D610" s="89"/>
      <c r="E610" s="90"/>
      <c r="F610" s="90"/>
      <c r="G610" s="90">
        <f t="shared" si="22"/>
        <v>0</v>
      </c>
      <c r="H610" s="91">
        <f t="shared" si="23"/>
        <v>0</v>
      </c>
    </row>
    <row r="611" spans="1:8" x14ac:dyDescent="0.3">
      <c r="A611" s="89" t="s">
        <v>1045</v>
      </c>
      <c r="B611" s="89" t="s">
        <v>156</v>
      </c>
      <c r="C611" s="89" t="s">
        <v>843</v>
      </c>
      <c r="D611" s="89"/>
      <c r="E611" s="90"/>
      <c r="F611" s="90"/>
      <c r="G611" s="90">
        <f t="shared" si="22"/>
        <v>0</v>
      </c>
      <c r="H611" s="91">
        <f t="shared" si="23"/>
        <v>0</v>
      </c>
    </row>
    <row r="612" spans="1:8" x14ac:dyDescent="0.3">
      <c r="A612" s="89" t="s">
        <v>1045</v>
      </c>
      <c r="B612" s="89" t="s">
        <v>157</v>
      </c>
      <c r="C612" s="89" t="s">
        <v>853</v>
      </c>
      <c r="D612" s="89"/>
      <c r="E612" s="90"/>
      <c r="F612" s="90"/>
      <c r="G612" s="90">
        <f t="shared" si="22"/>
        <v>0</v>
      </c>
      <c r="H612" s="91">
        <f t="shared" si="23"/>
        <v>0</v>
      </c>
    </row>
    <row r="613" spans="1:8" x14ac:dyDescent="0.3">
      <c r="A613" s="89" t="s">
        <v>1045</v>
      </c>
      <c r="B613" s="89" t="s">
        <v>164</v>
      </c>
      <c r="C613" s="89" t="s">
        <v>95</v>
      </c>
      <c r="D613" s="89" t="s">
        <v>862</v>
      </c>
      <c r="E613" s="90">
        <v>1</v>
      </c>
      <c r="F613" s="90">
        <v>1</v>
      </c>
      <c r="G613" s="90">
        <f t="shared" si="22"/>
        <v>0</v>
      </c>
      <c r="H613" s="91">
        <f t="shared" si="23"/>
        <v>100</v>
      </c>
    </row>
    <row r="614" spans="1:8" x14ac:dyDescent="0.3">
      <c r="A614" s="89" t="s">
        <v>1045</v>
      </c>
      <c r="B614" s="89" t="s">
        <v>167</v>
      </c>
      <c r="C614" s="89" t="s">
        <v>863</v>
      </c>
      <c r="D614" s="89"/>
      <c r="E614" s="90"/>
      <c r="F614" s="90"/>
      <c r="G614" s="90">
        <f t="shared" si="22"/>
        <v>0</v>
      </c>
      <c r="H614" s="91">
        <f t="shared" si="23"/>
        <v>0</v>
      </c>
    </row>
    <row r="615" spans="1:8" x14ac:dyDescent="0.3">
      <c r="A615" s="89" t="s">
        <v>1045</v>
      </c>
      <c r="B615" s="89" t="s">
        <v>169</v>
      </c>
      <c r="C615" s="89" t="s">
        <v>863</v>
      </c>
      <c r="D615" s="89" t="s">
        <v>862</v>
      </c>
      <c r="E615" s="90"/>
      <c r="F615" s="90"/>
      <c r="G615" s="90">
        <f t="shared" si="22"/>
        <v>0</v>
      </c>
      <c r="H615" s="91">
        <f t="shared" si="23"/>
        <v>0</v>
      </c>
    </row>
    <row r="616" spans="1:8" x14ac:dyDescent="0.3">
      <c r="A616" s="89" t="s">
        <v>1045</v>
      </c>
      <c r="B616" s="89" t="s">
        <v>171</v>
      </c>
      <c r="C616" s="89" t="s">
        <v>863</v>
      </c>
      <c r="D616" s="89" t="s">
        <v>862</v>
      </c>
      <c r="E616" s="90"/>
      <c r="F616" s="90"/>
      <c r="G616" s="90">
        <f t="shared" si="22"/>
        <v>0</v>
      </c>
      <c r="H616" s="91">
        <f t="shared" si="23"/>
        <v>0</v>
      </c>
    </row>
    <row r="617" spans="1:8" x14ac:dyDescent="0.3">
      <c r="A617" s="89" t="s">
        <v>1045</v>
      </c>
      <c r="B617" s="89" t="s">
        <v>172</v>
      </c>
      <c r="C617" s="89" t="s">
        <v>863</v>
      </c>
      <c r="D617" s="89" t="s">
        <v>862</v>
      </c>
      <c r="E617" s="90"/>
      <c r="F617" s="90"/>
      <c r="G617" s="90">
        <f t="shared" si="22"/>
        <v>0</v>
      </c>
      <c r="H617" s="91">
        <f t="shared" si="23"/>
        <v>0</v>
      </c>
    </row>
    <row r="618" spans="1:8" x14ac:dyDescent="0.3">
      <c r="A618" s="89" t="s">
        <v>1045</v>
      </c>
      <c r="B618" s="89" t="s">
        <v>174</v>
      </c>
      <c r="C618" s="89" t="s">
        <v>95</v>
      </c>
      <c r="D618" s="89" t="s">
        <v>862</v>
      </c>
      <c r="E618" s="90">
        <v>2</v>
      </c>
      <c r="F618" s="90">
        <v>1</v>
      </c>
      <c r="G618" s="90">
        <f t="shared" si="22"/>
        <v>1</v>
      </c>
      <c r="H618" s="91">
        <f t="shared" si="23"/>
        <v>50</v>
      </c>
    </row>
    <row r="619" spans="1:8" x14ac:dyDescent="0.3">
      <c r="A619" s="89" t="s">
        <v>1045</v>
      </c>
      <c r="B619" s="89" t="s">
        <v>1012</v>
      </c>
      <c r="C619" s="89" t="s">
        <v>863</v>
      </c>
      <c r="D619" s="89" t="s">
        <v>862</v>
      </c>
      <c r="E619" s="90"/>
      <c r="F619" s="90"/>
      <c r="G619" s="90">
        <f t="shared" si="22"/>
        <v>0</v>
      </c>
      <c r="H619" s="91">
        <f t="shared" si="23"/>
        <v>0</v>
      </c>
    </row>
    <row r="620" spans="1:8" x14ac:dyDescent="0.3">
      <c r="A620" s="89" t="s">
        <v>1045</v>
      </c>
      <c r="B620" s="89" t="s">
        <v>1013</v>
      </c>
      <c r="C620" s="89" t="s">
        <v>863</v>
      </c>
      <c r="D620" s="89" t="s">
        <v>862</v>
      </c>
      <c r="E620" s="90"/>
      <c r="F620" s="90"/>
      <c r="G620" s="90">
        <f t="shared" si="22"/>
        <v>0</v>
      </c>
      <c r="H620" s="91">
        <f t="shared" si="23"/>
        <v>0</v>
      </c>
    </row>
    <row r="621" spans="1:8" x14ac:dyDescent="0.3">
      <c r="A621" s="89" t="s">
        <v>1045</v>
      </c>
      <c r="B621" s="89" t="s">
        <v>1014</v>
      </c>
      <c r="C621" s="89" t="s">
        <v>863</v>
      </c>
      <c r="D621" s="89" t="s">
        <v>862</v>
      </c>
      <c r="E621" s="90"/>
      <c r="F621" s="90"/>
      <c r="G621" s="90">
        <f t="shared" si="22"/>
        <v>0</v>
      </c>
      <c r="H621" s="91">
        <f t="shared" si="23"/>
        <v>0</v>
      </c>
    </row>
    <row r="622" spans="1:8" x14ac:dyDescent="0.3">
      <c r="A622" s="89" t="s">
        <v>1045</v>
      </c>
      <c r="B622" s="89" t="s">
        <v>179</v>
      </c>
      <c r="C622" s="89" t="s">
        <v>863</v>
      </c>
      <c r="D622" s="89"/>
      <c r="E622" s="90"/>
      <c r="F622" s="90"/>
      <c r="G622" s="90">
        <f t="shared" si="22"/>
        <v>0</v>
      </c>
      <c r="H622" s="91">
        <f t="shared" si="23"/>
        <v>0</v>
      </c>
    </row>
    <row r="623" spans="1:8" x14ac:dyDescent="0.3">
      <c r="A623" s="89" t="s">
        <v>1045</v>
      </c>
      <c r="B623" s="89" t="s">
        <v>181</v>
      </c>
      <c r="C623" s="89" t="s">
        <v>863</v>
      </c>
      <c r="D623" s="89"/>
      <c r="E623" s="90"/>
      <c r="F623" s="90"/>
      <c r="G623" s="90">
        <f t="shared" si="22"/>
        <v>0</v>
      </c>
      <c r="H623" s="91">
        <f t="shared" si="23"/>
        <v>0</v>
      </c>
    </row>
    <row r="624" spans="1:8" x14ac:dyDescent="0.3">
      <c r="A624" s="101" t="s">
        <v>1037</v>
      </c>
      <c r="B624" s="101" t="s">
        <v>189</v>
      </c>
      <c r="C624" s="101" t="s">
        <v>831</v>
      </c>
      <c r="D624" s="101" t="s">
        <v>1033</v>
      </c>
      <c r="E624" s="101">
        <v>18</v>
      </c>
      <c r="F624" s="101">
        <v>18</v>
      </c>
      <c r="G624" s="90">
        <f t="shared" si="22"/>
        <v>0</v>
      </c>
      <c r="H624" s="91">
        <f t="shared" si="23"/>
        <v>100</v>
      </c>
    </row>
    <row r="625" spans="1:8" x14ac:dyDescent="0.3">
      <c r="A625" s="89" t="s">
        <v>1045</v>
      </c>
      <c r="B625" s="89" t="s">
        <v>190</v>
      </c>
      <c r="C625" s="89" t="s">
        <v>843</v>
      </c>
      <c r="D625" s="89" t="s">
        <v>862</v>
      </c>
      <c r="E625" s="90">
        <v>50</v>
      </c>
      <c r="F625" s="90">
        <v>50</v>
      </c>
      <c r="G625" s="90">
        <f t="shared" si="22"/>
        <v>0</v>
      </c>
      <c r="H625" s="91">
        <f t="shared" si="23"/>
        <v>100</v>
      </c>
    </row>
    <row r="626" spans="1:8" x14ac:dyDescent="0.3">
      <c r="A626" s="89" t="s">
        <v>1045</v>
      </c>
      <c r="B626" s="89" t="s">
        <v>191</v>
      </c>
      <c r="C626" s="89" t="s">
        <v>853</v>
      </c>
      <c r="D626" s="89" t="s">
        <v>862</v>
      </c>
      <c r="E626" s="90">
        <v>1</v>
      </c>
      <c r="F626" s="90">
        <v>1</v>
      </c>
      <c r="G626" s="90">
        <f t="shared" si="22"/>
        <v>0</v>
      </c>
      <c r="H626" s="91">
        <f t="shared" si="23"/>
        <v>100</v>
      </c>
    </row>
    <row r="627" spans="1:8" x14ac:dyDescent="0.3">
      <c r="A627" s="89" t="s">
        <v>1045</v>
      </c>
      <c r="B627" s="89" t="s">
        <v>193</v>
      </c>
      <c r="C627" s="89" t="s">
        <v>95</v>
      </c>
      <c r="D627" s="89"/>
      <c r="E627" s="90"/>
      <c r="F627" s="90"/>
      <c r="G627" s="90">
        <f t="shared" si="22"/>
        <v>0</v>
      </c>
      <c r="H627" s="91">
        <f t="shared" si="23"/>
        <v>0</v>
      </c>
    </row>
    <row r="628" spans="1:8" x14ac:dyDescent="0.3">
      <c r="A628" s="89" t="s">
        <v>1045</v>
      </c>
      <c r="B628" s="89" t="s">
        <v>203</v>
      </c>
      <c r="C628" s="89" t="s">
        <v>95</v>
      </c>
      <c r="D628" s="89"/>
      <c r="E628" s="90"/>
      <c r="F628" s="90"/>
      <c r="G628" s="90">
        <f t="shared" si="22"/>
        <v>0</v>
      </c>
      <c r="H628" s="91">
        <f t="shared" si="23"/>
        <v>0</v>
      </c>
    </row>
    <row r="629" spans="1:8" x14ac:dyDescent="0.3">
      <c r="A629" s="89" t="s">
        <v>1046</v>
      </c>
      <c r="B629" s="89" t="s">
        <v>47</v>
      </c>
      <c r="C629" s="89" t="s">
        <v>831</v>
      </c>
      <c r="D629" s="89"/>
      <c r="E629" s="90"/>
      <c r="F629" s="90"/>
      <c r="G629" s="90">
        <f t="shared" si="22"/>
        <v>0</v>
      </c>
      <c r="H629" s="91">
        <f t="shared" si="23"/>
        <v>0</v>
      </c>
    </row>
    <row r="630" spans="1:8" x14ac:dyDescent="0.3">
      <c r="A630" s="89" t="s">
        <v>1046</v>
      </c>
      <c r="B630" s="89" t="s">
        <v>49</v>
      </c>
      <c r="C630" s="89" t="s">
        <v>843</v>
      </c>
      <c r="D630" s="89" t="s">
        <v>862</v>
      </c>
      <c r="E630" s="90">
        <v>50</v>
      </c>
      <c r="F630" s="90">
        <v>50</v>
      </c>
      <c r="G630" s="90">
        <f t="shared" si="22"/>
        <v>0</v>
      </c>
      <c r="H630" s="91">
        <f t="shared" si="23"/>
        <v>100</v>
      </c>
    </row>
    <row r="631" spans="1:8" x14ac:dyDescent="0.3">
      <c r="A631" s="89" t="s">
        <v>1046</v>
      </c>
      <c r="B631" s="89" t="s">
        <v>1032</v>
      </c>
      <c r="C631" s="89" t="s">
        <v>843</v>
      </c>
      <c r="D631" s="89" t="s">
        <v>862</v>
      </c>
      <c r="E631" s="95">
        <v>44</v>
      </c>
      <c r="F631" s="95">
        <v>44</v>
      </c>
      <c r="G631" s="90">
        <f t="shared" si="22"/>
        <v>0</v>
      </c>
      <c r="H631" s="91">
        <f t="shared" si="23"/>
        <v>100</v>
      </c>
    </row>
    <row r="632" spans="1:8" x14ac:dyDescent="0.3">
      <c r="A632" s="89" t="s">
        <v>1046</v>
      </c>
      <c r="B632" s="89" t="s">
        <v>51</v>
      </c>
      <c r="C632" s="89" t="s">
        <v>853</v>
      </c>
      <c r="D632" s="89" t="s">
        <v>862</v>
      </c>
      <c r="E632" s="90">
        <v>39</v>
      </c>
      <c r="F632" s="90">
        <v>40</v>
      </c>
      <c r="G632" s="90">
        <f t="shared" si="22"/>
        <v>-1</v>
      </c>
      <c r="H632" s="91">
        <f t="shared" si="23"/>
        <v>102.56410256410257</v>
      </c>
    </row>
    <row r="633" spans="1:8" x14ac:dyDescent="0.3">
      <c r="A633" s="89" t="s">
        <v>1046</v>
      </c>
      <c r="B633" s="89" t="s">
        <v>55</v>
      </c>
      <c r="C633" s="89" t="s">
        <v>831</v>
      </c>
      <c r="D633" s="89"/>
      <c r="E633" s="90"/>
      <c r="F633" s="90"/>
      <c r="G633" s="90">
        <f t="shared" si="22"/>
        <v>0</v>
      </c>
      <c r="H633" s="91">
        <f t="shared" si="23"/>
        <v>0</v>
      </c>
    </row>
    <row r="634" spans="1:8" x14ac:dyDescent="0.3">
      <c r="A634" s="89" t="s">
        <v>1046</v>
      </c>
      <c r="B634" s="89" t="s">
        <v>56</v>
      </c>
      <c r="C634" s="89" t="s">
        <v>843</v>
      </c>
      <c r="D634" s="89"/>
      <c r="E634" s="90"/>
      <c r="F634" s="90"/>
      <c r="G634" s="90">
        <f t="shared" si="22"/>
        <v>0</v>
      </c>
      <c r="H634" s="91">
        <f t="shared" si="23"/>
        <v>0</v>
      </c>
    </row>
    <row r="635" spans="1:8" x14ac:dyDescent="0.3">
      <c r="A635" s="89" t="s">
        <v>1046</v>
      </c>
      <c r="B635" s="89" t="s">
        <v>57</v>
      </c>
      <c r="C635" s="89" t="s">
        <v>853</v>
      </c>
      <c r="D635" s="89" t="s">
        <v>762</v>
      </c>
      <c r="E635" s="90">
        <v>38</v>
      </c>
      <c r="F635" s="90">
        <v>32</v>
      </c>
      <c r="G635" s="90">
        <f t="shared" si="22"/>
        <v>6</v>
      </c>
      <c r="H635" s="91">
        <f t="shared" si="23"/>
        <v>84.21052631578948</v>
      </c>
    </row>
    <row r="636" spans="1:8" x14ac:dyDescent="0.3">
      <c r="A636" s="89" t="s">
        <v>1046</v>
      </c>
      <c r="B636" s="89" t="s">
        <v>75</v>
      </c>
      <c r="C636" s="89" t="s">
        <v>831</v>
      </c>
      <c r="D636" s="89"/>
      <c r="E636" s="90"/>
      <c r="F636" s="90"/>
      <c r="G636" s="90">
        <f t="shared" si="22"/>
        <v>0</v>
      </c>
      <c r="H636" s="91">
        <f t="shared" si="23"/>
        <v>0</v>
      </c>
    </row>
    <row r="637" spans="1:8" x14ac:dyDescent="0.3">
      <c r="A637" s="89" t="s">
        <v>1046</v>
      </c>
      <c r="B637" s="89" t="s">
        <v>76</v>
      </c>
      <c r="C637" s="89" t="s">
        <v>831</v>
      </c>
      <c r="D637" s="89"/>
      <c r="E637" s="90"/>
      <c r="F637" s="90"/>
      <c r="G637" s="90">
        <f t="shared" si="22"/>
        <v>0</v>
      </c>
      <c r="H637" s="91">
        <f t="shared" si="23"/>
        <v>0</v>
      </c>
    </row>
    <row r="638" spans="1:8" x14ac:dyDescent="0.3">
      <c r="A638" s="89" t="s">
        <v>1046</v>
      </c>
      <c r="B638" s="89" t="s">
        <v>77</v>
      </c>
      <c r="C638" s="89" t="s">
        <v>843</v>
      </c>
      <c r="D638" s="89" t="s">
        <v>862</v>
      </c>
      <c r="E638" s="90">
        <v>16</v>
      </c>
      <c r="F638" s="90">
        <v>6</v>
      </c>
      <c r="G638" s="90">
        <f t="shared" si="22"/>
        <v>10</v>
      </c>
      <c r="H638" s="91">
        <f t="shared" si="23"/>
        <v>37.5</v>
      </c>
    </row>
    <row r="639" spans="1:8" x14ac:dyDescent="0.3">
      <c r="A639" s="93" t="s">
        <v>1046</v>
      </c>
      <c r="B639" s="93" t="s">
        <v>78</v>
      </c>
      <c r="C639" s="93" t="s">
        <v>853</v>
      </c>
      <c r="D639" s="93" t="s">
        <v>862</v>
      </c>
      <c r="E639" s="92">
        <v>1</v>
      </c>
      <c r="F639" s="92">
        <v>1</v>
      </c>
      <c r="G639" s="92">
        <f t="shared" si="22"/>
        <v>0</v>
      </c>
      <c r="H639" s="94">
        <f t="shared" si="23"/>
        <v>100</v>
      </c>
    </row>
    <row r="640" spans="1:8" x14ac:dyDescent="0.3">
      <c r="A640" s="89" t="s">
        <v>1046</v>
      </c>
      <c r="B640" s="89" t="s">
        <v>87</v>
      </c>
      <c r="C640" s="89" t="s">
        <v>831</v>
      </c>
      <c r="D640" s="89"/>
      <c r="E640" s="90"/>
      <c r="F640" s="90"/>
      <c r="G640" s="90">
        <f t="shared" si="22"/>
        <v>0</v>
      </c>
      <c r="H640" s="91">
        <f t="shared" si="23"/>
        <v>0</v>
      </c>
    </row>
    <row r="641" spans="1:8" x14ac:dyDescent="0.3">
      <c r="A641" s="89" t="s">
        <v>1046</v>
      </c>
      <c r="B641" s="89" t="s">
        <v>88</v>
      </c>
      <c r="C641" s="89" t="s">
        <v>843</v>
      </c>
      <c r="D641" s="89" t="s">
        <v>862</v>
      </c>
      <c r="E641" s="90">
        <v>1</v>
      </c>
      <c r="F641" s="90">
        <v>1</v>
      </c>
      <c r="G641" s="90">
        <f t="shared" ref="G641:G667" si="24">+E641-F641</f>
        <v>0</v>
      </c>
      <c r="H641" s="91">
        <f t="shared" ref="H641:H667" si="25">IFERROR(IF(7&lt;&gt;0, F641*100/E641, IF(E641=F641, F641*100/E641, 0)), 0)</f>
        <v>100</v>
      </c>
    </row>
    <row r="642" spans="1:8" x14ac:dyDescent="0.3">
      <c r="A642" s="89" t="s">
        <v>1046</v>
      </c>
      <c r="B642" s="89" t="s">
        <v>89</v>
      </c>
      <c r="C642" s="89" t="s">
        <v>853</v>
      </c>
      <c r="D642" s="89" t="s">
        <v>762</v>
      </c>
      <c r="E642" s="90">
        <v>1</v>
      </c>
      <c r="F642" s="90">
        <v>1</v>
      </c>
      <c r="G642" s="90">
        <f t="shared" si="24"/>
        <v>0</v>
      </c>
      <c r="H642" s="91">
        <f t="shared" si="25"/>
        <v>100</v>
      </c>
    </row>
    <row r="643" spans="1:8" x14ac:dyDescent="0.3">
      <c r="A643" s="89" t="s">
        <v>1046</v>
      </c>
      <c r="B643" s="89" t="s">
        <v>96</v>
      </c>
      <c r="C643" s="89" t="s">
        <v>95</v>
      </c>
      <c r="D643" s="89" t="s">
        <v>862</v>
      </c>
      <c r="E643" s="90">
        <v>1</v>
      </c>
      <c r="F643" s="90">
        <v>1</v>
      </c>
      <c r="G643" s="90">
        <f t="shared" si="24"/>
        <v>0</v>
      </c>
      <c r="H643" s="91">
        <f t="shared" si="25"/>
        <v>100</v>
      </c>
    </row>
    <row r="644" spans="1:8" x14ac:dyDescent="0.3">
      <c r="A644" s="89" t="s">
        <v>1046</v>
      </c>
      <c r="B644" s="89" t="s">
        <v>107</v>
      </c>
      <c r="C644" s="89" t="s">
        <v>831</v>
      </c>
      <c r="D644" s="89"/>
      <c r="E644" s="90"/>
      <c r="F644" s="90"/>
      <c r="G644" s="90">
        <f t="shared" si="24"/>
        <v>0</v>
      </c>
      <c r="H644" s="91">
        <f t="shared" si="25"/>
        <v>0</v>
      </c>
    </row>
    <row r="645" spans="1:8" x14ac:dyDescent="0.3">
      <c r="A645" s="89" t="s">
        <v>1046</v>
      </c>
      <c r="B645" s="89" t="s">
        <v>108</v>
      </c>
      <c r="C645" s="89" t="s">
        <v>843</v>
      </c>
      <c r="D645" s="89" t="s">
        <v>862</v>
      </c>
      <c r="E645" s="90">
        <f>932</f>
        <v>932</v>
      </c>
      <c r="F645" s="90">
        <f>901</f>
        <v>901</v>
      </c>
      <c r="G645" s="90">
        <f t="shared" si="24"/>
        <v>31</v>
      </c>
      <c r="H645" s="91">
        <f t="shared" si="25"/>
        <v>96.673819742489272</v>
      </c>
    </row>
    <row r="646" spans="1:8" x14ac:dyDescent="0.3">
      <c r="A646" s="89" t="s">
        <v>1046</v>
      </c>
      <c r="B646" s="89" t="s">
        <v>109</v>
      </c>
      <c r="C646" s="89" t="s">
        <v>853</v>
      </c>
      <c r="D646" s="89" t="s">
        <v>744</v>
      </c>
      <c r="E646" s="90">
        <v>36</v>
      </c>
      <c r="F646" s="90">
        <v>0</v>
      </c>
      <c r="G646" s="90">
        <f t="shared" si="24"/>
        <v>36</v>
      </c>
      <c r="H646" s="91">
        <f t="shared" si="25"/>
        <v>0</v>
      </c>
    </row>
    <row r="647" spans="1:8" x14ac:dyDescent="0.3">
      <c r="A647" s="89" t="s">
        <v>1046</v>
      </c>
      <c r="B647" s="89" t="s">
        <v>113</v>
      </c>
      <c r="C647" s="89" t="s">
        <v>831</v>
      </c>
      <c r="D647" s="89"/>
      <c r="E647" s="90"/>
      <c r="F647" s="90"/>
      <c r="G647" s="90">
        <f t="shared" si="24"/>
        <v>0</v>
      </c>
      <c r="H647" s="91">
        <f t="shared" si="25"/>
        <v>0</v>
      </c>
    </row>
    <row r="648" spans="1:8" x14ac:dyDescent="0.3">
      <c r="A648" s="89" t="s">
        <v>1046</v>
      </c>
      <c r="B648" s="89" t="s">
        <v>114</v>
      </c>
      <c r="C648" s="89" t="s">
        <v>843</v>
      </c>
      <c r="D648" s="89" t="s">
        <v>862</v>
      </c>
      <c r="E648" s="90">
        <v>1038</v>
      </c>
      <c r="F648" s="90">
        <v>904</v>
      </c>
      <c r="G648" s="90">
        <f t="shared" si="24"/>
        <v>134</v>
      </c>
      <c r="H648" s="91">
        <f t="shared" si="25"/>
        <v>87.090558766859345</v>
      </c>
    </row>
    <row r="649" spans="1:8" x14ac:dyDescent="0.3">
      <c r="A649" s="93" t="s">
        <v>1046</v>
      </c>
      <c r="B649" s="93" t="s">
        <v>115</v>
      </c>
      <c r="C649" s="93" t="s">
        <v>853</v>
      </c>
      <c r="D649" s="93" t="s">
        <v>862</v>
      </c>
      <c r="E649" s="92">
        <v>1</v>
      </c>
      <c r="F649" s="92">
        <v>1</v>
      </c>
      <c r="G649" s="92">
        <f t="shared" si="24"/>
        <v>0</v>
      </c>
      <c r="H649" s="94">
        <f t="shared" si="25"/>
        <v>100</v>
      </c>
    </row>
    <row r="650" spans="1:8" x14ac:dyDescent="0.3">
      <c r="A650" s="89" t="s">
        <v>1046</v>
      </c>
      <c r="B650" s="89" t="s">
        <v>120</v>
      </c>
      <c r="C650" s="89" t="s">
        <v>831</v>
      </c>
      <c r="D650" s="89"/>
      <c r="E650" s="90"/>
      <c r="F650" s="90"/>
      <c r="G650" s="90">
        <f t="shared" si="24"/>
        <v>0</v>
      </c>
      <c r="H650" s="91">
        <f t="shared" si="25"/>
        <v>0</v>
      </c>
    </row>
    <row r="651" spans="1:8" x14ac:dyDescent="0.3">
      <c r="A651" s="89" t="s">
        <v>1046</v>
      </c>
      <c r="B651" s="89" t="s">
        <v>126</v>
      </c>
      <c r="C651" s="89" t="s">
        <v>831</v>
      </c>
      <c r="D651" s="89"/>
      <c r="E651" s="90"/>
      <c r="F651" s="90"/>
      <c r="G651" s="90">
        <f t="shared" si="24"/>
        <v>0</v>
      </c>
      <c r="H651" s="91">
        <f t="shared" si="25"/>
        <v>0</v>
      </c>
    </row>
    <row r="652" spans="1:8" x14ac:dyDescent="0.3">
      <c r="A652" s="89" t="s">
        <v>1046</v>
      </c>
      <c r="B652" s="89" t="s">
        <v>127</v>
      </c>
      <c r="C652" s="89" t="s">
        <v>843</v>
      </c>
      <c r="D652" s="89" t="s">
        <v>862</v>
      </c>
      <c r="E652" s="90">
        <v>2</v>
      </c>
      <c r="F652" s="90">
        <v>2</v>
      </c>
      <c r="G652" s="90">
        <f t="shared" si="24"/>
        <v>0</v>
      </c>
      <c r="H652" s="91">
        <f t="shared" si="25"/>
        <v>100</v>
      </c>
    </row>
    <row r="653" spans="1:8" x14ac:dyDescent="0.3">
      <c r="A653" s="89" t="s">
        <v>1046</v>
      </c>
      <c r="B653" s="89" t="s">
        <v>128</v>
      </c>
      <c r="C653" s="89" t="s">
        <v>853</v>
      </c>
      <c r="D653" s="89" t="s">
        <v>862</v>
      </c>
      <c r="E653" s="90">
        <v>1</v>
      </c>
      <c r="F653" s="90">
        <v>1</v>
      </c>
      <c r="G653" s="90">
        <f t="shared" si="24"/>
        <v>0</v>
      </c>
      <c r="H653" s="91">
        <f t="shared" si="25"/>
        <v>100</v>
      </c>
    </row>
    <row r="654" spans="1:8" x14ac:dyDescent="0.3">
      <c r="A654" s="89" t="s">
        <v>1046</v>
      </c>
      <c r="B654" s="89" t="s">
        <v>129</v>
      </c>
      <c r="C654" s="89" t="s">
        <v>831</v>
      </c>
      <c r="D654" s="89"/>
      <c r="E654" s="90"/>
      <c r="F654" s="90"/>
      <c r="G654" s="90">
        <f t="shared" si="24"/>
        <v>0</v>
      </c>
      <c r="H654" s="91">
        <f t="shared" si="25"/>
        <v>0</v>
      </c>
    </row>
    <row r="655" spans="1:8" x14ac:dyDescent="0.3">
      <c r="A655" s="89" t="s">
        <v>1046</v>
      </c>
      <c r="B655" s="89" t="s">
        <v>130</v>
      </c>
      <c r="C655" s="89" t="s">
        <v>843</v>
      </c>
      <c r="D655" s="89" t="s">
        <v>862</v>
      </c>
      <c r="E655" s="90">
        <v>1</v>
      </c>
      <c r="F655" s="90">
        <v>1</v>
      </c>
      <c r="G655" s="90">
        <f t="shared" si="24"/>
        <v>0</v>
      </c>
      <c r="H655" s="91">
        <f t="shared" si="25"/>
        <v>100</v>
      </c>
    </row>
    <row r="656" spans="1:8" x14ac:dyDescent="0.3">
      <c r="A656" s="89" t="s">
        <v>1046</v>
      </c>
      <c r="B656" s="89" t="s">
        <v>131</v>
      </c>
      <c r="C656" s="89" t="s">
        <v>853</v>
      </c>
      <c r="D656" s="89" t="s">
        <v>862</v>
      </c>
      <c r="E656" s="90">
        <v>1</v>
      </c>
      <c r="F656" s="90">
        <v>1</v>
      </c>
      <c r="G656" s="90">
        <f t="shared" si="24"/>
        <v>0</v>
      </c>
      <c r="H656" s="91">
        <f t="shared" si="25"/>
        <v>100</v>
      </c>
    </row>
    <row r="657" spans="1:8" x14ac:dyDescent="0.3">
      <c r="A657" s="89" t="s">
        <v>1046</v>
      </c>
      <c r="B657" s="89" t="s">
        <v>141</v>
      </c>
      <c r="C657" s="89" t="s">
        <v>95</v>
      </c>
      <c r="D657" s="89"/>
      <c r="E657" s="90"/>
      <c r="F657" s="90"/>
      <c r="G657" s="90">
        <f t="shared" si="24"/>
        <v>0</v>
      </c>
      <c r="H657" s="91">
        <f t="shared" si="25"/>
        <v>0</v>
      </c>
    </row>
    <row r="658" spans="1:8" x14ac:dyDescent="0.3">
      <c r="A658" s="89" t="s">
        <v>1046</v>
      </c>
      <c r="B658" s="89" t="s">
        <v>155</v>
      </c>
      <c r="C658" s="89" t="s">
        <v>831</v>
      </c>
      <c r="D658" s="89"/>
      <c r="E658" s="90"/>
      <c r="F658" s="90"/>
      <c r="G658" s="90">
        <f t="shared" si="24"/>
        <v>0</v>
      </c>
      <c r="H658" s="91">
        <f t="shared" si="25"/>
        <v>0</v>
      </c>
    </row>
    <row r="659" spans="1:8" x14ac:dyDescent="0.3">
      <c r="A659" s="89" t="s">
        <v>1046</v>
      </c>
      <c r="B659" s="89" t="s">
        <v>156</v>
      </c>
      <c r="C659" s="89" t="s">
        <v>843</v>
      </c>
      <c r="D659" s="89"/>
      <c r="E659" s="90"/>
      <c r="F659" s="90"/>
      <c r="G659" s="90">
        <f t="shared" si="24"/>
        <v>0</v>
      </c>
      <c r="H659" s="91">
        <f t="shared" si="25"/>
        <v>0</v>
      </c>
    </row>
    <row r="660" spans="1:8" x14ac:dyDescent="0.3">
      <c r="A660" s="89" t="s">
        <v>1046</v>
      </c>
      <c r="B660" s="89" t="s">
        <v>157</v>
      </c>
      <c r="C660" s="89" t="s">
        <v>853</v>
      </c>
      <c r="D660" s="89"/>
      <c r="E660" s="90"/>
      <c r="F660" s="90"/>
      <c r="G660" s="90">
        <f t="shared" si="24"/>
        <v>0</v>
      </c>
      <c r="H660" s="91">
        <f t="shared" si="25"/>
        <v>0</v>
      </c>
    </row>
    <row r="661" spans="1:8" x14ac:dyDescent="0.3">
      <c r="A661" s="89" t="s">
        <v>1046</v>
      </c>
      <c r="B661" s="89" t="s">
        <v>164</v>
      </c>
      <c r="C661" s="89" t="s">
        <v>95</v>
      </c>
      <c r="D661" s="89" t="s">
        <v>862</v>
      </c>
      <c r="E661" s="90">
        <v>1</v>
      </c>
      <c r="F661" s="90">
        <v>1</v>
      </c>
      <c r="G661" s="90">
        <f t="shared" si="24"/>
        <v>0</v>
      </c>
      <c r="H661" s="91">
        <f t="shared" si="25"/>
        <v>100</v>
      </c>
    </row>
    <row r="662" spans="1:8" x14ac:dyDescent="0.3">
      <c r="A662" s="89" t="s">
        <v>1046</v>
      </c>
      <c r="B662" s="89" t="s">
        <v>167</v>
      </c>
      <c r="C662" s="89" t="s">
        <v>863</v>
      </c>
      <c r="D662" s="89"/>
      <c r="E662" s="90"/>
      <c r="F662" s="90"/>
      <c r="G662" s="90">
        <f t="shared" si="24"/>
        <v>0</v>
      </c>
      <c r="H662" s="91">
        <f t="shared" si="25"/>
        <v>0</v>
      </c>
    </row>
    <row r="663" spans="1:8" x14ac:dyDescent="0.3">
      <c r="A663" s="89" t="s">
        <v>1046</v>
      </c>
      <c r="B663" s="89" t="s">
        <v>169</v>
      </c>
      <c r="C663" s="89" t="s">
        <v>863</v>
      </c>
      <c r="D663" s="89" t="s">
        <v>862</v>
      </c>
      <c r="E663" s="90"/>
      <c r="F663" s="90"/>
      <c r="G663" s="90">
        <f t="shared" si="24"/>
        <v>0</v>
      </c>
      <c r="H663" s="91">
        <f t="shared" si="25"/>
        <v>0</v>
      </c>
    </row>
    <row r="664" spans="1:8" x14ac:dyDescent="0.3">
      <c r="A664" s="89" t="s">
        <v>1046</v>
      </c>
      <c r="B664" s="89" t="s">
        <v>171</v>
      </c>
      <c r="C664" s="89" t="s">
        <v>863</v>
      </c>
      <c r="D664" s="89" t="s">
        <v>862</v>
      </c>
      <c r="E664" s="90"/>
      <c r="F664" s="90"/>
      <c r="G664" s="90">
        <f t="shared" si="24"/>
        <v>0</v>
      </c>
      <c r="H664" s="91">
        <f t="shared" si="25"/>
        <v>0</v>
      </c>
    </row>
    <row r="665" spans="1:8" x14ac:dyDescent="0.3">
      <c r="A665" s="89" t="s">
        <v>1046</v>
      </c>
      <c r="B665" s="89" t="s">
        <v>172</v>
      </c>
      <c r="C665" s="89" t="s">
        <v>863</v>
      </c>
      <c r="D665" s="89" t="s">
        <v>862</v>
      </c>
      <c r="E665" s="90"/>
      <c r="F665" s="90"/>
      <c r="G665" s="90">
        <f t="shared" si="24"/>
        <v>0</v>
      </c>
      <c r="H665" s="91">
        <f t="shared" si="25"/>
        <v>0</v>
      </c>
    </row>
    <row r="666" spans="1:8" x14ac:dyDescent="0.3">
      <c r="A666" s="89" t="s">
        <v>1046</v>
      </c>
      <c r="B666" s="89" t="s">
        <v>174</v>
      </c>
      <c r="C666" s="89" t="s">
        <v>95</v>
      </c>
      <c r="D666" s="89" t="s">
        <v>862</v>
      </c>
      <c r="E666" s="90">
        <v>2</v>
      </c>
      <c r="F666" s="90">
        <v>2</v>
      </c>
      <c r="G666" s="90">
        <f t="shared" si="24"/>
        <v>0</v>
      </c>
      <c r="H666" s="91">
        <f t="shared" si="25"/>
        <v>100</v>
      </c>
    </row>
    <row r="667" spans="1:8" x14ac:dyDescent="0.3">
      <c r="A667" s="89" t="s">
        <v>1046</v>
      </c>
      <c r="B667" s="89" t="s">
        <v>1012</v>
      </c>
      <c r="C667" s="89" t="s">
        <v>863</v>
      </c>
      <c r="D667" s="89" t="s">
        <v>862</v>
      </c>
      <c r="E667" s="90"/>
      <c r="F667" s="90"/>
      <c r="G667" s="90">
        <f t="shared" si="24"/>
        <v>0</v>
      </c>
      <c r="H667" s="91">
        <f t="shared" si="25"/>
        <v>0</v>
      </c>
    </row>
    <row r="668" spans="1:8" x14ac:dyDescent="0.3">
      <c r="A668" s="89" t="s">
        <v>1046</v>
      </c>
      <c r="B668" s="89" t="s">
        <v>1013</v>
      </c>
      <c r="C668" s="89" t="s">
        <v>863</v>
      </c>
      <c r="D668" s="89" t="s">
        <v>862</v>
      </c>
      <c r="E668" s="90"/>
      <c r="F668" s="90"/>
      <c r="G668" s="90">
        <f t="shared" ref="G668:G725" si="26">+E668-F668</f>
        <v>0</v>
      </c>
      <c r="H668" s="91">
        <f t="shared" ref="H668:H725" si="27">IFERROR(IF(7&lt;&gt;0, F668*100/E668, IF(E668=F668, F668*100/E668, 0)), 0)</f>
        <v>0</v>
      </c>
    </row>
    <row r="669" spans="1:8" x14ac:dyDescent="0.3">
      <c r="A669" s="89" t="s">
        <v>1046</v>
      </c>
      <c r="B669" s="89" t="s">
        <v>1014</v>
      </c>
      <c r="C669" s="89" t="s">
        <v>863</v>
      </c>
      <c r="D669" s="89" t="s">
        <v>862</v>
      </c>
      <c r="E669" s="90"/>
      <c r="F669" s="90"/>
      <c r="G669" s="90">
        <f t="shared" si="26"/>
        <v>0</v>
      </c>
      <c r="H669" s="91">
        <f t="shared" si="27"/>
        <v>0</v>
      </c>
    </row>
    <row r="670" spans="1:8" x14ac:dyDescent="0.3">
      <c r="A670" s="89" t="s">
        <v>1046</v>
      </c>
      <c r="B670" s="89" t="s">
        <v>179</v>
      </c>
      <c r="C670" s="89" t="s">
        <v>863</v>
      </c>
      <c r="D670" s="89"/>
      <c r="E670" s="90"/>
      <c r="F670" s="90"/>
      <c r="G670" s="90">
        <f t="shared" si="26"/>
        <v>0</v>
      </c>
      <c r="H670" s="91">
        <f t="shared" si="27"/>
        <v>0</v>
      </c>
    </row>
    <row r="671" spans="1:8" x14ac:dyDescent="0.3">
      <c r="A671" s="89" t="s">
        <v>1046</v>
      </c>
      <c r="B671" s="89" t="s">
        <v>181</v>
      </c>
      <c r="C671" s="89" t="s">
        <v>863</v>
      </c>
      <c r="D671" s="89"/>
      <c r="E671" s="90"/>
      <c r="F671" s="90"/>
      <c r="G671" s="90">
        <f t="shared" si="26"/>
        <v>0</v>
      </c>
      <c r="H671" s="91">
        <f t="shared" si="27"/>
        <v>0</v>
      </c>
    </row>
    <row r="672" spans="1:8" x14ac:dyDescent="0.3">
      <c r="A672" s="101" t="s">
        <v>1038</v>
      </c>
      <c r="B672" s="101" t="s">
        <v>189</v>
      </c>
      <c r="C672" s="101" t="s">
        <v>831</v>
      </c>
      <c r="D672" s="101" t="s">
        <v>1033</v>
      </c>
      <c r="E672" s="101">
        <v>18</v>
      </c>
      <c r="F672" s="101">
        <v>18</v>
      </c>
      <c r="G672" s="90">
        <f t="shared" si="26"/>
        <v>0</v>
      </c>
      <c r="H672" s="91">
        <f t="shared" si="27"/>
        <v>100</v>
      </c>
    </row>
    <row r="673" spans="1:8" x14ac:dyDescent="0.3">
      <c r="A673" s="89" t="s">
        <v>1046</v>
      </c>
      <c r="B673" s="89" t="s">
        <v>190</v>
      </c>
      <c r="C673" s="89" t="s">
        <v>843</v>
      </c>
      <c r="D673" s="89" t="s">
        <v>862</v>
      </c>
      <c r="E673" s="90">
        <f>44+16</f>
        <v>60</v>
      </c>
      <c r="F673" s="90">
        <v>60</v>
      </c>
      <c r="G673" s="90">
        <f t="shared" si="26"/>
        <v>0</v>
      </c>
      <c r="H673" s="91">
        <f t="shared" si="27"/>
        <v>100</v>
      </c>
    </row>
    <row r="674" spans="1:8" x14ac:dyDescent="0.3">
      <c r="A674" s="89" t="s">
        <v>1046</v>
      </c>
      <c r="B674" s="89" t="s">
        <v>191</v>
      </c>
      <c r="C674" s="89" t="s">
        <v>853</v>
      </c>
      <c r="D674" s="89" t="s">
        <v>862</v>
      </c>
      <c r="E674" s="90">
        <v>1</v>
      </c>
      <c r="F674" s="90">
        <v>1</v>
      </c>
      <c r="G674" s="90">
        <f t="shared" si="26"/>
        <v>0</v>
      </c>
      <c r="H674" s="91">
        <f t="shared" si="27"/>
        <v>100</v>
      </c>
    </row>
    <row r="675" spans="1:8" x14ac:dyDescent="0.3">
      <c r="A675" s="89" t="s">
        <v>1046</v>
      </c>
      <c r="B675" s="89" t="s">
        <v>193</v>
      </c>
      <c r="C675" s="89" t="s">
        <v>95</v>
      </c>
      <c r="D675" s="89"/>
      <c r="E675" s="90"/>
      <c r="F675" s="90"/>
      <c r="G675" s="90">
        <f t="shared" si="26"/>
        <v>0</v>
      </c>
      <c r="H675" s="91">
        <f t="shared" si="27"/>
        <v>0</v>
      </c>
    </row>
    <row r="676" spans="1:8" x14ac:dyDescent="0.3">
      <c r="A676" s="89" t="s">
        <v>1046</v>
      </c>
      <c r="B676" s="89" t="s">
        <v>203</v>
      </c>
      <c r="C676" s="89" t="s">
        <v>95</v>
      </c>
      <c r="D676" s="89"/>
      <c r="E676" s="90"/>
      <c r="F676" s="90"/>
      <c r="G676" s="90">
        <f t="shared" si="26"/>
        <v>0</v>
      </c>
      <c r="H676" s="91">
        <f t="shared" si="27"/>
        <v>0</v>
      </c>
    </row>
    <row r="677" spans="1:8" x14ac:dyDescent="0.3">
      <c r="A677" s="89" t="s">
        <v>1047</v>
      </c>
      <c r="B677" s="89" t="s">
        <v>47</v>
      </c>
      <c r="C677" s="89" t="s">
        <v>831</v>
      </c>
      <c r="D677" s="89"/>
      <c r="E677" s="90"/>
      <c r="F677" s="90"/>
      <c r="G677" s="90">
        <f t="shared" si="26"/>
        <v>0</v>
      </c>
      <c r="H677" s="91">
        <f t="shared" si="27"/>
        <v>0</v>
      </c>
    </row>
    <row r="678" spans="1:8" x14ac:dyDescent="0.3">
      <c r="A678" s="89" t="s">
        <v>1047</v>
      </c>
      <c r="B678" s="89" t="s">
        <v>49</v>
      </c>
      <c r="C678" s="89" t="s">
        <v>843</v>
      </c>
      <c r="D678" s="89" t="s">
        <v>862</v>
      </c>
      <c r="E678" s="90">
        <v>65</v>
      </c>
      <c r="F678" s="90">
        <v>65</v>
      </c>
      <c r="G678" s="90">
        <f t="shared" si="26"/>
        <v>0</v>
      </c>
      <c r="H678" s="91">
        <f t="shared" si="27"/>
        <v>100</v>
      </c>
    </row>
    <row r="679" spans="1:8" x14ac:dyDescent="0.3">
      <c r="A679" s="89" t="s">
        <v>1047</v>
      </c>
      <c r="B679" s="89" t="s">
        <v>1032</v>
      </c>
      <c r="C679" s="89" t="s">
        <v>843</v>
      </c>
      <c r="D679" s="89" t="s">
        <v>862</v>
      </c>
      <c r="E679" s="95">
        <v>50</v>
      </c>
      <c r="F679" s="95">
        <v>50</v>
      </c>
      <c r="G679" s="90">
        <f t="shared" si="26"/>
        <v>0</v>
      </c>
      <c r="H679" s="91">
        <f t="shared" si="27"/>
        <v>100</v>
      </c>
    </row>
    <row r="680" spans="1:8" x14ac:dyDescent="0.3">
      <c r="A680" s="89" t="s">
        <v>1047</v>
      </c>
      <c r="B680" s="89" t="s">
        <v>51</v>
      </c>
      <c r="C680" s="89" t="s">
        <v>853</v>
      </c>
      <c r="D680" s="89" t="s">
        <v>862</v>
      </c>
      <c r="E680" s="90">
        <v>55</v>
      </c>
      <c r="F680" s="90">
        <v>46</v>
      </c>
      <c r="G680" s="90">
        <f t="shared" si="26"/>
        <v>9</v>
      </c>
      <c r="H680" s="91">
        <f t="shared" si="27"/>
        <v>83.63636363636364</v>
      </c>
    </row>
    <row r="681" spans="1:8" x14ac:dyDescent="0.3">
      <c r="A681" s="89" t="s">
        <v>1047</v>
      </c>
      <c r="B681" s="89" t="s">
        <v>55</v>
      </c>
      <c r="C681" s="89" t="s">
        <v>831</v>
      </c>
      <c r="D681" s="89"/>
      <c r="E681" s="90"/>
      <c r="F681" s="90"/>
      <c r="G681" s="90">
        <f t="shared" si="26"/>
        <v>0</v>
      </c>
      <c r="H681" s="91">
        <f t="shared" si="27"/>
        <v>0</v>
      </c>
    </row>
    <row r="682" spans="1:8" x14ac:dyDescent="0.3">
      <c r="A682" s="89" t="s">
        <v>1047</v>
      </c>
      <c r="B682" s="89" t="s">
        <v>56</v>
      </c>
      <c r="C682" s="89" t="s">
        <v>843</v>
      </c>
      <c r="D682" s="89"/>
      <c r="E682" s="90"/>
      <c r="F682" s="90"/>
      <c r="G682" s="90">
        <f t="shared" si="26"/>
        <v>0</v>
      </c>
      <c r="H682" s="91">
        <f t="shared" si="27"/>
        <v>0</v>
      </c>
    </row>
    <row r="683" spans="1:8" x14ac:dyDescent="0.3">
      <c r="A683" s="89" t="s">
        <v>1047</v>
      </c>
      <c r="B683" s="89" t="s">
        <v>57</v>
      </c>
      <c r="C683" s="89" t="s">
        <v>853</v>
      </c>
      <c r="D683" s="89" t="s">
        <v>762</v>
      </c>
      <c r="E683" s="90">
        <v>62</v>
      </c>
      <c r="F683" s="90">
        <v>27</v>
      </c>
      <c r="G683" s="90">
        <f t="shared" si="26"/>
        <v>35</v>
      </c>
      <c r="H683" s="91">
        <f t="shared" si="27"/>
        <v>43.548387096774192</v>
      </c>
    </row>
    <row r="684" spans="1:8" x14ac:dyDescent="0.3">
      <c r="A684" s="89" t="s">
        <v>1047</v>
      </c>
      <c r="B684" s="89" t="s">
        <v>75</v>
      </c>
      <c r="C684" s="89" t="s">
        <v>831</v>
      </c>
      <c r="D684" s="89"/>
      <c r="E684" s="90"/>
      <c r="F684" s="90"/>
      <c r="G684" s="90">
        <f t="shared" si="26"/>
        <v>0</v>
      </c>
      <c r="H684" s="91">
        <f t="shared" si="27"/>
        <v>0</v>
      </c>
    </row>
    <row r="685" spans="1:8" x14ac:dyDescent="0.3">
      <c r="A685" s="89" t="s">
        <v>1047</v>
      </c>
      <c r="B685" s="89" t="s">
        <v>76</v>
      </c>
      <c r="C685" s="89" t="s">
        <v>831</v>
      </c>
      <c r="D685" s="89"/>
      <c r="E685" s="90"/>
      <c r="F685" s="90"/>
      <c r="G685" s="90">
        <f t="shared" si="26"/>
        <v>0</v>
      </c>
      <c r="H685" s="91">
        <f t="shared" si="27"/>
        <v>0</v>
      </c>
    </row>
    <row r="686" spans="1:8" x14ac:dyDescent="0.3">
      <c r="A686" s="89" t="s">
        <v>1047</v>
      </c>
      <c r="B686" s="89" t="s">
        <v>77</v>
      </c>
      <c r="C686" s="89" t="s">
        <v>843</v>
      </c>
      <c r="D686" s="89" t="s">
        <v>862</v>
      </c>
      <c r="E686" s="90">
        <v>15</v>
      </c>
      <c r="F686" s="90">
        <v>9</v>
      </c>
      <c r="G686" s="90">
        <f t="shared" si="26"/>
        <v>6</v>
      </c>
      <c r="H686" s="91">
        <f t="shared" si="27"/>
        <v>60</v>
      </c>
    </row>
    <row r="687" spans="1:8" x14ac:dyDescent="0.3">
      <c r="A687" s="93" t="s">
        <v>1047</v>
      </c>
      <c r="B687" s="93" t="s">
        <v>78</v>
      </c>
      <c r="C687" s="93" t="s">
        <v>853</v>
      </c>
      <c r="D687" s="93" t="s">
        <v>862</v>
      </c>
      <c r="E687" s="92">
        <v>1</v>
      </c>
      <c r="F687" s="92">
        <v>1</v>
      </c>
      <c r="G687" s="92">
        <f t="shared" si="26"/>
        <v>0</v>
      </c>
      <c r="H687" s="94">
        <f t="shared" si="27"/>
        <v>100</v>
      </c>
    </row>
    <row r="688" spans="1:8" x14ac:dyDescent="0.3">
      <c r="A688" s="89" t="s">
        <v>1047</v>
      </c>
      <c r="B688" s="89" t="s">
        <v>87</v>
      </c>
      <c r="C688" s="89" t="s">
        <v>831</v>
      </c>
      <c r="D688" s="89"/>
      <c r="E688" s="90"/>
      <c r="F688" s="90"/>
      <c r="G688" s="90">
        <f t="shared" si="26"/>
        <v>0</v>
      </c>
      <c r="H688" s="91">
        <f t="shared" si="27"/>
        <v>0</v>
      </c>
    </row>
    <row r="689" spans="1:8" x14ac:dyDescent="0.3">
      <c r="A689" s="89" t="s">
        <v>1047</v>
      </c>
      <c r="B689" s="89" t="s">
        <v>88</v>
      </c>
      <c r="C689" s="89" t="s">
        <v>843</v>
      </c>
      <c r="D689" s="89" t="s">
        <v>862</v>
      </c>
      <c r="E689" s="90">
        <v>1</v>
      </c>
      <c r="F689" s="90">
        <v>1</v>
      </c>
      <c r="G689" s="90">
        <f t="shared" si="26"/>
        <v>0</v>
      </c>
      <c r="H689" s="91">
        <f t="shared" si="27"/>
        <v>100</v>
      </c>
    </row>
    <row r="690" spans="1:8" x14ac:dyDescent="0.3">
      <c r="A690" s="89" t="s">
        <v>1047</v>
      </c>
      <c r="B690" s="89" t="s">
        <v>89</v>
      </c>
      <c r="C690" s="89" t="s">
        <v>853</v>
      </c>
      <c r="D690" s="89" t="s">
        <v>762</v>
      </c>
      <c r="E690" s="90">
        <v>1</v>
      </c>
      <c r="F690" s="90">
        <v>1</v>
      </c>
      <c r="G690" s="90">
        <f t="shared" si="26"/>
        <v>0</v>
      </c>
      <c r="H690" s="91">
        <f t="shared" si="27"/>
        <v>100</v>
      </c>
    </row>
    <row r="691" spans="1:8" x14ac:dyDescent="0.3">
      <c r="A691" s="89" t="s">
        <v>1047</v>
      </c>
      <c r="B691" s="89" t="s">
        <v>96</v>
      </c>
      <c r="C691" s="89" t="s">
        <v>95</v>
      </c>
      <c r="D691" s="89" t="s">
        <v>862</v>
      </c>
      <c r="E691" s="90">
        <v>1</v>
      </c>
      <c r="F691" s="90">
        <v>1</v>
      </c>
      <c r="G691" s="90">
        <f t="shared" si="26"/>
        <v>0</v>
      </c>
      <c r="H691" s="91">
        <f t="shared" si="27"/>
        <v>100</v>
      </c>
    </row>
    <row r="692" spans="1:8" x14ac:dyDescent="0.3">
      <c r="A692" s="89" t="s">
        <v>1047</v>
      </c>
      <c r="B692" s="89" t="s">
        <v>107</v>
      </c>
      <c r="C692" s="89" t="s">
        <v>831</v>
      </c>
      <c r="D692" s="89"/>
      <c r="E692" s="90"/>
      <c r="F692" s="90"/>
      <c r="G692" s="90">
        <f t="shared" si="26"/>
        <v>0</v>
      </c>
      <c r="H692" s="91">
        <f t="shared" si="27"/>
        <v>0</v>
      </c>
    </row>
    <row r="693" spans="1:8" x14ac:dyDescent="0.3">
      <c r="A693" s="89" t="s">
        <v>1047</v>
      </c>
      <c r="B693" s="89" t="s">
        <v>108</v>
      </c>
      <c r="C693" s="89" t="s">
        <v>843</v>
      </c>
      <c r="D693" s="89" t="s">
        <v>862</v>
      </c>
      <c r="E693" s="90">
        <f>1198</f>
        <v>1198</v>
      </c>
      <c r="F693" s="90">
        <f>1154</f>
        <v>1154</v>
      </c>
      <c r="G693" s="90">
        <f t="shared" si="26"/>
        <v>44</v>
      </c>
      <c r="H693" s="91">
        <f t="shared" si="27"/>
        <v>96.327212020033386</v>
      </c>
    </row>
    <row r="694" spans="1:8" x14ac:dyDescent="0.3">
      <c r="A694" s="89" t="s">
        <v>1047</v>
      </c>
      <c r="B694" s="89" t="s">
        <v>109</v>
      </c>
      <c r="C694" s="89" t="s">
        <v>853</v>
      </c>
      <c r="D694" s="89" t="s">
        <v>744</v>
      </c>
      <c r="E694" s="90">
        <v>60</v>
      </c>
      <c r="F694" s="90">
        <v>0</v>
      </c>
      <c r="G694" s="90">
        <f t="shared" si="26"/>
        <v>60</v>
      </c>
      <c r="H694" s="91">
        <f t="shared" si="27"/>
        <v>0</v>
      </c>
    </row>
    <row r="695" spans="1:8" x14ac:dyDescent="0.3">
      <c r="A695" s="89" t="s">
        <v>1047</v>
      </c>
      <c r="B695" s="89" t="s">
        <v>113</v>
      </c>
      <c r="C695" s="89" t="s">
        <v>831</v>
      </c>
      <c r="D695" s="89"/>
      <c r="E695" s="90"/>
      <c r="F695" s="90"/>
      <c r="G695" s="90">
        <f t="shared" si="26"/>
        <v>0</v>
      </c>
      <c r="H695" s="91">
        <f t="shared" si="27"/>
        <v>0</v>
      </c>
    </row>
    <row r="696" spans="1:8" x14ac:dyDescent="0.3">
      <c r="A696" s="89" t="s">
        <v>1047</v>
      </c>
      <c r="B696" s="89" t="s">
        <v>114</v>
      </c>
      <c r="C696" s="89" t="s">
        <v>843</v>
      </c>
      <c r="D696" s="89" t="s">
        <v>862</v>
      </c>
      <c r="E696" s="90">
        <v>1299</v>
      </c>
      <c r="F696" s="90">
        <v>1123</v>
      </c>
      <c r="G696" s="90">
        <f t="shared" si="26"/>
        <v>176</v>
      </c>
      <c r="H696" s="91">
        <f t="shared" si="27"/>
        <v>86.451116243264053</v>
      </c>
    </row>
    <row r="697" spans="1:8" x14ac:dyDescent="0.3">
      <c r="A697" s="93" t="s">
        <v>1047</v>
      </c>
      <c r="B697" s="93" t="s">
        <v>115</v>
      </c>
      <c r="C697" s="93" t="s">
        <v>853</v>
      </c>
      <c r="D697" s="93" t="s">
        <v>862</v>
      </c>
      <c r="E697" s="92">
        <v>1</v>
      </c>
      <c r="F697" s="92">
        <v>1</v>
      </c>
      <c r="G697" s="92">
        <f t="shared" si="26"/>
        <v>0</v>
      </c>
      <c r="H697" s="94">
        <f t="shared" si="27"/>
        <v>100</v>
      </c>
    </row>
    <row r="698" spans="1:8" x14ac:dyDescent="0.3">
      <c r="A698" s="89" t="s">
        <v>1047</v>
      </c>
      <c r="B698" s="89" t="s">
        <v>120</v>
      </c>
      <c r="C698" s="89" t="s">
        <v>831</v>
      </c>
      <c r="D698" s="89"/>
      <c r="E698" s="90"/>
      <c r="F698" s="90"/>
      <c r="G698" s="90">
        <f t="shared" si="26"/>
        <v>0</v>
      </c>
      <c r="H698" s="91">
        <f t="shared" si="27"/>
        <v>0</v>
      </c>
    </row>
    <row r="699" spans="1:8" x14ac:dyDescent="0.3">
      <c r="A699" s="89" t="s">
        <v>1047</v>
      </c>
      <c r="B699" s="89" t="s">
        <v>126</v>
      </c>
      <c r="C699" s="89" t="s">
        <v>831</v>
      </c>
      <c r="D699" s="89"/>
      <c r="E699" s="90"/>
      <c r="F699" s="90"/>
      <c r="G699" s="90">
        <f t="shared" si="26"/>
        <v>0</v>
      </c>
      <c r="H699" s="91">
        <f t="shared" si="27"/>
        <v>0</v>
      </c>
    </row>
    <row r="700" spans="1:8" x14ac:dyDescent="0.3">
      <c r="A700" s="89" t="s">
        <v>1047</v>
      </c>
      <c r="B700" s="89" t="s">
        <v>127</v>
      </c>
      <c r="C700" s="89" t="s">
        <v>843</v>
      </c>
      <c r="D700" s="89" t="s">
        <v>862</v>
      </c>
      <c r="E700" s="90">
        <v>1</v>
      </c>
      <c r="F700" s="90">
        <v>1</v>
      </c>
      <c r="G700" s="90">
        <f t="shared" si="26"/>
        <v>0</v>
      </c>
      <c r="H700" s="91">
        <f t="shared" si="27"/>
        <v>100</v>
      </c>
    </row>
    <row r="701" spans="1:8" x14ac:dyDescent="0.3">
      <c r="A701" s="89" t="s">
        <v>1047</v>
      </c>
      <c r="B701" s="89" t="s">
        <v>128</v>
      </c>
      <c r="C701" s="89" t="s">
        <v>853</v>
      </c>
      <c r="D701" s="89" t="s">
        <v>862</v>
      </c>
      <c r="E701" s="90">
        <v>1</v>
      </c>
      <c r="F701" s="90">
        <v>1</v>
      </c>
      <c r="G701" s="90">
        <f t="shared" si="26"/>
        <v>0</v>
      </c>
      <c r="H701" s="91">
        <f t="shared" si="27"/>
        <v>100</v>
      </c>
    </row>
    <row r="702" spans="1:8" x14ac:dyDescent="0.3">
      <c r="A702" s="89" t="s">
        <v>1047</v>
      </c>
      <c r="B702" s="89" t="s">
        <v>129</v>
      </c>
      <c r="C702" s="89" t="s">
        <v>831</v>
      </c>
      <c r="D702" s="89"/>
      <c r="E702" s="90"/>
      <c r="F702" s="90"/>
      <c r="G702" s="90">
        <f t="shared" si="26"/>
        <v>0</v>
      </c>
      <c r="H702" s="91">
        <f t="shared" si="27"/>
        <v>0</v>
      </c>
    </row>
    <row r="703" spans="1:8" x14ac:dyDescent="0.3">
      <c r="A703" s="89" t="s">
        <v>1047</v>
      </c>
      <c r="B703" s="89" t="s">
        <v>130</v>
      </c>
      <c r="C703" s="89" t="s">
        <v>843</v>
      </c>
      <c r="D703" s="89" t="s">
        <v>862</v>
      </c>
      <c r="E703" s="90">
        <v>1</v>
      </c>
      <c r="F703" s="90">
        <v>1</v>
      </c>
      <c r="G703" s="90">
        <f t="shared" si="26"/>
        <v>0</v>
      </c>
      <c r="H703" s="91">
        <f t="shared" si="27"/>
        <v>100</v>
      </c>
    </row>
    <row r="704" spans="1:8" x14ac:dyDescent="0.3">
      <c r="A704" s="89" t="s">
        <v>1047</v>
      </c>
      <c r="B704" s="89" t="s">
        <v>131</v>
      </c>
      <c r="C704" s="89" t="s">
        <v>853</v>
      </c>
      <c r="D704" s="89" t="s">
        <v>862</v>
      </c>
      <c r="E704" s="90">
        <v>1</v>
      </c>
      <c r="F704" s="90">
        <v>1</v>
      </c>
      <c r="G704" s="90">
        <f t="shared" si="26"/>
        <v>0</v>
      </c>
      <c r="H704" s="91">
        <f t="shared" si="27"/>
        <v>100</v>
      </c>
    </row>
    <row r="705" spans="1:8" x14ac:dyDescent="0.3">
      <c r="A705" s="89" t="s">
        <v>1047</v>
      </c>
      <c r="B705" s="89" t="s">
        <v>141</v>
      </c>
      <c r="C705" s="89" t="s">
        <v>95</v>
      </c>
      <c r="D705" s="89"/>
      <c r="E705" s="90"/>
      <c r="F705" s="90"/>
      <c r="G705" s="90">
        <f t="shared" si="26"/>
        <v>0</v>
      </c>
      <c r="H705" s="91">
        <f t="shared" si="27"/>
        <v>0</v>
      </c>
    </row>
    <row r="706" spans="1:8" x14ac:dyDescent="0.3">
      <c r="A706" s="89" t="s">
        <v>1047</v>
      </c>
      <c r="B706" s="89" t="s">
        <v>155</v>
      </c>
      <c r="C706" s="89" t="s">
        <v>831</v>
      </c>
      <c r="D706" s="89"/>
      <c r="E706" s="90"/>
      <c r="F706" s="90"/>
      <c r="G706" s="90">
        <f t="shared" si="26"/>
        <v>0</v>
      </c>
      <c r="H706" s="91">
        <f t="shared" si="27"/>
        <v>0</v>
      </c>
    </row>
    <row r="707" spans="1:8" x14ac:dyDescent="0.3">
      <c r="A707" s="89" t="s">
        <v>1047</v>
      </c>
      <c r="B707" s="89" t="s">
        <v>156</v>
      </c>
      <c r="C707" s="89" t="s">
        <v>843</v>
      </c>
      <c r="D707" s="89"/>
      <c r="E707" s="90"/>
      <c r="F707" s="90"/>
      <c r="G707" s="90">
        <f t="shared" si="26"/>
        <v>0</v>
      </c>
      <c r="H707" s="91">
        <f t="shared" si="27"/>
        <v>0</v>
      </c>
    </row>
    <row r="708" spans="1:8" x14ac:dyDescent="0.3">
      <c r="A708" s="89" t="s">
        <v>1047</v>
      </c>
      <c r="B708" s="89" t="s">
        <v>157</v>
      </c>
      <c r="C708" s="89" t="s">
        <v>853</v>
      </c>
      <c r="D708" s="89"/>
      <c r="E708" s="90"/>
      <c r="F708" s="90"/>
      <c r="G708" s="90">
        <f t="shared" si="26"/>
        <v>0</v>
      </c>
      <c r="H708" s="91">
        <f t="shared" si="27"/>
        <v>0</v>
      </c>
    </row>
    <row r="709" spans="1:8" x14ac:dyDescent="0.3">
      <c r="A709" s="89" t="s">
        <v>1047</v>
      </c>
      <c r="B709" s="89" t="s">
        <v>164</v>
      </c>
      <c r="C709" s="89" t="s">
        <v>95</v>
      </c>
      <c r="D709" s="89" t="s">
        <v>862</v>
      </c>
      <c r="E709" s="90">
        <v>1</v>
      </c>
      <c r="F709" s="90">
        <v>1</v>
      </c>
      <c r="G709" s="90">
        <f t="shared" si="26"/>
        <v>0</v>
      </c>
      <c r="H709" s="91">
        <f t="shared" si="27"/>
        <v>100</v>
      </c>
    </row>
    <row r="710" spans="1:8" x14ac:dyDescent="0.3">
      <c r="A710" s="89" t="s">
        <v>1047</v>
      </c>
      <c r="B710" s="89" t="s">
        <v>167</v>
      </c>
      <c r="C710" s="89" t="s">
        <v>863</v>
      </c>
      <c r="D710" s="89"/>
      <c r="E710" s="90"/>
      <c r="F710" s="90"/>
      <c r="G710" s="90">
        <f t="shared" si="26"/>
        <v>0</v>
      </c>
      <c r="H710" s="91">
        <f t="shared" si="27"/>
        <v>0</v>
      </c>
    </row>
    <row r="711" spans="1:8" x14ac:dyDescent="0.3">
      <c r="A711" s="89" t="s">
        <v>1047</v>
      </c>
      <c r="B711" s="89" t="s">
        <v>169</v>
      </c>
      <c r="C711" s="89" t="s">
        <v>863</v>
      </c>
      <c r="D711" s="89" t="s">
        <v>862</v>
      </c>
      <c r="E711" s="90"/>
      <c r="F711" s="90"/>
      <c r="G711" s="90">
        <f t="shared" si="26"/>
        <v>0</v>
      </c>
      <c r="H711" s="91">
        <f t="shared" si="27"/>
        <v>0</v>
      </c>
    </row>
    <row r="712" spans="1:8" x14ac:dyDescent="0.3">
      <c r="A712" s="89" t="s">
        <v>1047</v>
      </c>
      <c r="B712" s="89" t="s">
        <v>171</v>
      </c>
      <c r="C712" s="89" t="s">
        <v>863</v>
      </c>
      <c r="D712" s="89" t="s">
        <v>862</v>
      </c>
      <c r="E712" s="90"/>
      <c r="F712" s="90"/>
      <c r="G712" s="90">
        <f t="shared" si="26"/>
        <v>0</v>
      </c>
      <c r="H712" s="91">
        <f t="shared" si="27"/>
        <v>0</v>
      </c>
    </row>
    <row r="713" spans="1:8" x14ac:dyDescent="0.3">
      <c r="A713" s="89" t="s">
        <v>1047</v>
      </c>
      <c r="B713" s="89" t="s">
        <v>172</v>
      </c>
      <c r="C713" s="89" t="s">
        <v>863</v>
      </c>
      <c r="D713" s="89" t="s">
        <v>862</v>
      </c>
      <c r="E713" s="90"/>
      <c r="F713" s="90"/>
      <c r="G713" s="90">
        <f t="shared" si="26"/>
        <v>0</v>
      </c>
      <c r="H713" s="91">
        <f t="shared" si="27"/>
        <v>0</v>
      </c>
    </row>
    <row r="714" spans="1:8" x14ac:dyDescent="0.3">
      <c r="A714" s="89" t="s">
        <v>1047</v>
      </c>
      <c r="B714" s="89" t="s">
        <v>174</v>
      </c>
      <c r="C714" s="89" t="s">
        <v>95</v>
      </c>
      <c r="D714" s="89" t="s">
        <v>862</v>
      </c>
      <c r="E714" s="90">
        <v>2</v>
      </c>
      <c r="F714" s="90">
        <v>2</v>
      </c>
      <c r="G714" s="90">
        <f t="shared" si="26"/>
        <v>0</v>
      </c>
      <c r="H714" s="91">
        <f t="shared" si="27"/>
        <v>100</v>
      </c>
    </row>
    <row r="715" spans="1:8" x14ac:dyDescent="0.3">
      <c r="A715" s="89" t="s">
        <v>1047</v>
      </c>
      <c r="B715" s="89" t="s">
        <v>1012</v>
      </c>
      <c r="C715" s="89" t="s">
        <v>863</v>
      </c>
      <c r="D715" s="89" t="s">
        <v>862</v>
      </c>
      <c r="E715" s="90"/>
      <c r="F715" s="90"/>
      <c r="G715" s="90">
        <f t="shared" si="26"/>
        <v>0</v>
      </c>
      <c r="H715" s="91">
        <f t="shared" si="27"/>
        <v>0</v>
      </c>
    </row>
    <row r="716" spans="1:8" x14ac:dyDescent="0.3">
      <c r="A716" s="89" t="s">
        <v>1047</v>
      </c>
      <c r="B716" s="89" t="s">
        <v>1013</v>
      </c>
      <c r="C716" s="89" t="s">
        <v>863</v>
      </c>
      <c r="D716" s="89" t="s">
        <v>862</v>
      </c>
      <c r="E716" s="90"/>
      <c r="F716" s="90"/>
      <c r="G716" s="90">
        <f t="shared" si="26"/>
        <v>0</v>
      </c>
      <c r="H716" s="91">
        <f t="shared" si="27"/>
        <v>0</v>
      </c>
    </row>
    <row r="717" spans="1:8" x14ac:dyDescent="0.3">
      <c r="A717" s="89" t="s">
        <v>1047</v>
      </c>
      <c r="B717" s="89" t="s">
        <v>1014</v>
      </c>
      <c r="C717" s="89" t="s">
        <v>863</v>
      </c>
      <c r="D717" s="89" t="s">
        <v>862</v>
      </c>
      <c r="E717" s="90"/>
      <c r="F717" s="90"/>
      <c r="G717" s="90">
        <f t="shared" si="26"/>
        <v>0</v>
      </c>
      <c r="H717" s="91">
        <f t="shared" si="27"/>
        <v>0</v>
      </c>
    </row>
    <row r="718" spans="1:8" x14ac:dyDescent="0.3">
      <c r="A718" s="89" t="s">
        <v>1047</v>
      </c>
      <c r="B718" s="89" t="s">
        <v>179</v>
      </c>
      <c r="C718" s="89" t="s">
        <v>863</v>
      </c>
      <c r="D718" s="89"/>
      <c r="E718" s="90"/>
      <c r="F718" s="90"/>
      <c r="G718" s="90">
        <f t="shared" si="26"/>
        <v>0</v>
      </c>
      <c r="H718" s="91">
        <f t="shared" si="27"/>
        <v>0</v>
      </c>
    </row>
    <row r="719" spans="1:8" x14ac:dyDescent="0.3">
      <c r="A719" s="89" t="s">
        <v>1047</v>
      </c>
      <c r="B719" s="89" t="s">
        <v>181</v>
      </c>
      <c r="C719" s="89" t="s">
        <v>863</v>
      </c>
      <c r="D719" s="89"/>
      <c r="E719" s="90"/>
      <c r="F719" s="90"/>
      <c r="G719" s="90">
        <f t="shared" si="26"/>
        <v>0</v>
      </c>
      <c r="H719" s="91">
        <f t="shared" si="27"/>
        <v>0</v>
      </c>
    </row>
    <row r="720" spans="1:8" x14ac:dyDescent="0.3">
      <c r="A720" s="101" t="s">
        <v>1040</v>
      </c>
      <c r="B720" s="101" t="s">
        <v>189</v>
      </c>
      <c r="C720" s="101" t="s">
        <v>831</v>
      </c>
      <c r="D720" s="101" t="s">
        <v>1033</v>
      </c>
      <c r="E720" s="101">
        <v>6</v>
      </c>
      <c r="F720" s="101">
        <v>6</v>
      </c>
      <c r="G720" s="90">
        <f t="shared" ref="G720" si="28">+E720-F720</f>
        <v>0</v>
      </c>
      <c r="H720" s="91">
        <f t="shared" ref="H720" si="29">IFERROR(IF(7&lt;&gt;0, F720*100/E720, IF(E720=F720, F720*100/E720, 0)), 0)</f>
        <v>100</v>
      </c>
    </row>
    <row r="721" spans="1:8" x14ac:dyDescent="0.3">
      <c r="A721" s="101" t="s">
        <v>1039</v>
      </c>
      <c r="B721" s="101" t="s">
        <v>189</v>
      </c>
      <c r="C721" s="101" t="s">
        <v>831</v>
      </c>
      <c r="D721" s="101" t="s">
        <v>1033</v>
      </c>
      <c r="E721" s="101">
        <v>18</v>
      </c>
      <c r="F721" s="101">
        <v>18</v>
      </c>
      <c r="G721" s="90">
        <f t="shared" si="26"/>
        <v>0</v>
      </c>
      <c r="H721" s="91">
        <f t="shared" si="27"/>
        <v>100</v>
      </c>
    </row>
    <row r="722" spans="1:8" x14ac:dyDescent="0.3">
      <c r="A722" s="89" t="s">
        <v>1047</v>
      </c>
      <c r="B722" s="89" t="s">
        <v>190</v>
      </c>
      <c r="C722" s="89" t="s">
        <v>843</v>
      </c>
      <c r="D722" s="89" t="s">
        <v>862</v>
      </c>
      <c r="E722" s="90">
        <v>50</v>
      </c>
      <c r="F722" s="90">
        <v>50</v>
      </c>
      <c r="G722" s="90">
        <f t="shared" si="26"/>
        <v>0</v>
      </c>
      <c r="H722" s="91">
        <f t="shared" si="27"/>
        <v>100</v>
      </c>
    </row>
    <row r="723" spans="1:8" x14ac:dyDescent="0.3">
      <c r="A723" s="89" t="s">
        <v>1047</v>
      </c>
      <c r="B723" s="89" t="s">
        <v>191</v>
      </c>
      <c r="C723" s="89" t="s">
        <v>853</v>
      </c>
      <c r="D723" s="89" t="s">
        <v>862</v>
      </c>
      <c r="E723" s="90">
        <v>1</v>
      </c>
      <c r="F723" s="90">
        <v>1</v>
      </c>
      <c r="G723" s="90">
        <f t="shared" si="26"/>
        <v>0</v>
      </c>
      <c r="H723" s="91">
        <f t="shared" si="27"/>
        <v>100</v>
      </c>
    </row>
    <row r="724" spans="1:8" x14ac:dyDescent="0.3">
      <c r="A724" s="89" t="s">
        <v>1047</v>
      </c>
      <c r="B724" s="89" t="s">
        <v>193</v>
      </c>
      <c r="C724" s="89" t="s">
        <v>95</v>
      </c>
      <c r="D724" s="89"/>
      <c r="E724" s="90"/>
      <c r="F724" s="90"/>
      <c r="G724" s="90">
        <f t="shared" si="26"/>
        <v>0</v>
      </c>
      <c r="H724" s="91">
        <f t="shared" si="27"/>
        <v>0</v>
      </c>
    </row>
    <row r="725" spans="1:8" x14ac:dyDescent="0.3">
      <c r="A725" s="89" t="s">
        <v>1047</v>
      </c>
      <c r="B725" s="89" t="s">
        <v>203</v>
      </c>
      <c r="C725" s="89" t="s">
        <v>95</v>
      </c>
      <c r="D725" s="89"/>
      <c r="E725" s="90"/>
      <c r="F725" s="90"/>
      <c r="G725" s="90">
        <f t="shared" si="26"/>
        <v>0</v>
      </c>
      <c r="H725" s="91">
        <f t="shared" si="27"/>
        <v>0</v>
      </c>
    </row>
    <row r="726" spans="1:8" x14ac:dyDescent="0.3">
      <c r="A726" s="89" t="s">
        <v>1041</v>
      </c>
      <c r="B726" s="89" t="s">
        <v>1048</v>
      </c>
      <c r="C726" s="89" t="s">
        <v>843</v>
      </c>
      <c r="D726" s="89" t="s">
        <v>744</v>
      </c>
      <c r="E726" s="90">
        <f>13+9+8</f>
        <v>30</v>
      </c>
      <c r="F726" s="90">
        <f>6+10+12</f>
        <v>28</v>
      </c>
      <c r="G726" s="90">
        <f t="shared" ref="G726:G742" si="30">+E726-F726</f>
        <v>2</v>
      </c>
      <c r="H726" s="91">
        <f t="shared" ref="H726:H742" si="31">IFERROR(IF(7&lt;&gt;0, F726*100/E726, IF(E726=F726, F726*100/E726, 0)), 0)</f>
        <v>93.333333333333329</v>
      </c>
    </row>
    <row r="727" spans="1:8" x14ac:dyDescent="0.3">
      <c r="A727" s="89" t="s">
        <v>1042</v>
      </c>
      <c r="B727" s="89" t="s">
        <v>1048</v>
      </c>
      <c r="C727" s="89" t="s">
        <v>843</v>
      </c>
      <c r="D727" s="89" t="s">
        <v>744</v>
      </c>
      <c r="E727" s="90">
        <f>9+5+4</f>
        <v>18</v>
      </c>
      <c r="F727" s="90">
        <f>4+3+11</f>
        <v>18</v>
      </c>
      <c r="G727" s="90">
        <f t="shared" si="30"/>
        <v>0</v>
      </c>
      <c r="H727" s="91">
        <f t="shared" si="31"/>
        <v>100</v>
      </c>
    </row>
    <row r="728" spans="1:8" x14ac:dyDescent="0.3">
      <c r="A728" s="89" t="s">
        <v>1043</v>
      </c>
      <c r="B728" s="89" t="s">
        <v>1048</v>
      </c>
      <c r="C728" s="89" t="s">
        <v>843</v>
      </c>
      <c r="D728" s="89" t="s">
        <v>744</v>
      </c>
      <c r="E728" s="90">
        <f>4+7+5</f>
        <v>16</v>
      </c>
      <c r="F728" s="90">
        <f>5+7+4</f>
        <v>16</v>
      </c>
      <c r="G728" s="90">
        <f t="shared" si="30"/>
        <v>0</v>
      </c>
      <c r="H728" s="91">
        <f t="shared" si="31"/>
        <v>100</v>
      </c>
    </row>
    <row r="729" spans="1:8" x14ac:dyDescent="0.3">
      <c r="A729" s="89" t="s">
        <v>1047</v>
      </c>
      <c r="B729" s="89" t="s">
        <v>1048</v>
      </c>
      <c r="C729" s="89" t="s">
        <v>843</v>
      </c>
      <c r="D729" s="89" t="s">
        <v>744</v>
      </c>
      <c r="E729" s="90">
        <v>16</v>
      </c>
      <c r="F729" s="90">
        <v>15</v>
      </c>
      <c r="G729" s="90">
        <f t="shared" si="30"/>
        <v>1</v>
      </c>
      <c r="H729" s="91">
        <f t="shared" si="31"/>
        <v>93.75</v>
      </c>
    </row>
    <row r="730" spans="1:8" x14ac:dyDescent="0.3">
      <c r="A730" s="89" t="s">
        <v>1045</v>
      </c>
      <c r="B730" s="89" t="s">
        <v>1048</v>
      </c>
      <c r="C730" s="89" t="s">
        <v>843</v>
      </c>
      <c r="D730" s="89" t="s">
        <v>744</v>
      </c>
      <c r="E730" s="90">
        <f>10+5</f>
        <v>15</v>
      </c>
      <c r="F730" s="90">
        <f>4+9</f>
        <v>13</v>
      </c>
      <c r="G730" s="90">
        <f t="shared" si="30"/>
        <v>2</v>
      </c>
      <c r="H730" s="91">
        <f t="shared" si="31"/>
        <v>86.666666666666671</v>
      </c>
    </row>
    <row r="731" spans="1:8" x14ac:dyDescent="0.3">
      <c r="A731" s="89" t="s">
        <v>1040</v>
      </c>
      <c r="B731" s="89" t="s">
        <v>1048</v>
      </c>
      <c r="C731" s="89" t="s">
        <v>843</v>
      </c>
      <c r="D731" s="89" t="s">
        <v>744</v>
      </c>
      <c r="E731" s="90">
        <v>15</v>
      </c>
      <c r="F731" s="90">
        <v>15</v>
      </c>
      <c r="G731" s="90">
        <f t="shared" si="30"/>
        <v>0</v>
      </c>
      <c r="H731" s="91">
        <f t="shared" si="31"/>
        <v>100</v>
      </c>
    </row>
    <row r="732" spans="1:8" x14ac:dyDescent="0.3">
      <c r="A732" s="89" t="s">
        <v>1046</v>
      </c>
      <c r="B732" s="89" t="s">
        <v>1048</v>
      </c>
      <c r="C732" s="89" t="s">
        <v>843</v>
      </c>
      <c r="D732" s="89" t="s">
        <v>744</v>
      </c>
      <c r="E732" s="90">
        <f>11+3</f>
        <v>14</v>
      </c>
      <c r="F732" s="90">
        <f>5+12</f>
        <v>17</v>
      </c>
      <c r="G732" s="90">
        <f t="shared" si="30"/>
        <v>-3</v>
      </c>
      <c r="H732" s="91">
        <f t="shared" si="31"/>
        <v>121.42857142857143</v>
      </c>
    </row>
    <row r="733" spans="1:8" x14ac:dyDescent="0.3">
      <c r="A733" s="89" t="s">
        <v>1044</v>
      </c>
      <c r="B733" s="89" t="s">
        <v>1048</v>
      </c>
      <c r="C733" s="89" t="s">
        <v>843</v>
      </c>
      <c r="D733" s="89" t="s">
        <v>744</v>
      </c>
      <c r="E733" s="90">
        <f>5+10</f>
        <v>15</v>
      </c>
      <c r="F733" s="90">
        <v>15</v>
      </c>
      <c r="G733" s="90">
        <f t="shared" si="30"/>
        <v>0</v>
      </c>
      <c r="H733" s="91">
        <f t="shared" si="31"/>
        <v>100</v>
      </c>
    </row>
    <row r="734" spans="1:8" x14ac:dyDescent="0.3">
      <c r="A734" s="89" t="str">
        <f>+A726</f>
        <v>David</v>
      </c>
      <c r="B734" s="89" t="s">
        <v>108</v>
      </c>
      <c r="C734" s="89" t="s">
        <v>843</v>
      </c>
      <c r="D734" s="89" t="s">
        <v>762</v>
      </c>
      <c r="E734" s="90">
        <f>633+145+234+115+147+847</f>
        <v>2121</v>
      </c>
      <c r="F734" s="90">
        <f>112+516+128+45+121+84+115+740+73+72+59+56</f>
        <v>2121</v>
      </c>
      <c r="G734" s="90">
        <f t="shared" si="30"/>
        <v>0</v>
      </c>
      <c r="H734" s="91">
        <f t="shared" si="31"/>
        <v>100</v>
      </c>
    </row>
    <row r="735" spans="1:8" x14ac:dyDescent="0.3">
      <c r="A735" s="89" t="str">
        <f t="shared" ref="A735:A741" si="32">+A727</f>
        <v>Jhony</v>
      </c>
      <c r="B735" s="89" t="s">
        <v>108</v>
      </c>
      <c r="C735" s="89" t="s">
        <v>843</v>
      </c>
      <c r="D735" s="89" t="s">
        <v>762</v>
      </c>
      <c r="E735" s="90">
        <f>325+167+178+104+67+71</f>
        <v>912</v>
      </c>
      <c r="F735" s="90">
        <f>30+37+52+17+105+64+38+65+156+149+16+138</f>
        <v>867</v>
      </c>
      <c r="G735" s="90">
        <f t="shared" si="30"/>
        <v>45</v>
      </c>
      <c r="H735" s="91">
        <f t="shared" si="31"/>
        <v>95.065789473684205</v>
      </c>
    </row>
    <row r="736" spans="1:8" x14ac:dyDescent="0.3">
      <c r="A736" s="89" t="str">
        <f t="shared" si="32"/>
        <v>Norma</v>
      </c>
      <c r="B736" s="89" t="s">
        <v>108</v>
      </c>
      <c r="C736" s="89" t="s">
        <v>843</v>
      </c>
      <c r="D736" s="89" t="s">
        <v>762</v>
      </c>
      <c r="E736" s="90">
        <f>376+210+282+67+206+41</f>
        <v>1182</v>
      </c>
      <c r="F736" s="90">
        <f>110+95+24+17+113+276+35+156+152+125+39+28</f>
        <v>1170</v>
      </c>
      <c r="G736" s="90">
        <f t="shared" si="30"/>
        <v>12</v>
      </c>
      <c r="H736" s="91">
        <f t="shared" si="31"/>
        <v>98.984771573604064</v>
      </c>
    </row>
    <row r="737" spans="1:8" x14ac:dyDescent="0.3">
      <c r="A737" s="89" t="str">
        <f t="shared" si="32"/>
        <v>Yimi</v>
      </c>
      <c r="B737" s="89" t="s">
        <v>108</v>
      </c>
      <c r="C737" s="89" t="s">
        <v>843</v>
      </c>
      <c r="D737" s="89" t="s">
        <v>762</v>
      </c>
      <c r="E737" s="90">
        <f>731+467</f>
        <v>1198</v>
      </c>
      <c r="F737" s="90">
        <f>257+445+77+234</f>
        <v>1013</v>
      </c>
      <c r="G737" s="90">
        <f t="shared" si="30"/>
        <v>185</v>
      </c>
      <c r="H737" s="91">
        <f t="shared" si="31"/>
        <v>84.557595993322209</v>
      </c>
    </row>
    <row r="738" spans="1:8" x14ac:dyDescent="0.3">
      <c r="A738" s="89" t="str">
        <f t="shared" si="32"/>
        <v>Nubia</v>
      </c>
      <c r="B738" s="89" t="s">
        <v>108</v>
      </c>
      <c r="C738" s="89" t="s">
        <v>843</v>
      </c>
      <c r="D738" s="89" t="s">
        <v>762</v>
      </c>
      <c r="E738" s="90">
        <f>484+269+187+182</f>
        <v>1122</v>
      </c>
      <c r="F738" s="90">
        <f>105+78+76+95+219+220+90+175</f>
        <v>1058</v>
      </c>
      <c r="G738" s="90">
        <f t="shared" si="30"/>
        <v>64</v>
      </c>
      <c r="H738" s="91">
        <f t="shared" si="31"/>
        <v>94.29590017825312</v>
      </c>
    </row>
    <row r="739" spans="1:8" x14ac:dyDescent="0.3">
      <c r="A739" s="89" t="str">
        <f t="shared" si="32"/>
        <v>Jennifer</v>
      </c>
      <c r="B739" s="89" t="s">
        <v>108</v>
      </c>
      <c r="C739" s="89" t="s">
        <v>843</v>
      </c>
      <c r="D739" s="89" t="s">
        <v>762</v>
      </c>
      <c r="E739" s="90">
        <f>220+369</f>
        <v>589</v>
      </c>
      <c r="F739" s="90">
        <f>114+107+123+254</f>
        <v>598</v>
      </c>
      <c r="G739" s="90">
        <f t="shared" si="30"/>
        <v>-9</v>
      </c>
      <c r="H739" s="91">
        <f t="shared" si="31"/>
        <v>101.52801358234295</v>
      </c>
    </row>
    <row r="740" spans="1:8" x14ac:dyDescent="0.3">
      <c r="A740" s="89" t="str">
        <f t="shared" si="32"/>
        <v>Zamir</v>
      </c>
      <c r="B740" s="89" t="s">
        <v>108</v>
      </c>
      <c r="C740" s="89" t="s">
        <v>843</v>
      </c>
      <c r="D740" s="89" t="s">
        <v>762</v>
      </c>
      <c r="E740" s="90">
        <f>465+351+53+63</f>
        <v>932</v>
      </c>
      <c r="F740" s="90">
        <f>59+89+19+39+177+277+93+258</f>
        <v>1011</v>
      </c>
      <c r="G740" s="90">
        <f t="shared" si="30"/>
        <v>-79</v>
      </c>
      <c r="H740" s="91">
        <f t="shared" si="31"/>
        <v>108.47639484978541</v>
      </c>
    </row>
    <row r="741" spans="1:8" x14ac:dyDescent="0.3">
      <c r="A741" s="89" t="str">
        <f t="shared" si="32"/>
        <v>Goel</v>
      </c>
      <c r="B741" s="89" t="s">
        <v>108</v>
      </c>
      <c r="C741" s="89" t="s">
        <v>843</v>
      </c>
      <c r="D741" s="89" t="s">
        <v>762</v>
      </c>
      <c r="E741" s="90">
        <f>154+188+529+175</f>
        <v>1046</v>
      </c>
      <c r="F741" s="90">
        <f>263+237+75+74+74+75+76+73+90</f>
        <v>1037</v>
      </c>
      <c r="G741" s="90">
        <f t="shared" si="30"/>
        <v>9</v>
      </c>
      <c r="H741" s="91">
        <f t="shared" si="31"/>
        <v>99.139579349904395</v>
      </c>
    </row>
    <row r="742" spans="1:8" x14ac:dyDescent="0.3">
      <c r="A742" s="89" t="s">
        <v>1038</v>
      </c>
      <c r="B742" s="89" t="s">
        <v>1049</v>
      </c>
      <c r="C742" s="89" t="s">
        <v>831</v>
      </c>
      <c r="D742" s="89" t="s">
        <v>762</v>
      </c>
      <c r="E742" s="90">
        <f>59+121+108</f>
        <v>288</v>
      </c>
      <c r="F742" s="90">
        <v>288</v>
      </c>
      <c r="G742" s="90">
        <f t="shared" si="30"/>
        <v>0</v>
      </c>
      <c r="H742" s="91">
        <f t="shared" si="31"/>
        <v>100</v>
      </c>
    </row>
    <row r="743" spans="1:8" x14ac:dyDescent="0.3">
      <c r="A743" s="89" t="s">
        <v>1039</v>
      </c>
      <c r="B743" s="89" t="s">
        <v>1049</v>
      </c>
      <c r="C743" s="89" t="s">
        <v>831</v>
      </c>
      <c r="D743" s="89" t="s">
        <v>762</v>
      </c>
      <c r="E743" s="90">
        <f>101+52+48</f>
        <v>201</v>
      </c>
      <c r="F743" s="90">
        <v>201</v>
      </c>
      <c r="G743" s="90">
        <f t="shared" ref="G743" si="33">+E743-F743</f>
        <v>0</v>
      </c>
      <c r="H743" s="91">
        <f t="shared" ref="H743" si="34">IFERROR(IF(7&lt;&gt;0, F743*100/E743, IF(E743=F743, F743*100/E743, 0)), 0)</f>
        <v>100</v>
      </c>
    </row>
    <row r="744" spans="1:8" x14ac:dyDescent="0.3">
      <c r="A744" s="89" t="s">
        <v>1037</v>
      </c>
      <c r="B744" s="89" t="s">
        <v>1049</v>
      </c>
      <c r="C744" s="89" t="s">
        <v>831</v>
      </c>
      <c r="D744" s="89" t="s">
        <v>762</v>
      </c>
      <c r="E744" s="90">
        <f>190+174+83</f>
        <v>447</v>
      </c>
      <c r="F744" s="90">
        <f>190+174+83</f>
        <v>447</v>
      </c>
      <c r="G744" s="90">
        <f t="shared" ref="G744:G746" si="35">+E744-F744</f>
        <v>0</v>
      </c>
      <c r="H744" s="91">
        <f t="shared" ref="H744:H746" si="36">IFERROR(IF(7&lt;&gt;0, F744*100/E744, IF(E744=F744, F744*100/E744, 0)), 0)</f>
        <v>100</v>
      </c>
    </row>
    <row r="745" spans="1:8" x14ac:dyDescent="0.3">
      <c r="A745" s="89" t="s">
        <v>1034</v>
      </c>
      <c r="B745" s="89" t="s">
        <v>1049</v>
      </c>
      <c r="C745" s="89" t="s">
        <v>831</v>
      </c>
      <c r="D745" s="89" t="s">
        <v>762</v>
      </c>
      <c r="E745" s="90">
        <f>101+54</f>
        <v>155</v>
      </c>
      <c r="F745" s="90">
        <v>155</v>
      </c>
      <c r="G745" s="90">
        <f t="shared" si="35"/>
        <v>0</v>
      </c>
      <c r="H745" s="91">
        <f t="shared" si="36"/>
        <v>100</v>
      </c>
    </row>
    <row r="746" spans="1:8" x14ac:dyDescent="0.3">
      <c r="A746" s="89" t="s">
        <v>1031</v>
      </c>
      <c r="B746" s="89" t="s">
        <v>1049</v>
      </c>
      <c r="C746" s="89" t="s">
        <v>831</v>
      </c>
      <c r="D746" s="89" t="s">
        <v>762</v>
      </c>
      <c r="E746" s="90">
        <f>87+50</f>
        <v>137</v>
      </c>
      <c r="F746" s="90">
        <f>50+87</f>
        <v>137</v>
      </c>
      <c r="G746" s="90">
        <f t="shared" si="35"/>
        <v>0</v>
      </c>
      <c r="H746" s="91">
        <f t="shared" si="36"/>
        <v>100</v>
      </c>
    </row>
    <row r="747" spans="1:8" x14ac:dyDescent="0.3">
      <c r="A747" s="89" t="s">
        <v>1040</v>
      </c>
      <c r="B747" s="89" t="s">
        <v>1049</v>
      </c>
      <c r="C747" s="89" t="s">
        <v>831</v>
      </c>
      <c r="D747" s="89" t="s">
        <v>762</v>
      </c>
      <c r="E747" s="90">
        <v>64</v>
      </c>
      <c r="F747" s="90">
        <v>64</v>
      </c>
      <c r="G747" s="90">
        <f t="shared" ref="G747" si="37">+E747-F747</f>
        <v>0</v>
      </c>
      <c r="H747" s="91">
        <f t="shared" ref="H747" si="38">IFERROR(IF(7&lt;&gt;0, F747*100/E747, IF(E747=F747, F747*100/E747, 0)), 0)</f>
        <v>100</v>
      </c>
    </row>
    <row r="748" spans="1:8" x14ac:dyDescent="0.3">
      <c r="A748" s="89" t="s">
        <v>1035</v>
      </c>
      <c r="B748" s="89" t="s">
        <v>1049</v>
      </c>
      <c r="C748" s="89" t="s">
        <v>831</v>
      </c>
      <c r="D748" s="89" t="s">
        <v>762</v>
      </c>
      <c r="E748" s="90">
        <f>57+160</f>
        <v>217</v>
      </c>
      <c r="F748" s="90">
        <f>160+57</f>
        <v>217</v>
      </c>
      <c r="G748" s="90">
        <f t="shared" ref="G748:G749" si="39">+E748-F748</f>
        <v>0</v>
      </c>
      <c r="H748" s="91">
        <f t="shared" ref="H748:H749" si="40">IFERROR(IF(7&lt;&gt;0, F748*100/E748, IF(E748=F748, F748*100/E748, 0)), 0)</f>
        <v>100</v>
      </c>
    </row>
    <row r="749" spans="1:8" x14ac:dyDescent="0.3">
      <c r="A749" s="89" t="s">
        <v>1036</v>
      </c>
      <c r="B749" s="89" t="s">
        <v>1049</v>
      </c>
      <c r="C749" s="89" t="s">
        <v>831</v>
      </c>
      <c r="D749" s="89" t="s">
        <v>762</v>
      </c>
      <c r="E749" s="90">
        <v>132</v>
      </c>
      <c r="F749" s="90">
        <v>132</v>
      </c>
      <c r="G749" s="90">
        <f t="shared" si="39"/>
        <v>0</v>
      </c>
      <c r="H749" s="91">
        <f t="shared" si="40"/>
        <v>100</v>
      </c>
    </row>
    <row r="750" spans="1:8" ht="24.9" customHeight="1" x14ac:dyDescent="0.3">
      <c r="A750" s="110" t="s">
        <v>1050</v>
      </c>
      <c r="B750" s="110"/>
      <c r="C750" s="110"/>
      <c r="D750" s="110"/>
      <c r="E750" s="98">
        <f>SUBTOTAL(9,E4:E749)</f>
        <v>42053</v>
      </c>
      <c r="F750" s="98">
        <f>SUBTOTAL(9,F5:F749)</f>
        <v>38725</v>
      </c>
      <c r="G750" s="98">
        <f>+E750-F750</f>
        <v>3328</v>
      </c>
      <c r="H750" s="99">
        <f>IFERROR(IF(7&lt;&gt;0, F750*100/E750, IF(E750=F750, F750*100/E750, 0)), 0)</f>
        <v>92.086176967160483</v>
      </c>
    </row>
  </sheetData>
  <autoFilter ref="A3:H749" xr:uid="{02D5B8AC-A69F-4CCC-9CF5-6E817C1B49DE}"/>
  <mergeCells count="1">
    <mergeCell ref="A750:D750"/>
  </mergeCells>
  <conditionalFormatting sqref="H4:H750">
    <cfRule type="cellIs" dxfId="7" priority="1" operator="between">
      <formula>0</formula>
      <formula>69.9</formula>
    </cfRule>
    <cfRule type="cellIs" dxfId="6" priority="2" operator="between">
      <formula>70</formula>
      <formula>79.9</formula>
    </cfRule>
    <cfRule type="cellIs" dxfId="5" priority="3" operator="between">
      <formula>80</formula>
      <formula>89.9</formula>
    </cfRule>
    <cfRule type="cellIs" dxfId="4" priority="4" operator="between">
      <formula>90</formula>
      <formula>120</formula>
    </cfRule>
  </conditionalFormatting>
  <pageMargins left="0.7" right="0.7" top="0.75" bottom="0.75" header="0.3" footer="0.3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29A0B-6BEE-46A3-AD29-F1C4C47885B6}">
  <dimension ref="A2:O771"/>
  <sheetViews>
    <sheetView tabSelected="1" zoomScale="107" zoomScaleNormal="100" workbookViewId="0">
      <pane xSplit="4" ySplit="3" topLeftCell="I122" activePane="bottomRight" state="frozen"/>
      <selection pane="topRight" activeCell="D1" sqref="D1"/>
      <selection pane="bottomLeft" activeCell="A4" sqref="A4"/>
      <selection pane="bottomRight" activeCell="J127" sqref="J127"/>
    </sheetView>
  </sheetViews>
  <sheetFormatPr baseColWidth="10" defaultColWidth="11.44140625" defaultRowHeight="14.4" x14ac:dyDescent="0.3"/>
  <cols>
    <col min="1" max="1" width="19.33203125" style="104" customWidth="1"/>
    <col min="2" max="2" width="66.109375" customWidth="1"/>
    <col min="3" max="3" width="18.6640625" customWidth="1"/>
    <col min="4" max="4" width="23.33203125" customWidth="1"/>
    <col min="5" max="9" width="4.77734375" customWidth="1"/>
    <col min="10" max="10" width="10.6640625" customWidth="1"/>
    <col min="11" max="11" width="12.88671875" customWidth="1"/>
    <col min="12" max="13" width="9" style="86" customWidth="1"/>
    <col min="14" max="14" width="6.5546875" style="86" customWidth="1"/>
    <col min="15" max="15" width="7.109375" customWidth="1"/>
  </cols>
  <sheetData>
    <row r="2" spans="1:15" ht="24.9" customHeight="1" x14ac:dyDescent="0.3">
      <c r="A2" s="105" t="s">
        <v>1025</v>
      </c>
      <c r="B2" s="96" t="s">
        <v>1026</v>
      </c>
      <c r="C2" s="96" t="s">
        <v>1082</v>
      </c>
      <c r="D2" s="96" t="s">
        <v>9</v>
      </c>
      <c r="E2" s="96" t="s">
        <v>1085</v>
      </c>
      <c r="F2" s="96" t="s">
        <v>1086</v>
      </c>
      <c r="G2" s="96" t="s">
        <v>1087</v>
      </c>
      <c r="H2" s="96" t="s">
        <v>1088</v>
      </c>
      <c r="I2" s="96" t="s">
        <v>1089</v>
      </c>
      <c r="J2" s="96" t="s">
        <v>1027</v>
      </c>
      <c r="K2" s="96" t="s">
        <v>1090</v>
      </c>
      <c r="L2" s="97" t="s">
        <v>1028</v>
      </c>
      <c r="M2" s="97" t="s">
        <v>1029</v>
      </c>
      <c r="N2" s="97" t="s">
        <v>1030</v>
      </c>
      <c r="O2" s="96" t="s">
        <v>27</v>
      </c>
    </row>
    <row r="3" spans="1:15" ht="30" customHeight="1" x14ac:dyDescent="0.3">
      <c r="A3" s="106"/>
      <c r="B3" s="87"/>
      <c r="C3" s="87"/>
      <c r="D3" s="87"/>
      <c r="E3" s="87"/>
      <c r="F3" s="87"/>
      <c r="G3" s="87"/>
      <c r="H3" s="87"/>
      <c r="I3" s="87"/>
      <c r="J3" s="87"/>
      <c r="K3" s="87"/>
      <c r="L3" s="88"/>
      <c r="M3" s="88"/>
      <c r="N3" s="88"/>
      <c r="O3" s="87"/>
    </row>
    <row r="4" spans="1:15" ht="24" x14ac:dyDescent="0.3">
      <c r="A4" s="106" t="s">
        <v>1076</v>
      </c>
      <c r="B4" s="102" t="s">
        <v>1053</v>
      </c>
      <c r="C4" s="102" t="s">
        <v>1083</v>
      </c>
      <c r="D4" s="89" t="s">
        <v>1069</v>
      </c>
      <c r="E4" s="89"/>
      <c r="F4" s="89"/>
      <c r="G4" s="89"/>
      <c r="H4" s="89"/>
      <c r="I4" s="89"/>
      <c r="J4" s="89" t="s">
        <v>1070</v>
      </c>
      <c r="K4" s="89" t="s">
        <v>1092</v>
      </c>
      <c r="L4" s="90">
        <v>349</v>
      </c>
      <c r="M4" s="90">
        <v>322</v>
      </c>
      <c r="N4" s="90">
        <f>+L4-M4</f>
        <v>27</v>
      </c>
      <c r="O4" s="91">
        <f>IFERROR(IF(7&lt;&gt;0, M4*100/L4, IF(L4=M4, M4*100/L4, 0)), 0)</f>
        <v>92.263610315186241</v>
      </c>
    </row>
    <row r="5" spans="1:15" x14ac:dyDescent="0.3">
      <c r="A5" s="106" t="s">
        <v>1076</v>
      </c>
      <c r="B5" s="102" t="s">
        <v>1054</v>
      </c>
      <c r="C5" s="102" t="s">
        <v>1083</v>
      </c>
      <c r="D5" s="89" t="s">
        <v>1069</v>
      </c>
      <c r="E5" s="89"/>
      <c r="F5" s="89"/>
      <c r="G5" s="89"/>
      <c r="H5" s="89"/>
      <c r="I5" s="89"/>
      <c r="J5" s="89" t="s">
        <v>1070</v>
      </c>
      <c r="K5" s="89" t="s">
        <v>1092</v>
      </c>
      <c r="L5" s="90">
        <v>340</v>
      </c>
      <c r="M5" s="90">
        <v>300</v>
      </c>
      <c r="N5" s="90">
        <f>+L5-M5</f>
        <v>40</v>
      </c>
      <c r="O5" s="91">
        <f>IFERROR(IF(7&lt;&gt;0, M5*100/L5, IF(L5=M5, M5*100/L5, 0)), 0)</f>
        <v>88.235294117647058</v>
      </c>
    </row>
    <row r="6" spans="1:15" x14ac:dyDescent="0.3">
      <c r="A6" s="106" t="s">
        <v>1076</v>
      </c>
      <c r="B6" s="102" t="s">
        <v>1055</v>
      </c>
      <c r="C6" s="102" t="s">
        <v>1083</v>
      </c>
      <c r="D6" s="89" t="s">
        <v>1069</v>
      </c>
      <c r="E6" s="89"/>
      <c r="F6" s="89"/>
      <c r="G6" s="89"/>
      <c r="H6" s="89"/>
      <c r="I6" s="89"/>
      <c r="J6" s="89" t="s">
        <v>1070</v>
      </c>
      <c r="K6" s="89" t="s">
        <v>1092</v>
      </c>
      <c r="L6" s="90">
        <v>330</v>
      </c>
      <c r="M6" s="90">
        <v>327</v>
      </c>
      <c r="N6" s="90">
        <f t="shared" ref="N6:N74" si="0">+L6-M6</f>
        <v>3</v>
      </c>
      <c r="O6" s="91">
        <f t="shared" ref="O6:O76" si="1">IFERROR(IF(7&lt;&gt;0, M6*100/L6, IF(L6=M6, M6*100/L6, 0)), 0)</f>
        <v>99.090909090909093</v>
      </c>
    </row>
    <row r="7" spans="1:15" ht="24" x14ac:dyDescent="0.3">
      <c r="A7" s="106" t="s">
        <v>1076</v>
      </c>
      <c r="B7" s="102" t="s">
        <v>1056</v>
      </c>
      <c r="C7" s="102" t="s">
        <v>1083</v>
      </c>
      <c r="D7" s="89" t="s">
        <v>1069</v>
      </c>
      <c r="E7" s="89"/>
      <c r="F7" s="89"/>
      <c r="G7" s="89"/>
      <c r="H7" s="89"/>
      <c r="I7" s="89"/>
      <c r="J7" s="89" t="s">
        <v>1070</v>
      </c>
      <c r="K7" s="89" t="s">
        <v>1091</v>
      </c>
      <c r="L7" s="90">
        <v>139</v>
      </c>
      <c r="M7" s="90">
        <v>334</v>
      </c>
      <c r="N7" s="90">
        <f t="shared" si="0"/>
        <v>-195</v>
      </c>
      <c r="O7" s="91">
        <f t="shared" si="1"/>
        <v>240.28776978417267</v>
      </c>
    </row>
    <row r="8" spans="1:15" ht="24" x14ac:dyDescent="0.3">
      <c r="A8" s="106" t="s">
        <v>1076</v>
      </c>
      <c r="B8" s="102" t="s">
        <v>1057</v>
      </c>
      <c r="C8" s="102" t="s">
        <v>1083</v>
      </c>
      <c r="D8" s="89" t="s">
        <v>1069</v>
      </c>
      <c r="E8" s="89"/>
      <c r="F8" s="89"/>
      <c r="G8" s="89"/>
      <c r="H8" s="89"/>
      <c r="I8" s="89"/>
      <c r="J8" s="89" t="s">
        <v>852</v>
      </c>
      <c r="K8" s="89" t="s">
        <v>1093</v>
      </c>
      <c r="L8" s="90"/>
      <c r="M8" s="90"/>
      <c r="N8" s="90">
        <f t="shared" si="0"/>
        <v>0</v>
      </c>
      <c r="O8" s="91">
        <f t="shared" si="1"/>
        <v>0</v>
      </c>
    </row>
    <row r="9" spans="1:15" ht="24" x14ac:dyDescent="0.3">
      <c r="A9" s="106" t="s">
        <v>1076</v>
      </c>
      <c r="B9" s="103" t="s">
        <v>1071</v>
      </c>
      <c r="C9" s="102" t="s">
        <v>1083</v>
      </c>
      <c r="D9" s="89" t="s">
        <v>1069</v>
      </c>
      <c r="E9" s="89"/>
      <c r="F9" s="89"/>
      <c r="G9" s="89"/>
      <c r="H9" s="89"/>
      <c r="I9" s="89"/>
      <c r="J9" s="89" t="s">
        <v>1070</v>
      </c>
      <c r="K9" s="89" t="s">
        <v>1094</v>
      </c>
      <c r="L9" s="90">
        <v>25</v>
      </c>
      <c r="M9" s="92">
        <v>25</v>
      </c>
      <c r="N9" s="90">
        <f t="shared" ref="N9:N11" si="2">+L9-M9</f>
        <v>0</v>
      </c>
      <c r="O9" s="91">
        <f t="shared" ref="O9:O11" si="3">IFERROR(IF(7&lt;&gt;0, M9*100/L9, IF(L9=M9, M9*100/L9, 0)), 0)</f>
        <v>100</v>
      </c>
    </row>
    <row r="10" spans="1:15" ht="24" x14ac:dyDescent="0.3">
      <c r="A10" s="106" t="s">
        <v>1076</v>
      </c>
      <c r="B10" s="102" t="s">
        <v>1060</v>
      </c>
      <c r="C10" s="102" t="s">
        <v>1083</v>
      </c>
      <c r="D10" s="89" t="s">
        <v>1069</v>
      </c>
      <c r="E10" s="89"/>
      <c r="F10" s="89"/>
      <c r="G10" s="89"/>
      <c r="H10" s="89"/>
      <c r="I10" s="89"/>
      <c r="J10" s="89" t="s">
        <v>842</v>
      </c>
      <c r="K10" s="89" t="s">
        <v>1094</v>
      </c>
      <c r="L10" s="90"/>
      <c r="M10" s="90"/>
      <c r="N10" s="90">
        <f t="shared" si="2"/>
        <v>0</v>
      </c>
      <c r="O10" s="91">
        <f t="shared" si="3"/>
        <v>0</v>
      </c>
    </row>
    <row r="11" spans="1:15" ht="24" x14ac:dyDescent="0.3">
      <c r="A11" s="106" t="s">
        <v>1076</v>
      </c>
      <c r="B11" s="102" t="s">
        <v>1061</v>
      </c>
      <c r="C11" s="102" t="s">
        <v>1083</v>
      </c>
      <c r="D11" s="89" t="s">
        <v>1069</v>
      </c>
      <c r="E11" s="89"/>
      <c r="F11" s="89"/>
      <c r="G11" s="89"/>
      <c r="H11" s="89"/>
      <c r="I11" s="89"/>
      <c r="J11" s="89" t="s">
        <v>1070</v>
      </c>
      <c r="K11" s="89" t="s">
        <v>1094</v>
      </c>
      <c r="L11" s="90">
        <v>25</v>
      </c>
      <c r="M11" s="90">
        <v>21</v>
      </c>
      <c r="N11" s="90">
        <f t="shared" si="2"/>
        <v>4</v>
      </c>
      <c r="O11" s="91">
        <f t="shared" si="3"/>
        <v>84</v>
      </c>
    </row>
    <row r="12" spans="1:15" ht="36" x14ac:dyDescent="0.3">
      <c r="A12" s="89"/>
      <c r="B12" s="102" t="s">
        <v>1058</v>
      </c>
      <c r="C12" s="102"/>
      <c r="D12" s="89" t="s">
        <v>1073</v>
      </c>
      <c r="E12" s="89"/>
      <c r="F12" s="89"/>
      <c r="G12" s="89"/>
      <c r="H12" s="89"/>
      <c r="I12" s="89"/>
      <c r="J12" s="89" t="s">
        <v>1070</v>
      </c>
      <c r="K12" s="89"/>
      <c r="L12" s="90"/>
      <c r="M12" s="90"/>
      <c r="N12" s="90">
        <f t="shared" si="0"/>
        <v>0</v>
      </c>
      <c r="O12" s="91">
        <f t="shared" si="1"/>
        <v>0</v>
      </c>
    </row>
    <row r="13" spans="1:15" ht="36" x14ac:dyDescent="0.3">
      <c r="A13" s="89"/>
      <c r="B13" s="102" t="s">
        <v>1059</v>
      </c>
      <c r="C13" s="102"/>
      <c r="D13" s="89" t="s">
        <v>1073</v>
      </c>
      <c r="E13" s="89"/>
      <c r="F13" s="89"/>
      <c r="G13" s="89"/>
      <c r="H13" s="89"/>
      <c r="I13" s="89"/>
      <c r="J13" s="89" t="s">
        <v>1070</v>
      </c>
      <c r="K13" s="89"/>
      <c r="L13" s="90">
        <v>57</v>
      </c>
      <c r="M13" s="90">
        <v>43</v>
      </c>
      <c r="N13" s="90">
        <f t="shared" si="0"/>
        <v>14</v>
      </c>
      <c r="O13" s="91">
        <f t="shared" si="1"/>
        <v>75.438596491228068</v>
      </c>
    </row>
    <row r="14" spans="1:15" ht="24" x14ac:dyDescent="0.3">
      <c r="A14" s="89"/>
      <c r="B14" s="103" t="s">
        <v>1071</v>
      </c>
      <c r="C14" s="103"/>
      <c r="D14" s="89" t="s">
        <v>1073</v>
      </c>
      <c r="E14" s="89"/>
      <c r="F14" s="89"/>
      <c r="G14" s="89"/>
      <c r="H14" s="89"/>
      <c r="I14" s="89"/>
      <c r="J14" s="89" t="s">
        <v>1070</v>
      </c>
      <c r="K14" s="89"/>
      <c r="L14" s="90">
        <f>43+16+17</f>
        <v>76</v>
      </c>
      <c r="M14" s="92">
        <v>76</v>
      </c>
      <c r="N14" s="90">
        <f t="shared" si="0"/>
        <v>0</v>
      </c>
      <c r="O14" s="91">
        <f t="shared" si="1"/>
        <v>100</v>
      </c>
    </row>
    <row r="15" spans="1:15" ht="24" x14ac:dyDescent="0.3">
      <c r="A15" s="89"/>
      <c r="B15" s="102" t="s">
        <v>1060</v>
      </c>
      <c r="C15" s="102"/>
      <c r="D15" s="89" t="s">
        <v>1073</v>
      </c>
      <c r="E15" s="89"/>
      <c r="F15" s="89"/>
      <c r="G15" s="89"/>
      <c r="H15" s="89"/>
      <c r="I15" s="89"/>
      <c r="J15" s="89" t="s">
        <v>1070</v>
      </c>
      <c r="K15" s="89"/>
      <c r="L15" s="90">
        <v>2</v>
      </c>
      <c r="M15" s="90">
        <v>2</v>
      </c>
      <c r="N15" s="90">
        <f t="shared" si="0"/>
        <v>0</v>
      </c>
      <c r="O15" s="91">
        <f t="shared" si="1"/>
        <v>100</v>
      </c>
    </row>
    <row r="16" spans="1:15" ht="24" x14ac:dyDescent="0.3">
      <c r="A16" s="89"/>
      <c r="B16" s="102" t="s">
        <v>1061</v>
      </c>
      <c r="C16" s="102"/>
      <c r="D16" s="89" t="s">
        <v>1073</v>
      </c>
      <c r="E16" s="89"/>
      <c r="F16" s="89"/>
      <c r="G16" s="89"/>
      <c r="H16" s="89"/>
      <c r="I16" s="89"/>
      <c r="J16" s="89" t="s">
        <v>1070</v>
      </c>
      <c r="K16" s="89"/>
      <c r="L16" s="90"/>
      <c r="M16" s="90"/>
      <c r="N16" s="90">
        <f t="shared" si="0"/>
        <v>0</v>
      </c>
      <c r="O16" s="91">
        <f t="shared" si="1"/>
        <v>0</v>
      </c>
    </row>
    <row r="17" spans="1:15" ht="48" x14ac:dyDescent="0.3">
      <c r="A17" s="106" t="s">
        <v>1076</v>
      </c>
      <c r="B17" s="102" t="s">
        <v>1062</v>
      </c>
      <c r="C17" s="102" t="s">
        <v>1084</v>
      </c>
      <c r="D17" s="89" t="s">
        <v>1069</v>
      </c>
      <c r="E17" s="89"/>
      <c r="F17" s="89"/>
      <c r="G17" s="89"/>
      <c r="H17" s="89"/>
      <c r="I17" s="89"/>
      <c r="J17" s="89" t="s">
        <v>1070</v>
      </c>
      <c r="K17" s="89" t="s">
        <v>1095</v>
      </c>
      <c r="L17" s="90">
        <v>690</v>
      </c>
      <c r="M17" s="90">
        <v>593</v>
      </c>
      <c r="N17" s="90">
        <f t="shared" si="0"/>
        <v>97</v>
      </c>
      <c r="O17" s="91">
        <f t="shared" si="1"/>
        <v>85.94202898550725</v>
      </c>
    </row>
    <row r="18" spans="1:15" ht="24" x14ac:dyDescent="0.3">
      <c r="A18" s="106" t="s">
        <v>1076</v>
      </c>
      <c r="B18" s="102" t="s">
        <v>1063</v>
      </c>
      <c r="C18" s="102" t="s">
        <v>1084</v>
      </c>
      <c r="D18" s="89" t="s">
        <v>1069</v>
      </c>
      <c r="E18" s="89"/>
      <c r="F18" s="89"/>
      <c r="G18" s="89"/>
      <c r="H18" s="89"/>
      <c r="I18" s="89"/>
      <c r="J18" s="89" t="s">
        <v>1070</v>
      </c>
      <c r="K18" s="89" t="s">
        <v>1093</v>
      </c>
      <c r="L18" s="90">
        <v>53</v>
      </c>
      <c r="M18" s="90">
        <v>53</v>
      </c>
      <c r="N18" s="90">
        <f t="shared" si="0"/>
        <v>0</v>
      </c>
      <c r="O18" s="91">
        <f t="shared" si="1"/>
        <v>100</v>
      </c>
    </row>
    <row r="19" spans="1:15" ht="24" x14ac:dyDescent="0.3">
      <c r="A19" s="106" t="s">
        <v>1076</v>
      </c>
      <c r="B19" s="103" t="s">
        <v>1074</v>
      </c>
      <c r="C19" s="103" t="s">
        <v>1084</v>
      </c>
      <c r="D19" s="89" t="s">
        <v>1069</v>
      </c>
      <c r="E19" s="89"/>
      <c r="F19" s="89"/>
      <c r="G19" s="89"/>
      <c r="H19" s="89"/>
      <c r="I19" s="89"/>
      <c r="J19" s="89" t="s">
        <v>1070</v>
      </c>
      <c r="K19" s="89" t="s">
        <v>1096</v>
      </c>
      <c r="L19" s="90">
        <v>74</v>
      </c>
      <c r="M19" s="90">
        <v>74</v>
      </c>
      <c r="N19" s="90">
        <f t="shared" si="0"/>
        <v>0</v>
      </c>
      <c r="O19" s="91">
        <f t="shared" si="1"/>
        <v>100</v>
      </c>
    </row>
    <row r="20" spans="1:15" ht="48" x14ac:dyDescent="0.3">
      <c r="A20" s="106" t="s">
        <v>1076</v>
      </c>
      <c r="B20" s="102" t="s">
        <v>1064</v>
      </c>
      <c r="C20" s="103" t="s">
        <v>1084</v>
      </c>
      <c r="D20" s="89" t="s">
        <v>1069</v>
      </c>
      <c r="E20" s="89"/>
      <c r="F20" s="89"/>
      <c r="G20" s="89"/>
      <c r="H20" s="89"/>
      <c r="I20" s="89"/>
      <c r="J20" s="89" t="s">
        <v>1070</v>
      </c>
      <c r="K20" s="89" t="s">
        <v>1097</v>
      </c>
      <c r="L20" s="90">
        <v>1331</v>
      </c>
      <c r="M20" s="90">
        <v>1334</v>
      </c>
      <c r="N20" s="90">
        <f t="shared" si="0"/>
        <v>-3</v>
      </c>
      <c r="O20" s="91">
        <f t="shared" si="1"/>
        <v>100.22539444027048</v>
      </c>
    </row>
    <row r="21" spans="1:15" ht="24" x14ac:dyDescent="0.3">
      <c r="A21" s="106" t="s">
        <v>1076</v>
      </c>
      <c r="B21" s="103" t="s">
        <v>1074</v>
      </c>
      <c r="C21" s="103"/>
      <c r="D21" s="89" t="s">
        <v>1075</v>
      </c>
      <c r="E21" s="89"/>
      <c r="F21" s="89"/>
      <c r="G21" s="89"/>
      <c r="H21" s="89"/>
      <c r="I21" s="89"/>
      <c r="J21" s="89" t="s">
        <v>1070</v>
      </c>
      <c r="K21" s="89"/>
      <c r="L21" s="90"/>
      <c r="M21" s="90"/>
      <c r="N21" s="90">
        <f t="shared" si="0"/>
        <v>0</v>
      </c>
      <c r="O21" s="91">
        <f t="shared" si="1"/>
        <v>0</v>
      </c>
    </row>
    <row r="22" spans="1:15" ht="36" x14ac:dyDescent="0.3">
      <c r="A22" s="106" t="s">
        <v>1076</v>
      </c>
      <c r="B22" s="103" t="s">
        <v>1072</v>
      </c>
      <c r="C22" s="103"/>
      <c r="D22" s="89" t="s">
        <v>1075</v>
      </c>
      <c r="E22" s="89"/>
      <c r="F22" s="89"/>
      <c r="G22" s="89"/>
      <c r="H22" s="89"/>
      <c r="I22" s="89"/>
      <c r="J22" s="89" t="s">
        <v>1070</v>
      </c>
      <c r="K22" s="89"/>
      <c r="L22" s="90"/>
      <c r="M22" s="90"/>
      <c r="N22" s="90">
        <f t="shared" si="0"/>
        <v>0</v>
      </c>
      <c r="O22" s="91">
        <f t="shared" si="1"/>
        <v>0</v>
      </c>
    </row>
    <row r="23" spans="1:15" ht="24" x14ac:dyDescent="0.3">
      <c r="A23" s="106" t="s">
        <v>1076</v>
      </c>
      <c r="B23" s="102" t="s">
        <v>1065</v>
      </c>
      <c r="C23" s="102"/>
      <c r="D23" s="89" t="s">
        <v>1075</v>
      </c>
      <c r="E23" s="89"/>
      <c r="F23" s="89"/>
      <c r="G23" s="89"/>
      <c r="H23" s="89"/>
      <c r="I23" s="89"/>
      <c r="J23" s="89" t="s">
        <v>1070</v>
      </c>
      <c r="K23" s="89"/>
      <c r="L23" s="90"/>
      <c r="M23" s="90"/>
      <c r="N23" s="90">
        <f t="shared" si="0"/>
        <v>0</v>
      </c>
      <c r="O23" s="91">
        <f t="shared" si="1"/>
        <v>0</v>
      </c>
    </row>
    <row r="24" spans="1:15" ht="36" x14ac:dyDescent="0.3">
      <c r="A24" s="106" t="s">
        <v>1076</v>
      </c>
      <c r="B24" s="102" t="s">
        <v>1066</v>
      </c>
      <c r="C24" s="103" t="s">
        <v>1084</v>
      </c>
      <c r="D24" s="89" t="s">
        <v>1069</v>
      </c>
      <c r="E24" s="89"/>
      <c r="F24" s="89"/>
      <c r="G24" s="89"/>
      <c r="H24" s="89"/>
      <c r="I24" s="89"/>
      <c r="J24" s="89" t="s">
        <v>1070</v>
      </c>
      <c r="K24" s="89" t="s">
        <v>1098</v>
      </c>
      <c r="L24" s="90">
        <f>693+197</f>
        <v>890</v>
      </c>
      <c r="M24" s="90">
        <v>910</v>
      </c>
      <c r="N24" s="90">
        <f t="shared" si="0"/>
        <v>-20</v>
      </c>
      <c r="O24" s="91">
        <f t="shared" si="1"/>
        <v>102.24719101123596</v>
      </c>
    </row>
    <row r="25" spans="1:15" ht="36" x14ac:dyDescent="0.3">
      <c r="A25" s="106" t="s">
        <v>1076</v>
      </c>
      <c r="B25" s="102" t="s">
        <v>1067</v>
      </c>
      <c r="C25" s="103" t="s">
        <v>1084</v>
      </c>
      <c r="D25" s="89" t="s">
        <v>1069</v>
      </c>
      <c r="E25" s="89"/>
      <c r="F25" s="89"/>
      <c r="G25" s="89"/>
      <c r="H25" s="89"/>
      <c r="I25" s="89"/>
      <c r="J25" s="89" t="s">
        <v>1099</v>
      </c>
      <c r="K25" s="89" t="s">
        <v>1098</v>
      </c>
      <c r="L25" s="90"/>
      <c r="M25" s="90"/>
      <c r="N25" s="90">
        <f t="shared" si="0"/>
        <v>0</v>
      </c>
      <c r="O25" s="91">
        <f t="shared" si="1"/>
        <v>0</v>
      </c>
    </row>
    <row r="26" spans="1:15" ht="24" x14ac:dyDescent="0.3">
      <c r="A26" s="106" t="s">
        <v>1077</v>
      </c>
      <c r="B26" s="102" t="s">
        <v>1053</v>
      </c>
      <c r="C26" s="102" t="s">
        <v>1083</v>
      </c>
      <c r="D26" s="89" t="s">
        <v>1069</v>
      </c>
      <c r="E26" s="89"/>
      <c r="F26" s="89"/>
      <c r="G26" s="89"/>
      <c r="H26" s="89"/>
      <c r="I26" s="89"/>
      <c r="J26" s="89" t="s">
        <v>1070</v>
      </c>
      <c r="K26" s="89" t="s">
        <v>1092</v>
      </c>
      <c r="L26" s="90">
        <v>407</v>
      </c>
      <c r="M26" s="90">
        <v>377</v>
      </c>
      <c r="N26" s="90">
        <f t="shared" si="0"/>
        <v>30</v>
      </c>
      <c r="O26" s="91">
        <f t="shared" si="1"/>
        <v>92.628992628992634</v>
      </c>
    </row>
    <row r="27" spans="1:15" x14ac:dyDescent="0.3">
      <c r="A27" s="106" t="s">
        <v>1077</v>
      </c>
      <c r="B27" s="102" t="s">
        <v>1054</v>
      </c>
      <c r="C27" s="102" t="s">
        <v>1083</v>
      </c>
      <c r="D27" s="89" t="s">
        <v>1069</v>
      </c>
      <c r="E27" s="89"/>
      <c r="F27" s="89"/>
      <c r="G27" s="89"/>
      <c r="H27" s="89"/>
      <c r="I27" s="89"/>
      <c r="J27" s="89" t="s">
        <v>1070</v>
      </c>
      <c r="K27" s="89" t="s">
        <v>1092</v>
      </c>
      <c r="L27" s="90">
        <v>396</v>
      </c>
      <c r="M27" s="90">
        <v>378</v>
      </c>
      <c r="N27" s="90">
        <f t="shared" si="0"/>
        <v>18</v>
      </c>
      <c r="O27" s="91">
        <f t="shared" si="1"/>
        <v>95.454545454545453</v>
      </c>
    </row>
    <row r="28" spans="1:15" x14ac:dyDescent="0.3">
      <c r="A28" s="106" t="s">
        <v>1077</v>
      </c>
      <c r="B28" s="102" t="s">
        <v>1055</v>
      </c>
      <c r="C28" s="102" t="s">
        <v>1083</v>
      </c>
      <c r="D28" s="89" t="s">
        <v>1069</v>
      </c>
      <c r="E28" s="89"/>
      <c r="F28" s="89"/>
      <c r="G28" s="89"/>
      <c r="H28" s="89"/>
      <c r="I28" s="89"/>
      <c r="J28" s="89" t="s">
        <v>1070</v>
      </c>
      <c r="K28" s="89" t="s">
        <v>1092</v>
      </c>
      <c r="L28" s="90">
        <v>386</v>
      </c>
      <c r="M28" s="90">
        <v>382</v>
      </c>
      <c r="N28" s="90">
        <f t="shared" si="0"/>
        <v>4</v>
      </c>
      <c r="O28" s="91">
        <f t="shared" si="1"/>
        <v>98.963730569948183</v>
      </c>
    </row>
    <row r="29" spans="1:15" ht="24" x14ac:dyDescent="0.3">
      <c r="A29" s="106" t="s">
        <v>1077</v>
      </c>
      <c r="B29" s="102" t="s">
        <v>1056</v>
      </c>
      <c r="C29" s="102" t="s">
        <v>1083</v>
      </c>
      <c r="D29" s="89" t="s">
        <v>1069</v>
      </c>
      <c r="E29" s="89"/>
      <c r="F29" s="89"/>
      <c r="G29" s="89"/>
      <c r="H29" s="89"/>
      <c r="I29" s="89"/>
      <c r="J29" s="89" t="s">
        <v>1070</v>
      </c>
      <c r="K29" s="89" t="s">
        <v>1091</v>
      </c>
      <c r="L29" s="90">
        <v>162</v>
      </c>
      <c r="M29" s="90">
        <v>41</v>
      </c>
      <c r="N29" s="90">
        <f t="shared" si="0"/>
        <v>121</v>
      </c>
      <c r="O29" s="91">
        <f t="shared" si="1"/>
        <v>25.308641975308642</v>
      </c>
    </row>
    <row r="30" spans="1:15" ht="24" x14ac:dyDescent="0.3">
      <c r="A30" s="106" t="s">
        <v>1077</v>
      </c>
      <c r="B30" s="102" t="s">
        <v>1057</v>
      </c>
      <c r="C30" s="102" t="s">
        <v>1083</v>
      </c>
      <c r="D30" s="89" t="s">
        <v>1069</v>
      </c>
      <c r="E30" s="89"/>
      <c r="F30" s="89"/>
      <c r="G30" s="89"/>
      <c r="H30" s="89"/>
      <c r="I30" s="89"/>
      <c r="J30" s="89" t="s">
        <v>852</v>
      </c>
      <c r="K30" s="89" t="s">
        <v>1093</v>
      </c>
      <c r="L30" s="90">
        <v>0</v>
      </c>
      <c r="M30" s="90">
        <v>0</v>
      </c>
      <c r="N30" s="90">
        <f t="shared" si="0"/>
        <v>0</v>
      </c>
      <c r="O30" s="91">
        <f t="shared" si="1"/>
        <v>0</v>
      </c>
    </row>
    <row r="31" spans="1:15" ht="24" x14ac:dyDescent="0.3">
      <c r="A31" s="106" t="s">
        <v>1077</v>
      </c>
      <c r="B31" s="103" t="s">
        <v>1071</v>
      </c>
      <c r="C31" s="102" t="s">
        <v>1083</v>
      </c>
      <c r="D31" s="89" t="s">
        <v>1069</v>
      </c>
      <c r="E31" s="89"/>
      <c r="F31" s="89"/>
      <c r="G31" s="89"/>
      <c r="H31" s="89"/>
      <c r="I31" s="89"/>
      <c r="J31" s="89" t="s">
        <v>1070</v>
      </c>
      <c r="K31" s="89" t="s">
        <v>1094</v>
      </c>
      <c r="L31" s="90">
        <v>15</v>
      </c>
      <c r="M31" s="92">
        <v>15</v>
      </c>
      <c r="N31" s="90">
        <f t="shared" ref="N31:N33" si="4">+L31-M31</f>
        <v>0</v>
      </c>
      <c r="O31" s="91">
        <f t="shared" ref="O31:O33" si="5">IFERROR(IF(7&lt;&gt;0, M31*100/L31, IF(L31=M31, M31*100/L31, 0)), 0)</f>
        <v>100</v>
      </c>
    </row>
    <row r="32" spans="1:15" ht="24" x14ac:dyDescent="0.3">
      <c r="A32" s="106" t="s">
        <v>1077</v>
      </c>
      <c r="B32" s="102" t="s">
        <v>1060</v>
      </c>
      <c r="C32" s="102" t="s">
        <v>1083</v>
      </c>
      <c r="D32" s="89" t="s">
        <v>1069</v>
      </c>
      <c r="E32" s="89"/>
      <c r="F32" s="89"/>
      <c r="G32" s="89"/>
      <c r="H32" s="89"/>
      <c r="I32" s="89"/>
      <c r="J32" s="89" t="s">
        <v>842</v>
      </c>
      <c r="K32" s="89" t="s">
        <v>1094</v>
      </c>
      <c r="L32" s="90"/>
      <c r="M32" s="90"/>
      <c r="N32" s="90">
        <f t="shared" si="4"/>
        <v>0</v>
      </c>
      <c r="O32" s="91">
        <f t="shared" si="5"/>
        <v>0</v>
      </c>
    </row>
    <row r="33" spans="1:15" ht="24" x14ac:dyDescent="0.3">
      <c r="A33" s="106" t="s">
        <v>1077</v>
      </c>
      <c r="B33" s="102" t="s">
        <v>1061</v>
      </c>
      <c r="C33" s="102" t="s">
        <v>1083</v>
      </c>
      <c r="D33" s="89" t="s">
        <v>1069</v>
      </c>
      <c r="E33" s="89"/>
      <c r="F33" s="89"/>
      <c r="G33" s="89"/>
      <c r="H33" s="89"/>
      <c r="I33" s="89"/>
      <c r="J33" s="89" t="s">
        <v>1070</v>
      </c>
      <c r="K33" s="89" t="s">
        <v>1094</v>
      </c>
      <c r="L33" s="90">
        <v>15</v>
      </c>
      <c r="M33" s="90">
        <v>15</v>
      </c>
      <c r="N33" s="90">
        <f t="shared" si="4"/>
        <v>0</v>
      </c>
      <c r="O33" s="91">
        <f t="shared" si="5"/>
        <v>100</v>
      </c>
    </row>
    <row r="34" spans="1:15" ht="48" x14ac:dyDescent="0.3">
      <c r="A34" s="106" t="s">
        <v>1077</v>
      </c>
      <c r="B34" s="102" t="s">
        <v>1062</v>
      </c>
      <c r="C34" s="102" t="s">
        <v>1084</v>
      </c>
      <c r="D34" s="89" t="s">
        <v>1069</v>
      </c>
      <c r="E34" s="89"/>
      <c r="F34" s="89"/>
      <c r="G34" s="89"/>
      <c r="H34" s="89"/>
      <c r="I34" s="89"/>
      <c r="J34" s="89" t="s">
        <v>1070</v>
      </c>
      <c r="K34" s="89" t="s">
        <v>1095</v>
      </c>
      <c r="L34" s="90">
        <v>580</v>
      </c>
      <c r="M34" s="90">
        <v>505</v>
      </c>
      <c r="N34" s="90">
        <f t="shared" si="0"/>
        <v>75</v>
      </c>
      <c r="O34" s="91">
        <f t="shared" si="1"/>
        <v>87.068965517241381</v>
      </c>
    </row>
    <row r="35" spans="1:15" ht="24" x14ac:dyDescent="0.3">
      <c r="A35" s="106" t="s">
        <v>1077</v>
      </c>
      <c r="B35" s="102" t="s">
        <v>1063</v>
      </c>
      <c r="C35" s="102" t="s">
        <v>1084</v>
      </c>
      <c r="D35" s="89" t="s">
        <v>1069</v>
      </c>
      <c r="E35" s="89"/>
      <c r="F35" s="89"/>
      <c r="G35" s="89"/>
      <c r="H35" s="89"/>
      <c r="I35" s="89"/>
      <c r="J35" s="89" t="s">
        <v>1070</v>
      </c>
      <c r="K35" s="89" t="s">
        <v>1093</v>
      </c>
      <c r="L35" s="90">
        <v>44</v>
      </c>
      <c r="M35" s="90">
        <v>44</v>
      </c>
      <c r="N35" s="90">
        <f t="shared" si="0"/>
        <v>0</v>
      </c>
      <c r="O35" s="91">
        <f t="shared" si="1"/>
        <v>100</v>
      </c>
    </row>
    <row r="36" spans="1:15" ht="24" x14ac:dyDescent="0.3">
      <c r="A36" s="106" t="s">
        <v>1077</v>
      </c>
      <c r="B36" s="103" t="s">
        <v>1074</v>
      </c>
      <c r="C36" s="103" t="s">
        <v>1084</v>
      </c>
      <c r="D36" s="89" t="s">
        <v>1069</v>
      </c>
      <c r="E36" s="89"/>
      <c r="F36" s="89"/>
      <c r="G36" s="89"/>
      <c r="H36" s="89"/>
      <c r="I36" s="89"/>
      <c r="J36" s="89" t="s">
        <v>1070</v>
      </c>
      <c r="K36" s="89" t="s">
        <v>1096</v>
      </c>
      <c r="L36" s="90">
        <v>38</v>
      </c>
      <c r="M36" s="90">
        <v>38</v>
      </c>
      <c r="N36" s="90">
        <f t="shared" ref="N36" si="6">+L36-M36</f>
        <v>0</v>
      </c>
      <c r="O36" s="91">
        <f t="shared" ref="O36" si="7">IFERROR(IF(7&lt;&gt;0, M36*100/L36, IF(L36=M36, M36*100/L36, 0)), 0)</f>
        <v>100</v>
      </c>
    </row>
    <row r="37" spans="1:15" ht="48" x14ac:dyDescent="0.3">
      <c r="A37" s="106" t="s">
        <v>1077</v>
      </c>
      <c r="B37" s="102" t="s">
        <v>1064</v>
      </c>
      <c r="C37" s="103" t="s">
        <v>1084</v>
      </c>
      <c r="D37" s="89" t="s">
        <v>1069</v>
      </c>
      <c r="E37" s="89"/>
      <c r="F37" s="89"/>
      <c r="G37" s="89"/>
      <c r="H37" s="89"/>
      <c r="I37" s="89"/>
      <c r="J37" s="89" t="s">
        <v>1070</v>
      </c>
      <c r="K37" s="89" t="s">
        <v>1097</v>
      </c>
      <c r="L37" s="90">
        <v>856</v>
      </c>
      <c r="M37" s="90">
        <v>871</v>
      </c>
      <c r="N37" s="90">
        <f t="shared" si="0"/>
        <v>-15</v>
      </c>
      <c r="O37" s="91">
        <f t="shared" si="1"/>
        <v>101.75233644859813</v>
      </c>
    </row>
    <row r="38" spans="1:15" ht="36" x14ac:dyDescent="0.3">
      <c r="A38" s="106" t="s">
        <v>1077</v>
      </c>
      <c r="B38" s="102" t="s">
        <v>1066</v>
      </c>
      <c r="C38" s="103" t="s">
        <v>1084</v>
      </c>
      <c r="D38" s="89" t="s">
        <v>1069</v>
      </c>
      <c r="E38" s="89"/>
      <c r="F38" s="89"/>
      <c r="G38" s="89"/>
      <c r="H38" s="89"/>
      <c r="I38" s="89"/>
      <c r="J38" s="89" t="s">
        <v>1070</v>
      </c>
      <c r="K38" s="89" t="s">
        <v>1098</v>
      </c>
      <c r="L38" s="90">
        <v>0</v>
      </c>
      <c r="M38" s="90">
        <v>0</v>
      </c>
      <c r="N38" s="90">
        <f t="shared" si="0"/>
        <v>0</v>
      </c>
      <c r="O38" s="91">
        <f t="shared" si="1"/>
        <v>0</v>
      </c>
    </row>
    <row r="39" spans="1:15" ht="36" x14ac:dyDescent="0.3">
      <c r="A39" s="106" t="s">
        <v>1077</v>
      </c>
      <c r="B39" s="102" t="s">
        <v>1067</v>
      </c>
      <c r="C39" s="103" t="s">
        <v>1084</v>
      </c>
      <c r="D39" s="89" t="s">
        <v>1069</v>
      </c>
      <c r="E39" s="89"/>
      <c r="F39" s="89"/>
      <c r="G39" s="89"/>
      <c r="H39" s="89"/>
      <c r="I39" s="89"/>
      <c r="J39" s="89" t="s">
        <v>1099</v>
      </c>
      <c r="K39" s="89" t="s">
        <v>1098</v>
      </c>
      <c r="L39" s="90"/>
      <c r="M39" s="90"/>
      <c r="N39" s="90">
        <f t="shared" si="0"/>
        <v>0</v>
      </c>
      <c r="O39" s="91">
        <f t="shared" si="1"/>
        <v>0</v>
      </c>
    </row>
    <row r="40" spans="1:15" ht="24" x14ac:dyDescent="0.3">
      <c r="A40" s="106" t="s">
        <v>1101</v>
      </c>
      <c r="B40" s="102" t="s">
        <v>1053</v>
      </c>
      <c r="C40" s="102" t="s">
        <v>1083</v>
      </c>
      <c r="D40" s="89" t="s">
        <v>1069</v>
      </c>
      <c r="E40" s="89"/>
      <c r="F40" s="89"/>
      <c r="G40" s="89"/>
      <c r="H40" s="89"/>
      <c r="I40" s="89"/>
      <c r="J40" s="89" t="s">
        <v>1070</v>
      </c>
      <c r="K40" s="89" t="s">
        <v>1092</v>
      </c>
      <c r="L40" s="90">
        <v>220</v>
      </c>
      <c r="M40" s="90">
        <v>191</v>
      </c>
      <c r="N40" s="90">
        <f t="shared" si="0"/>
        <v>29</v>
      </c>
      <c r="O40" s="91">
        <f t="shared" si="1"/>
        <v>86.818181818181813</v>
      </c>
    </row>
    <row r="41" spans="1:15" x14ac:dyDescent="0.3">
      <c r="A41" s="106" t="s">
        <v>1101</v>
      </c>
      <c r="B41" s="102" t="s">
        <v>1054</v>
      </c>
      <c r="C41" s="102" t="s">
        <v>1083</v>
      </c>
      <c r="D41" s="89" t="s">
        <v>1069</v>
      </c>
      <c r="E41" s="89"/>
      <c r="F41" s="89"/>
      <c r="G41" s="89"/>
      <c r="H41" s="89"/>
      <c r="I41" s="89"/>
      <c r="J41" s="89" t="s">
        <v>1070</v>
      </c>
      <c r="K41" s="89" t="s">
        <v>1092</v>
      </c>
      <c r="L41" s="90">
        <v>215</v>
      </c>
      <c r="M41" s="90">
        <v>211</v>
      </c>
      <c r="N41" s="90">
        <f t="shared" si="0"/>
        <v>4</v>
      </c>
      <c r="O41" s="91">
        <f t="shared" si="1"/>
        <v>98.139534883720927</v>
      </c>
    </row>
    <row r="42" spans="1:15" x14ac:dyDescent="0.3">
      <c r="A42" s="106" t="s">
        <v>1101</v>
      </c>
      <c r="B42" s="102" t="s">
        <v>1055</v>
      </c>
      <c r="C42" s="102" t="s">
        <v>1083</v>
      </c>
      <c r="D42" s="89" t="s">
        <v>1069</v>
      </c>
      <c r="E42" s="89"/>
      <c r="F42" s="89"/>
      <c r="G42" s="89"/>
      <c r="H42" s="89"/>
      <c r="I42" s="89"/>
      <c r="J42" s="89" t="s">
        <v>1070</v>
      </c>
      <c r="K42" s="89" t="s">
        <v>1092</v>
      </c>
      <c r="L42" s="90">
        <v>208</v>
      </c>
      <c r="M42" s="90">
        <v>203</v>
      </c>
      <c r="N42" s="90">
        <f t="shared" si="0"/>
        <v>5</v>
      </c>
      <c r="O42" s="91">
        <f t="shared" si="1"/>
        <v>97.59615384615384</v>
      </c>
    </row>
    <row r="43" spans="1:15" ht="24" x14ac:dyDescent="0.3">
      <c r="A43" s="106" t="s">
        <v>1101</v>
      </c>
      <c r="B43" s="102" t="s">
        <v>1056</v>
      </c>
      <c r="C43" s="102" t="s">
        <v>1083</v>
      </c>
      <c r="D43" s="89" t="s">
        <v>1069</v>
      </c>
      <c r="E43" s="89"/>
      <c r="F43" s="89"/>
      <c r="G43" s="89"/>
      <c r="H43" s="89"/>
      <c r="I43" s="89"/>
      <c r="J43" s="89" t="s">
        <v>1070</v>
      </c>
      <c r="K43" s="89" t="s">
        <v>1091</v>
      </c>
      <c r="L43" s="90">
        <v>87</v>
      </c>
      <c r="M43" s="90">
        <v>203</v>
      </c>
      <c r="N43" s="90">
        <f t="shared" si="0"/>
        <v>-116</v>
      </c>
      <c r="O43" s="91">
        <f t="shared" si="1"/>
        <v>233.33333333333334</v>
      </c>
    </row>
    <row r="44" spans="1:15" ht="24" x14ac:dyDescent="0.3">
      <c r="A44" s="106" t="s">
        <v>1101</v>
      </c>
      <c r="B44" s="102" t="s">
        <v>1057</v>
      </c>
      <c r="C44" s="102" t="s">
        <v>1083</v>
      </c>
      <c r="D44" s="89" t="s">
        <v>1069</v>
      </c>
      <c r="E44" s="89"/>
      <c r="F44" s="89"/>
      <c r="G44" s="89"/>
      <c r="H44" s="89"/>
      <c r="I44" s="89"/>
      <c r="J44" s="89" t="s">
        <v>852</v>
      </c>
      <c r="K44" s="89" t="s">
        <v>1093</v>
      </c>
      <c r="L44" s="90">
        <v>0</v>
      </c>
      <c r="M44" s="90">
        <v>0</v>
      </c>
      <c r="N44" s="90">
        <f t="shared" si="0"/>
        <v>0</v>
      </c>
      <c r="O44" s="91">
        <f t="shared" si="1"/>
        <v>0</v>
      </c>
    </row>
    <row r="45" spans="1:15" ht="24" x14ac:dyDescent="0.3">
      <c r="A45" s="106" t="s">
        <v>1101</v>
      </c>
      <c r="B45" s="103" t="s">
        <v>1071</v>
      </c>
      <c r="C45" s="102" t="s">
        <v>1083</v>
      </c>
      <c r="D45" s="89" t="s">
        <v>1069</v>
      </c>
      <c r="E45" s="89"/>
      <c r="F45" s="89"/>
      <c r="G45" s="89"/>
      <c r="H45" s="89"/>
      <c r="I45" s="89"/>
      <c r="J45" s="89" t="s">
        <v>1070</v>
      </c>
      <c r="K45" s="89" t="s">
        <v>1094</v>
      </c>
      <c r="L45" s="90">
        <v>15</v>
      </c>
      <c r="M45" s="92">
        <v>15</v>
      </c>
      <c r="N45" s="90">
        <f t="shared" si="0"/>
        <v>0</v>
      </c>
      <c r="O45" s="91">
        <f t="shared" si="1"/>
        <v>100</v>
      </c>
    </row>
    <row r="46" spans="1:15" ht="24" x14ac:dyDescent="0.3">
      <c r="A46" s="106" t="s">
        <v>1101</v>
      </c>
      <c r="B46" s="102" t="s">
        <v>1060</v>
      </c>
      <c r="C46" s="102" t="s">
        <v>1083</v>
      </c>
      <c r="D46" s="89" t="s">
        <v>1069</v>
      </c>
      <c r="E46" s="89"/>
      <c r="F46" s="89"/>
      <c r="G46" s="89"/>
      <c r="H46" s="89"/>
      <c r="I46" s="89"/>
      <c r="J46" s="89" t="s">
        <v>842</v>
      </c>
      <c r="K46" s="89" t="s">
        <v>1094</v>
      </c>
      <c r="L46" s="90"/>
      <c r="M46" s="90"/>
      <c r="N46" s="90">
        <f t="shared" si="0"/>
        <v>0</v>
      </c>
      <c r="O46" s="91">
        <f t="shared" si="1"/>
        <v>0</v>
      </c>
    </row>
    <row r="47" spans="1:15" ht="24" x14ac:dyDescent="0.3">
      <c r="A47" s="106" t="s">
        <v>1101</v>
      </c>
      <c r="B47" s="102" t="s">
        <v>1061</v>
      </c>
      <c r="C47" s="102" t="s">
        <v>1083</v>
      </c>
      <c r="D47" s="89" t="s">
        <v>1069</v>
      </c>
      <c r="E47" s="89"/>
      <c r="F47" s="89"/>
      <c r="G47" s="89"/>
      <c r="H47" s="89"/>
      <c r="I47" s="89"/>
      <c r="J47" s="89" t="s">
        <v>1070</v>
      </c>
      <c r="K47" s="89" t="s">
        <v>1094</v>
      </c>
      <c r="L47" s="90">
        <v>15</v>
      </c>
      <c r="M47" s="90">
        <v>15</v>
      </c>
      <c r="N47" s="90">
        <f t="shared" si="0"/>
        <v>0</v>
      </c>
      <c r="O47" s="91">
        <f t="shared" si="1"/>
        <v>100</v>
      </c>
    </row>
    <row r="48" spans="1:15" ht="48" x14ac:dyDescent="0.3">
      <c r="A48" s="106" t="s">
        <v>1101</v>
      </c>
      <c r="B48" s="102" t="s">
        <v>1062</v>
      </c>
      <c r="C48" s="102" t="s">
        <v>1084</v>
      </c>
      <c r="D48" s="89" t="s">
        <v>1069</v>
      </c>
      <c r="E48" s="89"/>
      <c r="F48" s="89"/>
      <c r="G48" s="89"/>
      <c r="H48" s="89"/>
      <c r="I48" s="89"/>
      <c r="J48" s="89" t="s">
        <v>1070</v>
      </c>
      <c r="K48" s="89" t="s">
        <v>1095</v>
      </c>
      <c r="L48" s="90">
        <v>657</v>
      </c>
      <c r="M48" s="90">
        <v>625</v>
      </c>
      <c r="N48" s="90">
        <f t="shared" si="0"/>
        <v>32</v>
      </c>
      <c r="O48" s="91">
        <f t="shared" si="1"/>
        <v>95.129375951293753</v>
      </c>
    </row>
    <row r="49" spans="1:15" ht="24" x14ac:dyDescent="0.3">
      <c r="A49" s="106" t="s">
        <v>1101</v>
      </c>
      <c r="B49" s="102" t="s">
        <v>1063</v>
      </c>
      <c r="C49" s="102" t="s">
        <v>1084</v>
      </c>
      <c r="D49" s="89" t="s">
        <v>1069</v>
      </c>
      <c r="E49" s="89"/>
      <c r="F49" s="89"/>
      <c r="G49" s="89"/>
      <c r="H49" s="89"/>
      <c r="I49" s="89"/>
      <c r="J49" s="89" t="s">
        <v>1070</v>
      </c>
      <c r="K49" s="89" t="s">
        <v>1093</v>
      </c>
      <c r="L49" s="90">
        <v>40</v>
      </c>
      <c r="M49" s="90">
        <v>40</v>
      </c>
      <c r="N49" s="90">
        <f t="shared" si="0"/>
        <v>0</v>
      </c>
      <c r="O49" s="91">
        <f t="shared" si="1"/>
        <v>100</v>
      </c>
    </row>
    <row r="50" spans="1:15" ht="24" x14ac:dyDescent="0.3">
      <c r="A50" s="106" t="s">
        <v>1101</v>
      </c>
      <c r="B50" s="103" t="s">
        <v>1074</v>
      </c>
      <c r="C50" s="103" t="s">
        <v>1084</v>
      </c>
      <c r="D50" s="89" t="s">
        <v>1069</v>
      </c>
      <c r="E50" s="89"/>
      <c r="F50" s="89"/>
      <c r="G50" s="89"/>
      <c r="H50" s="89"/>
      <c r="I50" s="89"/>
      <c r="J50" s="89" t="s">
        <v>1070</v>
      </c>
      <c r="K50" s="89" t="s">
        <v>1096</v>
      </c>
      <c r="L50" s="90">
        <v>50</v>
      </c>
      <c r="M50" s="90">
        <v>50</v>
      </c>
      <c r="N50" s="90">
        <f t="shared" si="0"/>
        <v>0</v>
      </c>
      <c r="O50" s="91">
        <f t="shared" si="1"/>
        <v>100</v>
      </c>
    </row>
    <row r="51" spans="1:15" ht="48" x14ac:dyDescent="0.3">
      <c r="A51" s="106" t="s">
        <v>1101</v>
      </c>
      <c r="B51" s="102" t="s">
        <v>1064</v>
      </c>
      <c r="C51" s="103" t="s">
        <v>1084</v>
      </c>
      <c r="D51" s="89" t="s">
        <v>1069</v>
      </c>
      <c r="E51" s="89"/>
      <c r="F51" s="89"/>
      <c r="G51" s="89"/>
      <c r="H51" s="89"/>
      <c r="I51" s="89"/>
      <c r="J51" s="89" t="s">
        <v>1070</v>
      </c>
      <c r="K51" s="89" t="s">
        <v>1097</v>
      </c>
      <c r="L51" s="90">
        <v>1176</v>
      </c>
      <c r="M51" s="90">
        <v>1179</v>
      </c>
      <c r="N51" s="90">
        <f t="shared" si="0"/>
        <v>-3</v>
      </c>
      <c r="O51" s="91">
        <f t="shared" si="1"/>
        <v>100.25510204081633</v>
      </c>
    </row>
    <row r="52" spans="1:15" ht="36" x14ac:dyDescent="0.3">
      <c r="A52" s="106" t="s">
        <v>1101</v>
      </c>
      <c r="B52" s="102" t="s">
        <v>1066</v>
      </c>
      <c r="C52" s="103" t="s">
        <v>1084</v>
      </c>
      <c r="D52" s="89" t="s">
        <v>1069</v>
      </c>
      <c r="E52" s="89"/>
      <c r="F52" s="89"/>
      <c r="G52" s="89"/>
      <c r="H52" s="89"/>
      <c r="I52" s="89"/>
      <c r="J52" s="89" t="s">
        <v>1070</v>
      </c>
      <c r="K52" s="89" t="s">
        <v>1098</v>
      </c>
      <c r="L52" s="90">
        <v>0</v>
      </c>
      <c r="M52" s="90">
        <v>0</v>
      </c>
      <c r="N52" s="90">
        <f t="shared" si="0"/>
        <v>0</v>
      </c>
      <c r="O52" s="91">
        <f t="shared" si="1"/>
        <v>0</v>
      </c>
    </row>
    <row r="53" spans="1:15" ht="36" x14ac:dyDescent="0.3">
      <c r="A53" s="106" t="s">
        <v>1101</v>
      </c>
      <c r="B53" s="102" t="s">
        <v>1067</v>
      </c>
      <c r="C53" s="103" t="s">
        <v>1084</v>
      </c>
      <c r="D53" s="89" t="s">
        <v>1069</v>
      </c>
      <c r="E53" s="89"/>
      <c r="F53" s="89"/>
      <c r="G53" s="89"/>
      <c r="H53" s="89"/>
      <c r="I53" s="89"/>
      <c r="J53" s="89" t="s">
        <v>1099</v>
      </c>
      <c r="K53" s="89" t="s">
        <v>1098</v>
      </c>
      <c r="L53" s="90"/>
      <c r="M53" s="90"/>
      <c r="N53" s="90">
        <f t="shared" si="0"/>
        <v>0</v>
      </c>
      <c r="O53" s="91">
        <f t="shared" si="1"/>
        <v>0</v>
      </c>
    </row>
    <row r="54" spans="1:15" ht="24" x14ac:dyDescent="0.3">
      <c r="A54" s="106" t="s">
        <v>1102</v>
      </c>
      <c r="B54" s="102" t="s">
        <v>1053</v>
      </c>
      <c r="C54" s="102" t="s">
        <v>1083</v>
      </c>
      <c r="D54" s="89" t="s">
        <v>1069</v>
      </c>
      <c r="E54" s="89"/>
      <c r="F54" s="89"/>
      <c r="G54" s="89"/>
      <c r="H54" s="89"/>
      <c r="I54" s="89"/>
      <c r="J54" s="89" t="s">
        <v>1070</v>
      </c>
      <c r="K54" s="89" t="s">
        <v>1092</v>
      </c>
      <c r="L54" s="90">
        <v>128</v>
      </c>
      <c r="M54" s="90">
        <v>128</v>
      </c>
      <c r="N54" s="90">
        <f t="shared" si="0"/>
        <v>0</v>
      </c>
      <c r="O54" s="91">
        <f t="shared" si="1"/>
        <v>100</v>
      </c>
    </row>
    <row r="55" spans="1:15" x14ac:dyDescent="0.3">
      <c r="A55" s="106" t="s">
        <v>1102</v>
      </c>
      <c r="B55" s="102" t="s">
        <v>1054</v>
      </c>
      <c r="C55" s="102" t="s">
        <v>1083</v>
      </c>
      <c r="D55" s="89" t="s">
        <v>1069</v>
      </c>
      <c r="E55" s="89"/>
      <c r="F55" s="89"/>
      <c r="G55" s="89"/>
      <c r="H55" s="89"/>
      <c r="I55" s="89"/>
      <c r="J55" s="89" t="s">
        <v>1070</v>
      </c>
      <c r="K55" s="89" t="s">
        <v>1092</v>
      </c>
      <c r="L55" s="90">
        <v>124</v>
      </c>
      <c r="M55" s="90">
        <v>122</v>
      </c>
      <c r="N55" s="90">
        <f t="shared" si="0"/>
        <v>2</v>
      </c>
      <c r="O55" s="91">
        <f t="shared" si="1"/>
        <v>98.387096774193552</v>
      </c>
    </row>
    <row r="56" spans="1:15" x14ac:dyDescent="0.3">
      <c r="A56" s="106" t="s">
        <v>1102</v>
      </c>
      <c r="B56" s="102" t="s">
        <v>1055</v>
      </c>
      <c r="C56" s="102" t="s">
        <v>1083</v>
      </c>
      <c r="D56" s="89" t="s">
        <v>1069</v>
      </c>
      <c r="E56" s="89"/>
      <c r="F56" s="89"/>
      <c r="G56" s="89"/>
      <c r="H56" s="89"/>
      <c r="I56" s="89"/>
      <c r="J56" s="89" t="s">
        <v>1070</v>
      </c>
      <c r="K56" s="89" t="s">
        <v>1092</v>
      </c>
      <c r="L56" s="90">
        <v>120</v>
      </c>
      <c r="M56" s="90">
        <v>119</v>
      </c>
      <c r="N56" s="90">
        <f t="shared" si="0"/>
        <v>1</v>
      </c>
      <c r="O56" s="91">
        <f t="shared" si="1"/>
        <v>99.166666666666671</v>
      </c>
    </row>
    <row r="57" spans="1:15" ht="24" x14ac:dyDescent="0.3">
      <c r="A57" s="106" t="s">
        <v>1102</v>
      </c>
      <c r="B57" s="102" t="s">
        <v>1056</v>
      </c>
      <c r="C57" s="102" t="s">
        <v>1083</v>
      </c>
      <c r="D57" s="89" t="s">
        <v>1069</v>
      </c>
      <c r="E57" s="89"/>
      <c r="F57" s="89"/>
      <c r="G57" s="89"/>
      <c r="H57" s="89"/>
      <c r="I57" s="89"/>
      <c r="J57" s="89" t="s">
        <v>1070</v>
      </c>
      <c r="K57" s="89" t="s">
        <v>1091</v>
      </c>
      <c r="L57" s="90">
        <v>50</v>
      </c>
      <c r="M57" s="90">
        <v>63</v>
      </c>
      <c r="N57" s="90">
        <f t="shared" si="0"/>
        <v>-13</v>
      </c>
      <c r="O57" s="91">
        <f t="shared" si="1"/>
        <v>126</v>
      </c>
    </row>
    <row r="58" spans="1:15" ht="24" x14ac:dyDescent="0.3">
      <c r="A58" s="106" t="s">
        <v>1102</v>
      </c>
      <c r="B58" s="102" t="s">
        <v>1057</v>
      </c>
      <c r="C58" s="102" t="s">
        <v>1083</v>
      </c>
      <c r="D58" s="89" t="s">
        <v>1069</v>
      </c>
      <c r="E58" s="89"/>
      <c r="F58" s="89"/>
      <c r="G58" s="89"/>
      <c r="H58" s="89"/>
      <c r="I58" s="89"/>
      <c r="J58" s="89" t="s">
        <v>852</v>
      </c>
      <c r="K58" s="89" t="s">
        <v>1093</v>
      </c>
      <c r="L58" s="90">
        <v>0</v>
      </c>
      <c r="M58" s="90">
        <v>0</v>
      </c>
      <c r="N58" s="90">
        <f t="shared" si="0"/>
        <v>0</v>
      </c>
      <c r="O58" s="91">
        <f t="shared" si="1"/>
        <v>0</v>
      </c>
    </row>
    <row r="59" spans="1:15" ht="24" x14ac:dyDescent="0.3">
      <c r="A59" s="106" t="s">
        <v>1102</v>
      </c>
      <c r="B59" s="103" t="s">
        <v>1071</v>
      </c>
      <c r="C59" s="102" t="s">
        <v>1083</v>
      </c>
      <c r="D59" s="89" t="s">
        <v>1069</v>
      </c>
      <c r="E59" s="89"/>
      <c r="F59" s="89"/>
      <c r="G59" s="89"/>
      <c r="H59" s="89"/>
      <c r="I59" s="89"/>
      <c r="J59" s="89" t="s">
        <v>1070</v>
      </c>
      <c r="K59" s="89" t="s">
        <v>1094</v>
      </c>
      <c r="L59" s="90">
        <v>11</v>
      </c>
      <c r="M59" s="92">
        <v>11</v>
      </c>
      <c r="N59" s="90">
        <f t="shared" ref="N59:N61" si="8">+L59-M59</f>
        <v>0</v>
      </c>
      <c r="O59" s="91">
        <f t="shared" ref="O59:O61" si="9">IFERROR(IF(7&lt;&gt;0, M59*100/L59, IF(L59=M59, M59*100/L59, 0)), 0)</f>
        <v>100</v>
      </c>
    </row>
    <row r="60" spans="1:15" ht="24" x14ac:dyDescent="0.3">
      <c r="A60" s="106" t="s">
        <v>1102</v>
      </c>
      <c r="B60" s="102" t="s">
        <v>1060</v>
      </c>
      <c r="C60" s="102" t="s">
        <v>1083</v>
      </c>
      <c r="D60" s="89" t="s">
        <v>1069</v>
      </c>
      <c r="E60" s="89"/>
      <c r="F60" s="89"/>
      <c r="G60" s="89"/>
      <c r="H60" s="89"/>
      <c r="I60" s="89"/>
      <c r="J60" s="89" t="s">
        <v>842</v>
      </c>
      <c r="K60" s="89" t="s">
        <v>1094</v>
      </c>
      <c r="L60" s="90"/>
      <c r="M60" s="90"/>
      <c r="N60" s="90">
        <f t="shared" si="8"/>
        <v>0</v>
      </c>
      <c r="O60" s="91">
        <f t="shared" si="9"/>
        <v>0</v>
      </c>
    </row>
    <row r="61" spans="1:15" ht="24" x14ac:dyDescent="0.3">
      <c r="A61" s="106" t="s">
        <v>1102</v>
      </c>
      <c r="B61" s="102" t="s">
        <v>1061</v>
      </c>
      <c r="C61" s="102" t="s">
        <v>1083</v>
      </c>
      <c r="D61" s="89" t="s">
        <v>1069</v>
      </c>
      <c r="E61" s="89"/>
      <c r="F61" s="89"/>
      <c r="G61" s="89"/>
      <c r="H61" s="89"/>
      <c r="I61" s="89"/>
      <c r="J61" s="89" t="s">
        <v>1070</v>
      </c>
      <c r="K61" s="89" t="s">
        <v>1094</v>
      </c>
      <c r="L61" s="90">
        <v>11</v>
      </c>
      <c r="M61" s="90">
        <v>11</v>
      </c>
      <c r="N61" s="90">
        <f t="shared" si="8"/>
        <v>0</v>
      </c>
      <c r="O61" s="91">
        <f t="shared" si="9"/>
        <v>100</v>
      </c>
    </row>
    <row r="62" spans="1:15" ht="48" x14ac:dyDescent="0.3">
      <c r="A62" s="106" t="s">
        <v>1102</v>
      </c>
      <c r="B62" s="102" t="s">
        <v>1062</v>
      </c>
      <c r="C62" s="102" t="s">
        <v>1084</v>
      </c>
      <c r="D62" s="89" t="s">
        <v>1069</v>
      </c>
      <c r="E62" s="89"/>
      <c r="F62" s="89"/>
      <c r="G62" s="89"/>
      <c r="H62" s="89"/>
      <c r="I62" s="89"/>
      <c r="J62" s="89" t="s">
        <v>1070</v>
      </c>
      <c r="K62" s="89" t="s">
        <v>1095</v>
      </c>
      <c r="L62" s="90">
        <v>326</v>
      </c>
      <c r="M62" s="90">
        <v>309</v>
      </c>
      <c r="N62" s="90">
        <f t="shared" si="0"/>
        <v>17</v>
      </c>
      <c r="O62" s="91">
        <f t="shared" si="1"/>
        <v>94.785276073619627</v>
      </c>
    </row>
    <row r="63" spans="1:15" ht="24" x14ac:dyDescent="0.3">
      <c r="A63" s="106" t="s">
        <v>1102</v>
      </c>
      <c r="B63" s="102" t="s">
        <v>1063</v>
      </c>
      <c r="C63" s="102" t="s">
        <v>1084</v>
      </c>
      <c r="D63" s="89" t="s">
        <v>1069</v>
      </c>
      <c r="E63" s="89"/>
      <c r="F63" s="89"/>
      <c r="G63" s="89"/>
      <c r="H63" s="89"/>
      <c r="I63" s="89"/>
      <c r="J63" s="89" t="s">
        <v>1070</v>
      </c>
      <c r="K63" s="89" t="s">
        <v>1093</v>
      </c>
      <c r="L63" s="90">
        <v>24</v>
      </c>
      <c r="M63" s="92">
        <v>24</v>
      </c>
      <c r="N63" s="90">
        <f t="shared" si="0"/>
        <v>0</v>
      </c>
      <c r="O63" s="91">
        <f t="shared" si="1"/>
        <v>100</v>
      </c>
    </row>
    <row r="64" spans="1:15" ht="24" x14ac:dyDescent="0.3">
      <c r="A64" s="106" t="s">
        <v>1102</v>
      </c>
      <c r="B64" s="103" t="s">
        <v>1074</v>
      </c>
      <c r="C64" s="103" t="s">
        <v>1084</v>
      </c>
      <c r="D64" s="89" t="s">
        <v>1069</v>
      </c>
      <c r="E64" s="89"/>
      <c r="F64" s="89"/>
      <c r="G64" s="89"/>
      <c r="H64" s="89"/>
      <c r="I64" s="89"/>
      <c r="J64" s="89" t="s">
        <v>1070</v>
      </c>
      <c r="K64" s="89" t="s">
        <v>1096</v>
      </c>
      <c r="L64" s="90">
        <v>31</v>
      </c>
      <c r="M64" s="90">
        <v>31</v>
      </c>
      <c r="N64" s="90">
        <f t="shared" ref="N64" si="10">+L64-M64</f>
        <v>0</v>
      </c>
      <c r="O64" s="91">
        <f t="shared" ref="O64" si="11">IFERROR(IF(7&lt;&gt;0, M64*100/L64, IF(L64=M64, M64*100/L64, 0)), 0)</f>
        <v>100</v>
      </c>
    </row>
    <row r="65" spans="1:15" ht="48" x14ac:dyDescent="0.3">
      <c r="A65" s="106" t="s">
        <v>1102</v>
      </c>
      <c r="B65" s="102" t="s">
        <v>1064</v>
      </c>
      <c r="C65" s="103" t="s">
        <v>1084</v>
      </c>
      <c r="D65" s="89" t="s">
        <v>1069</v>
      </c>
      <c r="E65" s="89"/>
      <c r="F65" s="89"/>
      <c r="G65" s="89"/>
      <c r="H65" s="89"/>
      <c r="I65" s="89"/>
      <c r="J65" s="89" t="s">
        <v>1070</v>
      </c>
      <c r="K65" s="89" t="s">
        <v>1097</v>
      </c>
      <c r="L65" s="90">
        <v>394</v>
      </c>
      <c r="M65" s="90">
        <v>394</v>
      </c>
      <c r="N65" s="90">
        <f t="shared" si="0"/>
        <v>0</v>
      </c>
      <c r="O65" s="91">
        <f t="shared" si="1"/>
        <v>100</v>
      </c>
    </row>
    <row r="66" spans="1:15" ht="36" x14ac:dyDescent="0.3">
      <c r="A66" s="106" t="s">
        <v>1102</v>
      </c>
      <c r="B66" s="102" t="s">
        <v>1066</v>
      </c>
      <c r="C66" s="103" t="s">
        <v>1084</v>
      </c>
      <c r="D66" s="89" t="s">
        <v>1069</v>
      </c>
      <c r="E66" s="89"/>
      <c r="F66" s="89"/>
      <c r="G66" s="89"/>
      <c r="H66" s="89"/>
      <c r="I66" s="89"/>
      <c r="J66" s="89" t="s">
        <v>1070</v>
      </c>
      <c r="K66" s="89" t="s">
        <v>1098</v>
      </c>
      <c r="L66" s="90">
        <v>191</v>
      </c>
      <c r="M66" s="90">
        <v>194</v>
      </c>
      <c r="N66" s="90">
        <f t="shared" si="0"/>
        <v>-3</v>
      </c>
      <c r="O66" s="91">
        <f t="shared" si="1"/>
        <v>101.57068062827226</v>
      </c>
    </row>
    <row r="67" spans="1:15" ht="36" x14ac:dyDescent="0.3">
      <c r="A67" s="106" t="s">
        <v>1102</v>
      </c>
      <c r="B67" s="102" t="s">
        <v>1067</v>
      </c>
      <c r="C67" s="103" t="s">
        <v>1084</v>
      </c>
      <c r="D67" s="89" t="s">
        <v>1069</v>
      </c>
      <c r="E67" s="89"/>
      <c r="F67" s="89"/>
      <c r="G67" s="89"/>
      <c r="H67" s="89"/>
      <c r="I67" s="89"/>
      <c r="J67" s="89" t="s">
        <v>1099</v>
      </c>
      <c r="K67" s="89" t="s">
        <v>1098</v>
      </c>
      <c r="L67" s="92"/>
      <c r="M67" s="92"/>
      <c r="N67" s="92">
        <f t="shared" si="0"/>
        <v>0</v>
      </c>
      <c r="O67" s="94">
        <f t="shared" si="1"/>
        <v>0</v>
      </c>
    </row>
    <row r="68" spans="1:15" ht="24" x14ac:dyDescent="0.3">
      <c r="A68" s="106" t="s">
        <v>1078</v>
      </c>
      <c r="B68" s="102" t="s">
        <v>1053</v>
      </c>
      <c r="C68" s="102" t="s">
        <v>1083</v>
      </c>
      <c r="D68" s="89" t="s">
        <v>1069</v>
      </c>
      <c r="E68" s="89"/>
      <c r="F68" s="89"/>
      <c r="G68" s="89"/>
      <c r="H68" s="89"/>
      <c r="I68" s="89"/>
      <c r="J68" s="89" t="s">
        <v>1070</v>
      </c>
      <c r="K68" s="89" t="s">
        <v>1092</v>
      </c>
      <c r="L68" s="90">
        <v>160</v>
      </c>
      <c r="M68" s="90">
        <v>150</v>
      </c>
      <c r="N68" s="90">
        <f t="shared" si="0"/>
        <v>10</v>
      </c>
      <c r="O68" s="91">
        <f t="shared" si="1"/>
        <v>93.75</v>
      </c>
    </row>
    <row r="69" spans="1:15" x14ac:dyDescent="0.3">
      <c r="A69" s="106" t="s">
        <v>1078</v>
      </c>
      <c r="B69" s="102" t="s">
        <v>1054</v>
      </c>
      <c r="C69" s="102" t="s">
        <v>1083</v>
      </c>
      <c r="D69" s="89" t="s">
        <v>1069</v>
      </c>
      <c r="E69" s="89"/>
      <c r="F69" s="89"/>
      <c r="G69" s="89"/>
      <c r="H69" s="89"/>
      <c r="I69" s="89"/>
      <c r="J69" s="89" t="s">
        <v>1070</v>
      </c>
      <c r="K69" s="89" t="s">
        <v>1092</v>
      </c>
      <c r="L69" s="90">
        <v>157</v>
      </c>
      <c r="M69" s="90">
        <v>148</v>
      </c>
      <c r="N69" s="90">
        <f t="shared" si="0"/>
        <v>9</v>
      </c>
      <c r="O69" s="91">
        <f t="shared" si="1"/>
        <v>94.267515923566876</v>
      </c>
    </row>
    <row r="70" spans="1:15" x14ac:dyDescent="0.3">
      <c r="A70" s="106" t="s">
        <v>1078</v>
      </c>
      <c r="B70" s="102" t="s">
        <v>1055</v>
      </c>
      <c r="C70" s="102" t="s">
        <v>1083</v>
      </c>
      <c r="D70" s="89" t="s">
        <v>1069</v>
      </c>
      <c r="E70" s="89"/>
      <c r="F70" s="89"/>
      <c r="G70" s="89"/>
      <c r="H70" s="89"/>
      <c r="I70" s="89"/>
      <c r="J70" s="89" t="s">
        <v>1070</v>
      </c>
      <c r="K70" s="89" t="s">
        <v>1092</v>
      </c>
      <c r="L70" s="90">
        <v>150</v>
      </c>
      <c r="M70" s="90">
        <v>148</v>
      </c>
      <c r="N70" s="90">
        <f t="shared" si="0"/>
        <v>2</v>
      </c>
      <c r="O70" s="91">
        <f t="shared" si="1"/>
        <v>98.666666666666671</v>
      </c>
    </row>
    <row r="71" spans="1:15" ht="24" x14ac:dyDescent="0.3">
      <c r="A71" s="106" t="s">
        <v>1078</v>
      </c>
      <c r="B71" s="102" t="s">
        <v>1056</v>
      </c>
      <c r="C71" s="102" t="s">
        <v>1083</v>
      </c>
      <c r="D71" s="89" t="s">
        <v>1069</v>
      </c>
      <c r="E71" s="89"/>
      <c r="F71" s="89"/>
      <c r="G71" s="89"/>
      <c r="H71" s="89"/>
      <c r="I71" s="89"/>
      <c r="J71" s="89" t="s">
        <v>1070</v>
      </c>
      <c r="K71" s="89" t="s">
        <v>1091</v>
      </c>
      <c r="L71" s="90">
        <v>63</v>
      </c>
      <c r="M71" s="90">
        <v>144</v>
      </c>
      <c r="N71" s="90">
        <f t="shared" si="0"/>
        <v>-81</v>
      </c>
      <c r="O71" s="91">
        <f t="shared" si="1"/>
        <v>228.57142857142858</v>
      </c>
    </row>
    <row r="72" spans="1:15" ht="24" x14ac:dyDescent="0.3">
      <c r="A72" s="106" t="s">
        <v>1078</v>
      </c>
      <c r="B72" s="102" t="s">
        <v>1057</v>
      </c>
      <c r="C72" s="102" t="s">
        <v>1083</v>
      </c>
      <c r="D72" s="89" t="s">
        <v>1069</v>
      </c>
      <c r="E72" s="89"/>
      <c r="F72" s="89"/>
      <c r="G72" s="89"/>
      <c r="H72" s="89"/>
      <c r="I72" s="89"/>
      <c r="J72" s="89" t="s">
        <v>852</v>
      </c>
      <c r="K72" s="89" t="s">
        <v>1093</v>
      </c>
      <c r="L72" s="90">
        <v>0</v>
      </c>
      <c r="M72" s="90">
        <v>0</v>
      </c>
      <c r="N72" s="90">
        <f t="shared" si="0"/>
        <v>0</v>
      </c>
      <c r="O72" s="91">
        <f t="shared" si="1"/>
        <v>0</v>
      </c>
    </row>
    <row r="73" spans="1:15" ht="24" x14ac:dyDescent="0.3">
      <c r="A73" s="106" t="s">
        <v>1078</v>
      </c>
      <c r="B73" s="103" t="s">
        <v>1071</v>
      </c>
      <c r="C73" s="102" t="s">
        <v>1083</v>
      </c>
      <c r="D73" s="89" t="s">
        <v>1069</v>
      </c>
      <c r="E73" s="89"/>
      <c r="F73" s="89"/>
      <c r="G73" s="89"/>
      <c r="H73" s="89"/>
      <c r="I73" s="89"/>
      <c r="J73" s="89" t="s">
        <v>1070</v>
      </c>
      <c r="K73" s="89" t="s">
        <v>1094</v>
      </c>
      <c r="L73" s="90">
        <v>18</v>
      </c>
      <c r="M73" s="92">
        <v>18</v>
      </c>
      <c r="N73" s="90">
        <f t="shared" si="0"/>
        <v>0</v>
      </c>
      <c r="O73" s="91">
        <f t="shared" si="1"/>
        <v>100</v>
      </c>
    </row>
    <row r="74" spans="1:15" ht="24" x14ac:dyDescent="0.3">
      <c r="A74" s="106" t="s">
        <v>1078</v>
      </c>
      <c r="B74" s="102" t="s">
        <v>1060</v>
      </c>
      <c r="C74" s="102" t="s">
        <v>1083</v>
      </c>
      <c r="D74" s="89" t="s">
        <v>1069</v>
      </c>
      <c r="E74" s="89"/>
      <c r="F74" s="89"/>
      <c r="G74" s="89"/>
      <c r="H74" s="89"/>
      <c r="I74" s="89"/>
      <c r="J74" s="89" t="s">
        <v>842</v>
      </c>
      <c r="K74" s="89" t="s">
        <v>1094</v>
      </c>
      <c r="L74" s="90"/>
      <c r="M74" s="90"/>
      <c r="N74" s="90">
        <f t="shared" si="0"/>
        <v>0</v>
      </c>
      <c r="O74" s="91">
        <f t="shared" si="1"/>
        <v>0</v>
      </c>
    </row>
    <row r="75" spans="1:15" ht="24" x14ac:dyDescent="0.3">
      <c r="A75" s="106" t="s">
        <v>1078</v>
      </c>
      <c r="B75" s="102" t="s">
        <v>1061</v>
      </c>
      <c r="C75" s="102" t="s">
        <v>1083</v>
      </c>
      <c r="D75" s="89" t="s">
        <v>1069</v>
      </c>
      <c r="E75" s="89"/>
      <c r="F75" s="89"/>
      <c r="G75" s="89"/>
      <c r="H75" s="89"/>
      <c r="I75" s="89"/>
      <c r="J75" s="89" t="s">
        <v>1070</v>
      </c>
      <c r="K75" s="89" t="s">
        <v>1094</v>
      </c>
      <c r="L75" s="90">
        <v>18</v>
      </c>
      <c r="M75" s="90">
        <v>18</v>
      </c>
      <c r="N75" s="90">
        <f t="shared" ref="N75" si="12">+L75-M75</f>
        <v>0</v>
      </c>
      <c r="O75" s="91">
        <f t="shared" si="1"/>
        <v>100</v>
      </c>
    </row>
    <row r="76" spans="1:15" ht="48" x14ac:dyDescent="0.3">
      <c r="A76" s="106" t="s">
        <v>1078</v>
      </c>
      <c r="B76" s="102" t="s">
        <v>1062</v>
      </c>
      <c r="C76" s="102" t="s">
        <v>1084</v>
      </c>
      <c r="D76" s="89" t="s">
        <v>1069</v>
      </c>
      <c r="E76" s="89"/>
      <c r="F76" s="89"/>
      <c r="G76" s="89"/>
      <c r="H76" s="89"/>
      <c r="I76" s="89"/>
      <c r="J76" s="89" t="s">
        <v>1070</v>
      </c>
      <c r="K76" s="89" t="s">
        <v>1095</v>
      </c>
      <c r="L76" s="90">
        <v>648</v>
      </c>
      <c r="M76" s="90">
        <v>600</v>
      </c>
      <c r="N76" s="90">
        <f t="shared" ref="N76:N152" si="13">+L76-M76</f>
        <v>48</v>
      </c>
      <c r="O76" s="91">
        <f t="shared" si="1"/>
        <v>92.592592592592595</v>
      </c>
    </row>
    <row r="77" spans="1:15" ht="24" x14ac:dyDescent="0.3">
      <c r="A77" s="106" t="s">
        <v>1078</v>
      </c>
      <c r="B77" s="102" t="s">
        <v>1063</v>
      </c>
      <c r="C77" s="102" t="s">
        <v>1084</v>
      </c>
      <c r="D77" s="89" t="s">
        <v>1069</v>
      </c>
      <c r="E77" s="89"/>
      <c r="F77" s="89"/>
      <c r="G77" s="89"/>
      <c r="H77" s="89"/>
      <c r="I77" s="89"/>
      <c r="J77" s="89" t="s">
        <v>1070</v>
      </c>
      <c r="K77" s="89" t="s">
        <v>1093</v>
      </c>
      <c r="L77" s="90">
        <v>45</v>
      </c>
      <c r="M77" s="90">
        <v>45</v>
      </c>
      <c r="N77" s="90">
        <f t="shared" si="13"/>
        <v>0</v>
      </c>
      <c r="O77" s="91">
        <f t="shared" ref="O77:O153" si="14">IFERROR(IF(7&lt;&gt;0, M77*100/L77, IF(L77=M77, M77*100/L77, 0)), 0)</f>
        <v>100</v>
      </c>
    </row>
    <row r="78" spans="1:15" ht="24" x14ac:dyDescent="0.3">
      <c r="A78" s="106" t="s">
        <v>1078</v>
      </c>
      <c r="B78" s="103" t="s">
        <v>1074</v>
      </c>
      <c r="C78" s="103" t="s">
        <v>1084</v>
      </c>
      <c r="D78" s="89" t="s">
        <v>1069</v>
      </c>
      <c r="E78" s="89"/>
      <c r="F78" s="89"/>
      <c r="G78" s="89"/>
      <c r="H78" s="89"/>
      <c r="I78" s="89"/>
      <c r="J78" s="89" t="s">
        <v>1070</v>
      </c>
      <c r="K78" s="89" t="s">
        <v>1096</v>
      </c>
      <c r="L78" s="90">
        <v>56</v>
      </c>
      <c r="M78" s="90">
        <v>56</v>
      </c>
      <c r="N78" s="90">
        <f t="shared" si="13"/>
        <v>0</v>
      </c>
      <c r="O78" s="91">
        <f t="shared" si="14"/>
        <v>100</v>
      </c>
    </row>
    <row r="79" spans="1:15" ht="48" x14ac:dyDescent="0.3">
      <c r="A79" s="106" t="s">
        <v>1078</v>
      </c>
      <c r="B79" s="102" t="s">
        <v>1064</v>
      </c>
      <c r="C79" s="103" t="s">
        <v>1084</v>
      </c>
      <c r="D79" s="89" t="s">
        <v>1069</v>
      </c>
      <c r="E79" s="89"/>
      <c r="F79" s="89"/>
      <c r="G79" s="89"/>
      <c r="H79" s="89"/>
      <c r="I79" s="89"/>
      <c r="J79" s="89" t="s">
        <v>1070</v>
      </c>
      <c r="K79" s="89" t="s">
        <v>1097</v>
      </c>
      <c r="L79" s="92">
        <v>783</v>
      </c>
      <c r="M79" s="92">
        <v>738</v>
      </c>
      <c r="N79" s="92">
        <f t="shared" si="13"/>
        <v>45</v>
      </c>
      <c r="O79" s="91">
        <f t="shared" si="14"/>
        <v>94.252873563218387</v>
      </c>
    </row>
    <row r="80" spans="1:15" ht="36" x14ac:dyDescent="0.3">
      <c r="A80" s="106" t="s">
        <v>1078</v>
      </c>
      <c r="B80" s="102" t="s">
        <v>1066</v>
      </c>
      <c r="C80" s="103" t="s">
        <v>1084</v>
      </c>
      <c r="D80" s="89" t="s">
        <v>1069</v>
      </c>
      <c r="E80" s="89"/>
      <c r="F80" s="89"/>
      <c r="G80" s="89"/>
      <c r="H80" s="89"/>
      <c r="I80" s="89"/>
      <c r="J80" s="89" t="s">
        <v>1070</v>
      </c>
      <c r="K80" s="89" t="s">
        <v>1098</v>
      </c>
      <c r="L80" s="90">
        <v>783</v>
      </c>
      <c r="M80" s="90">
        <v>738</v>
      </c>
      <c r="N80" s="90">
        <f t="shared" si="13"/>
        <v>45</v>
      </c>
      <c r="O80" s="91">
        <f t="shared" si="14"/>
        <v>94.252873563218387</v>
      </c>
    </row>
    <row r="81" spans="1:15" ht="36" x14ac:dyDescent="0.3">
      <c r="A81" s="106" t="s">
        <v>1078</v>
      </c>
      <c r="B81" s="102" t="s">
        <v>1067</v>
      </c>
      <c r="C81" s="103" t="s">
        <v>1084</v>
      </c>
      <c r="D81" s="89" t="s">
        <v>1069</v>
      </c>
      <c r="E81" s="89"/>
      <c r="F81" s="89"/>
      <c r="G81" s="89"/>
      <c r="H81" s="89"/>
      <c r="I81" s="89"/>
      <c r="J81" s="89" t="s">
        <v>1099</v>
      </c>
      <c r="K81" s="89" t="s">
        <v>1098</v>
      </c>
      <c r="L81" s="92"/>
      <c r="M81" s="92"/>
      <c r="N81" s="92">
        <f t="shared" si="13"/>
        <v>0</v>
      </c>
      <c r="O81" s="94">
        <f t="shared" si="14"/>
        <v>0</v>
      </c>
    </row>
    <row r="82" spans="1:15" ht="24" x14ac:dyDescent="0.3">
      <c r="A82" s="106" t="s">
        <v>1079</v>
      </c>
      <c r="B82" s="102" t="s">
        <v>1053</v>
      </c>
      <c r="C82" s="102" t="s">
        <v>1083</v>
      </c>
      <c r="D82" s="89" t="s">
        <v>1069</v>
      </c>
      <c r="E82" s="89"/>
      <c r="F82" s="89"/>
      <c r="G82" s="89"/>
      <c r="H82" s="89"/>
      <c r="I82" s="89"/>
      <c r="J82" s="89" t="s">
        <v>1070</v>
      </c>
      <c r="K82" s="89" t="s">
        <v>1092</v>
      </c>
      <c r="L82" s="90">
        <v>272</v>
      </c>
      <c r="M82" s="90">
        <v>232</v>
      </c>
      <c r="N82" s="90">
        <f t="shared" si="13"/>
        <v>40</v>
      </c>
      <c r="O82" s="91">
        <f t="shared" si="14"/>
        <v>85.294117647058826</v>
      </c>
    </row>
    <row r="83" spans="1:15" x14ac:dyDescent="0.3">
      <c r="A83" s="106" t="s">
        <v>1079</v>
      </c>
      <c r="B83" s="102" t="s">
        <v>1054</v>
      </c>
      <c r="C83" s="102" t="s">
        <v>1083</v>
      </c>
      <c r="D83" s="89" t="s">
        <v>1069</v>
      </c>
      <c r="E83" s="89"/>
      <c r="F83" s="89"/>
      <c r="G83" s="89"/>
      <c r="H83" s="89"/>
      <c r="I83" s="89"/>
      <c r="J83" s="89" t="s">
        <v>1070</v>
      </c>
      <c r="K83" s="89" t="s">
        <v>1092</v>
      </c>
      <c r="L83" s="90">
        <v>262</v>
      </c>
      <c r="M83" s="90">
        <v>206</v>
      </c>
      <c r="N83" s="90">
        <f t="shared" si="13"/>
        <v>56</v>
      </c>
      <c r="O83" s="91">
        <f t="shared" si="14"/>
        <v>78.625954198473281</v>
      </c>
    </row>
    <row r="84" spans="1:15" x14ac:dyDescent="0.3">
      <c r="A84" s="106" t="s">
        <v>1079</v>
      </c>
      <c r="B84" s="102" t="s">
        <v>1055</v>
      </c>
      <c r="C84" s="102" t="s">
        <v>1083</v>
      </c>
      <c r="D84" s="89" t="s">
        <v>1069</v>
      </c>
      <c r="E84" s="89"/>
      <c r="F84" s="89"/>
      <c r="G84" s="89"/>
      <c r="H84" s="89"/>
      <c r="I84" s="89"/>
      <c r="J84" s="89" t="s">
        <v>1070</v>
      </c>
      <c r="K84" s="89" t="s">
        <v>1092</v>
      </c>
      <c r="L84" s="90">
        <v>254</v>
      </c>
      <c r="M84" s="90">
        <v>208</v>
      </c>
      <c r="N84" s="90">
        <f t="shared" si="13"/>
        <v>46</v>
      </c>
      <c r="O84" s="91">
        <f t="shared" si="14"/>
        <v>81.889763779527556</v>
      </c>
    </row>
    <row r="85" spans="1:15" ht="24" x14ac:dyDescent="0.3">
      <c r="A85" s="106" t="s">
        <v>1079</v>
      </c>
      <c r="B85" s="102" t="s">
        <v>1056</v>
      </c>
      <c r="C85" s="102" t="s">
        <v>1083</v>
      </c>
      <c r="D85" s="89" t="s">
        <v>1069</v>
      </c>
      <c r="E85" s="89"/>
      <c r="F85" s="89"/>
      <c r="G85" s="89"/>
      <c r="H85" s="89"/>
      <c r="I85" s="89"/>
      <c r="J85" s="89" t="s">
        <v>1070</v>
      </c>
      <c r="K85" s="89" t="s">
        <v>1091</v>
      </c>
      <c r="L85" s="90">
        <v>107</v>
      </c>
      <c r="M85" s="90">
        <v>215</v>
      </c>
      <c r="N85" s="90">
        <f t="shared" si="13"/>
        <v>-108</v>
      </c>
      <c r="O85" s="91">
        <f t="shared" si="14"/>
        <v>200.93457943925233</v>
      </c>
    </row>
    <row r="86" spans="1:15" ht="24" x14ac:dyDescent="0.3">
      <c r="A86" s="106" t="s">
        <v>1079</v>
      </c>
      <c r="B86" s="102" t="s">
        <v>1057</v>
      </c>
      <c r="C86" s="102" t="s">
        <v>1083</v>
      </c>
      <c r="D86" s="89" t="s">
        <v>1069</v>
      </c>
      <c r="E86" s="89"/>
      <c r="F86" s="89"/>
      <c r="G86" s="89"/>
      <c r="H86" s="89"/>
      <c r="I86" s="89"/>
      <c r="J86" s="89" t="s">
        <v>852</v>
      </c>
      <c r="K86" s="89" t="s">
        <v>1093</v>
      </c>
      <c r="L86" s="90">
        <v>0</v>
      </c>
      <c r="M86" s="90">
        <v>0</v>
      </c>
      <c r="N86" s="90">
        <f t="shared" si="13"/>
        <v>0</v>
      </c>
      <c r="O86" s="91">
        <f t="shared" si="14"/>
        <v>0</v>
      </c>
    </row>
    <row r="87" spans="1:15" ht="24" x14ac:dyDescent="0.3">
      <c r="A87" s="106" t="s">
        <v>1079</v>
      </c>
      <c r="B87" s="103" t="s">
        <v>1071</v>
      </c>
      <c r="C87" s="102" t="s">
        <v>1083</v>
      </c>
      <c r="D87" s="89" t="s">
        <v>1069</v>
      </c>
      <c r="E87" s="89"/>
      <c r="F87" s="89"/>
      <c r="G87" s="89"/>
      <c r="H87" s="89"/>
      <c r="I87" s="89"/>
      <c r="J87" s="89" t="s">
        <v>1070</v>
      </c>
      <c r="K87" s="89" t="s">
        <v>1094</v>
      </c>
      <c r="L87" s="90">
        <v>16</v>
      </c>
      <c r="M87" s="92">
        <v>16</v>
      </c>
      <c r="N87" s="90">
        <f t="shared" si="13"/>
        <v>0</v>
      </c>
      <c r="O87" s="91">
        <f t="shared" si="14"/>
        <v>100</v>
      </c>
    </row>
    <row r="88" spans="1:15" ht="24" x14ac:dyDescent="0.3">
      <c r="A88" s="106" t="s">
        <v>1079</v>
      </c>
      <c r="B88" s="102" t="s">
        <v>1060</v>
      </c>
      <c r="C88" s="102" t="s">
        <v>1083</v>
      </c>
      <c r="D88" s="89" t="s">
        <v>1069</v>
      </c>
      <c r="E88" s="89"/>
      <c r="F88" s="89"/>
      <c r="G88" s="89"/>
      <c r="H88" s="89"/>
      <c r="I88" s="89"/>
      <c r="J88" s="89" t="s">
        <v>842</v>
      </c>
      <c r="K88" s="89" t="s">
        <v>1094</v>
      </c>
      <c r="L88" s="90"/>
      <c r="M88" s="90"/>
      <c r="N88" s="90">
        <f t="shared" si="13"/>
        <v>0</v>
      </c>
      <c r="O88" s="91">
        <f t="shared" si="14"/>
        <v>0</v>
      </c>
    </row>
    <row r="89" spans="1:15" ht="24" x14ac:dyDescent="0.3">
      <c r="A89" s="106" t="s">
        <v>1079</v>
      </c>
      <c r="B89" s="102" t="s">
        <v>1061</v>
      </c>
      <c r="C89" s="102" t="s">
        <v>1083</v>
      </c>
      <c r="D89" s="89" t="s">
        <v>1069</v>
      </c>
      <c r="E89" s="89"/>
      <c r="F89" s="89"/>
      <c r="G89" s="89"/>
      <c r="H89" s="89"/>
      <c r="I89" s="89"/>
      <c r="J89" s="89" t="s">
        <v>1070</v>
      </c>
      <c r="K89" s="89" t="s">
        <v>1094</v>
      </c>
      <c r="L89" s="90">
        <v>16</v>
      </c>
      <c r="M89" s="90">
        <v>16</v>
      </c>
      <c r="N89" s="90">
        <f t="shared" si="13"/>
        <v>0</v>
      </c>
      <c r="O89" s="91">
        <f t="shared" si="14"/>
        <v>100</v>
      </c>
    </row>
    <row r="90" spans="1:15" ht="48" x14ac:dyDescent="0.3">
      <c r="A90" s="106" t="s">
        <v>1079</v>
      </c>
      <c r="B90" s="102" t="s">
        <v>1062</v>
      </c>
      <c r="C90" s="102" t="s">
        <v>1084</v>
      </c>
      <c r="D90" s="89" t="s">
        <v>1069</v>
      </c>
      <c r="E90" s="89"/>
      <c r="F90" s="89"/>
      <c r="G90" s="89"/>
      <c r="H90" s="89"/>
      <c r="I90" s="89"/>
      <c r="J90" s="89" t="s">
        <v>1070</v>
      </c>
      <c r="K90" s="89" t="s">
        <v>1095</v>
      </c>
      <c r="L90" s="90">
        <v>771</v>
      </c>
      <c r="M90" s="90">
        <v>652</v>
      </c>
      <c r="N90" s="90">
        <f t="shared" si="13"/>
        <v>119</v>
      </c>
      <c r="O90" s="91">
        <f t="shared" si="14"/>
        <v>84.565499351491567</v>
      </c>
    </row>
    <row r="91" spans="1:15" ht="24" x14ac:dyDescent="0.3">
      <c r="A91" s="106" t="s">
        <v>1079</v>
      </c>
      <c r="B91" s="102" t="s">
        <v>1063</v>
      </c>
      <c r="C91" s="102" t="s">
        <v>1084</v>
      </c>
      <c r="D91" s="89" t="s">
        <v>1069</v>
      </c>
      <c r="E91" s="89"/>
      <c r="F91" s="89"/>
      <c r="G91" s="89"/>
      <c r="H91" s="89"/>
      <c r="I91" s="89"/>
      <c r="J91" s="89" t="s">
        <v>1070</v>
      </c>
      <c r="K91" s="89" t="s">
        <v>1093</v>
      </c>
      <c r="L91" s="90">
        <v>59</v>
      </c>
      <c r="M91" s="90">
        <v>59</v>
      </c>
      <c r="N91" s="90">
        <f t="shared" si="13"/>
        <v>0</v>
      </c>
      <c r="O91" s="91">
        <f t="shared" si="14"/>
        <v>100</v>
      </c>
    </row>
    <row r="92" spans="1:15" ht="24" x14ac:dyDescent="0.3">
      <c r="A92" s="106" t="s">
        <v>1079</v>
      </c>
      <c r="B92" s="103" t="s">
        <v>1074</v>
      </c>
      <c r="C92" s="103" t="s">
        <v>1084</v>
      </c>
      <c r="D92" s="89" t="s">
        <v>1069</v>
      </c>
      <c r="E92" s="89"/>
      <c r="F92" s="89"/>
      <c r="G92" s="89"/>
      <c r="H92" s="89"/>
      <c r="I92" s="89"/>
      <c r="J92" s="89" t="s">
        <v>1070</v>
      </c>
      <c r="K92" s="89" t="s">
        <v>1096</v>
      </c>
      <c r="L92" s="90">
        <f>98-46</f>
        <v>52</v>
      </c>
      <c r="M92" s="90">
        <v>52</v>
      </c>
      <c r="N92" s="90">
        <f t="shared" ref="N92" si="15">+L92-M92</f>
        <v>0</v>
      </c>
      <c r="O92" s="91">
        <f t="shared" ref="O92" si="16">IFERROR(IF(7&lt;&gt;0, M92*100/L92, IF(L92=M92, M92*100/L92, 0)), 0)</f>
        <v>100</v>
      </c>
    </row>
    <row r="93" spans="1:15" ht="48" x14ac:dyDescent="0.3">
      <c r="A93" s="106" t="s">
        <v>1079</v>
      </c>
      <c r="B93" s="102" t="s">
        <v>1064</v>
      </c>
      <c r="C93" s="103" t="s">
        <v>1084</v>
      </c>
      <c r="D93" s="89" t="s">
        <v>1069</v>
      </c>
      <c r="E93" s="89"/>
      <c r="F93" s="89"/>
      <c r="G93" s="89"/>
      <c r="H93" s="89"/>
      <c r="I93" s="89"/>
      <c r="J93" s="89" t="s">
        <v>1070</v>
      </c>
      <c r="K93" s="89" t="s">
        <v>1097</v>
      </c>
      <c r="L93" s="90">
        <v>970</v>
      </c>
      <c r="M93" s="90">
        <v>939</v>
      </c>
      <c r="N93" s="90">
        <f t="shared" si="13"/>
        <v>31</v>
      </c>
      <c r="O93" s="91">
        <f t="shared" si="14"/>
        <v>96.80412371134021</v>
      </c>
    </row>
    <row r="94" spans="1:15" ht="36" x14ac:dyDescent="0.3">
      <c r="A94" s="106" t="s">
        <v>1079</v>
      </c>
      <c r="B94" s="102" t="s">
        <v>1066</v>
      </c>
      <c r="C94" s="103" t="s">
        <v>1084</v>
      </c>
      <c r="D94" s="89" t="s">
        <v>1069</v>
      </c>
      <c r="E94" s="89"/>
      <c r="F94" s="89"/>
      <c r="G94" s="89"/>
      <c r="H94" s="89"/>
      <c r="I94" s="89"/>
      <c r="J94" s="89" t="s">
        <v>1070</v>
      </c>
      <c r="K94" s="89" t="s">
        <v>1098</v>
      </c>
      <c r="L94" s="90">
        <v>658</v>
      </c>
      <c r="M94" s="90">
        <v>629</v>
      </c>
      <c r="N94" s="90">
        <f t="shared" si="13"/>
        <v>29</v>
      </c>
      <c r="O94" s="91">
        <f t="shared" si="14"/>
        <v>95.59270516717325</v>
      </c>
    </row>
    <row r="95" spans="1:15" ht="36" x14ac:dyDescent="0.3">
      <c r="A95" s="106" t="s">
        <v>1079</v>
      </c>
      <c r="B95" s="102" t="s">
        <v>1067</v>
      </c>
      <c r="C95" s="103" t="s">
        <v>1084</v>
      </c>
      <c r="D95" s="89" t="s">
        <v>1069</v>
      </c>
      <c r="E95" s="89"/>
      <c r="F95" s="89"/>
      <c r="G95" s="89"/>
      <c r="H95" s="89"/>
      <c r="I95" s="89"/>
      <c r="J95" s="89" t="s">
        <v>1099</v>
      </c>
      <c r="K95" s="89" t="s">
        <v>1098</v>
      </c>
      <c r="L95" s="90"/>
      <c r="M95" s="90"/>
      <c r="N95" s="90">
        <f t="shared" si="13"/>
        <v>0</v>
      </c>
      <c r="O95" s="91">
        <f t="shared" si="14"/>
        <v>0</v>
      </c>
    </row>
    <row r="96" spans="1:15" ht="24" x14ac:dyDescent="0.3">
      <c r="A96" s="106" t="s">
        <v>1080</v>
      </c>
      <c r="B96" s="102" t="s">
        <v>1053</v>
      </c>
      <c r="C96" s="102" t="s">
        <v>1083</v>
      </c>
      <c r="D96" s="89" t="s">
        <v>1069</v>
      </c>
      <c r="E96" s="89"/>
      <c r="F96" s="89"/>
      <c r="G96" s="89"/>
      <c r="H96" s="89"/>
      <c r="I96" s="89"/>
      <c r="J96" s="89" t="s">
        <v>1070</v>
      </c>
      <c r="K96" s="89" t="s">
        <v>1092</v>
      </c>
      <c r="L96" s="90">
        <v>181</v>
      </c>
      <c r="M96" s="90">
        <v>176</v>
      </c>
      <c r="N96" s="90">
        <f t="shared" si="13"/>
        <v>5</v>
      </c>
      <c r="O96" s="91">
        <f t="shared" si="14"/>
        <v>97.237569060773481</v>
      </c>
    </row>
    <row r="97" spans="1:15" x14ac:dyDescent="0.3">
      <c r="A97" s="106" t="s">
        <v>1080</v>
      </c>
      <c r="B97" s="102" t="s">
        <v>1054</v>
      </c>
      <c r="C97" s="102" t="s">
        <v>1083</v>
      </c>
      <c r="D97" s="89" t="s">
        <v>1069</v>
      </c>
      <c r="E97" s="89"/>
      <c r="F97" s="89"/>
      <c r="G97" s="89"/>
      <c r="H97" s="89"/>
      <c r="I97" s="89"/>
      <c r="J97" s="89" t="s">
        <v>1070</v>
      </c>
      <c r="K97" s="89" t="s">
        <v>1092</v>
      </c>
      <c r="L97" s="90">
        <v>176</v>
      </c>
      <c r="M97" s="90">
        <v>171</v>
      </c>
      <c r="N97" s="90">
        <f t="shared" si="13"/>
        <v>5</v>
      </c>
      <c r="O97" s="91">
        <f t="shared" si="14"/>
        <v>97.159090909090907</v>
      </c>
    </row>
    <row r="98" spans="1:15" x14ac:dyDescent="0.3">
      <c r="A98" s="106" t="s">
        <v>1080</v>
      </c>
      <c r="B98" s="102" t="s">
        <v>1055</v>
      </c>
      <c r="C98" s="102" t="s">
        <v>1083</v>
      </c>
      <c r="D98" s="89" t="s">
        <v>1069</v>
      </c>
      <c r="E98" s="89"/>
      <c r="F98" s="89"/>
      <c r="G98" s="89"/>
      <c r="H98" s="89"/>
      <c r="I98" s="89"/>
      <c r="J98" s="89" t="s">
        <v>1070</v>
      </c>
      <c r="K98" s="89" t="s">
        <v>1092</v>
      </c>
      <c r="L98" s="90">
        <v>169</v>
      </c>
      <c r="M98" s="90">
        <v>152</v>
      </c>
      <c r="N98" s="90">
        <f t="shared" si="13"/>
        <v>17</v>
      </c>
      <c r="O98" s="91">
        <f t="shared" si="14"/>
        <v>89.940828402366861</v>
      </c>
    </row>
    <row r="99" spans="1:15" ht="24" x14ac:dyDescent="0.3">
      <c r="A99" s="106" t="s">
        <v>1080</v>
      </c>
      <c r="B99" s="102" t="s">
        <v>1056</v>
      </c>
      <c r="C99" s="102" t="s">
        <v>1083</v>
      </c>
      <c r="D99" s="89" t="s">
        <v>1069</v>
      </c>
      <c r="E99" s="89"/>
      <c r="F99" s="89"/>
      <c r="G99" s="89"/>
      <c r="H99" s="89"/>
      <c r="I99" s="89"/>
      <c r="J99" s="89" t="s">
        <v>1070</v>
      </c>
      <c r="K99" s="89" t="s">
        <v>1091</v>
      </c>
      <c r="L99" s="90">
        <v>71</v>
      </c>
      <c r="M99" s="90">
        <v>143</v>
      </c>
      <c r="N99" s="90">
        <f t="shared" si="13"/>
        <v>-72</v>
      </c>
      <c r="O99" s="91">
        <f t="shared" si="14"/>
        <v>201.40845070422534</v>
      </c>
    </row>
    <row r="100" spans="1:15" ht="24" x14ac:dyDescent="0.3">
      <c r="A100" s="106" t="s">
        <v>1080</v>
      </c>
      <c r="B100" s="102" t="s">
        <v>1057</v>
      </c>
      <c r="C100" s="102" t="s">
        <v>1083</v>
      </c>
      <c r="D100" s="89" t="s">
        <v>1069</v>
      </c>
      <c r="E100" s="89"/>
      <c r="F100" s="89"/>
      <c r="G100" s="89"/>
      <c r="H100" s="89"/>
      <c r="I100" s="89"/>
      <c r="J100" s="89" t="s">
        <v>852</v>
      </c>
      <c r="K100" s="89" t="s">
        <v>1093</v>
      </c>
      <c r="L100" s="90">
        <v>0</v>
      </c>
      <c r="M100" s="90">
        <v>0</v>
      </c>
      <c r="N100" s="90">
        <f t="shared" si="13"/>
        <v>0</v>
      </c>
      <c r="O100" s="91">
        <f t="shared" si="14"/>
        <v>0</v>
      </c>
    </row>
    <row r="101" spans="1:15" ht="24" x14ac:dyDescent="0.3">
      <c r="A101" s="106" t="s">
        <v>1080</v>
      </c>
      <c r="B101" s="103" t="s">
        <v>1071</v>
      </c>
      <c r="C101" s="102" t="s">
        <v>1083</v>
      </c>
      <c r="D101" s="89" t="s">
        <v>1069</v>
      </c>
      <c r="E101" s="89"/>
      <c r="F101" s="89"/>
      <c r="G101" s="89"/>
      <c r="H101" s="89"/>
      <c r="I101" s="89"/>
      <c r="J101" s="89" t="s">
        <v>1070</v>
      </c>
      <c r="K101" s="89" t="s">
        <v>1094</v>
      </c>
      <c r="L101" s="90">
        <v>15</v>
      </c>
      <c r="M101" s="92">
        <v>15</v>
      </c>
      <c r="N101" s="90">
        <f t="shared" ref="N101:N103" si="17">+L101-M101</f>
        <v>0</v>
      </c>
      <c r="O101" s="91">
        <f t="shared" ref="O101:O103" si="18">IFERROR(IF(7&lt;&gt;0, M101*100/L101, IF(L101=M101, M101*100/L101, 0)), 0)</f>
        <v>100</v>
      </c>
    </row>
    <row r="102" spans="1:15" ht="24" x14ac:dyDescent="0.3">
      <c r="A102" s="106" t="s">
        <v>1080</v>
      </c>
      <c r="B102" s="102" t="s">
        <v>1060</v>
      </c>
      <c r="C102" s="102" t="s">
        <v>1083</v>
      </c>
      <c r="D102" s="89" t="s">
        <v>1069</v>
      </c>
      <c r="E102" s="89"/>
      <c r="F102" s="89"/>
      <c r="G102" s="89"/>
      <c r="H102" s="89"/>
      <c r="I102" s="89"/>
      <c r="J102" s="89" t="s">
        <v>842</v>
      </c>
      <c r="K102" s="89" t="s">
        <v>1094</v>
      </c>
      <c r="L102" s="90"/>
      <c r="M102" s="90"/>
      <c r="N102" s="90">
        <f t="shared" si="17"/>
        <v>0</v>
      </c>
      <c r="O102" s="91">
        <f t="shared" si="18"/>
        <v>0</v>
      </c>
    </row>
    <row r="103" spans="1:15" ht="24" x14ac:dyDescent="0.3">
      <c r="A103" s="106" t="s">
        <v>1080</v>
      </c>
      <c r="B103" s="102" t="s">
        <v>1061</v>
      </c>
      <c r="C103" s="102" t="s">
        <v>1083</v>
      </c>
      <c r="D103" s="89" t="s">
        <v>1069</v>
      </c>
      <c r="E103" s="89"/>
      <c r="F103" s="89"/>
      <c r="G103" s="89"/>
      <c r="H103" s="89"/>
      <c r="I103" s="89"/>
      <c r="J103" s="89" t="s">
        <v>1070</v>
      </c>
      <c r="K103" s="89" t="s">
        <v>1094</v>
      </c>
      <c r="L103" s="90">
        <v>15</v>
      </c>
      <c r="M103" s="90">
        <v>14</v>
      </c>
      <c r="N103" s="90">
        <f t="shared" si="17"/>
        <v>1</v>
      </c>
      <c r="O103" s="91">
        <f t="shared" si="18"/>
        <v>93.333333333333329</v>
      </c>
    </row>
    <row r="104" spans="1:15" ht="48" x14ac:dyDescent="0.3">
      <c r="A104" s="106" t="s">
        <v>1080</v>
      </c>
      <c r="B104" s="102" t="s">
        <v>1062</v>
      </c>
      <c r="C104" s="102" t="s">
        <v>1084</v>
      </c>
      <c r="D104" s="89" t="s">
        <v>1069</v>
      </c>
      <c r="E104" s="89"/>
      <c r="F104" s="89"/>
      <c r="G104" s="89"/>
      <c r="H104" s="89"/>
      <c r="I104" s="89"/>
      <c r="J104" s="89" t="s">
        <v>1070</v>
      </c>
      <c r="K104" s="89" t="s">
        <v>1095</v>
      </c>
      <c r="L104" s="90">
        <v>518</v>
      </c>
      <c r="M104" s="90">
        <v>473</v>
      </c>
      <c r="N104" s="90">
        <f t="shared" si="13"/>
        <v>45</v>
      </c>
      <c r="O104" s="91">
        <f t="shared" si="14"/>
        <v>91.312741312741309</v>
      </c>
    </row>
    <row r="105" spans="1:15" ht="24" x14ac:dyDescent="0.3">
      <c r="A105" s="106" t="s">
        <v>1080</v>
      </c>
      <c r="B105" s="102" t="s">
        <v>1063</v>
      </c>
      <c r="C105" s="102" t="s">
        <v>1084</v>
      </c>
      <c r="D105" s="89" t="s">
        <v>1069</v>
      </c>
      <c r="E105" s="89"/>
      <c r="F105" s="89"/>
      <c r="G105" s="89"/>
      <c r="H105" s="89"/>
      <c r="I105" s="89"/>
      <c r="J105" s="89" t="s">
        <v>1070</v>
      </c>
      <c r="K105" s="89" t="s">
        <v>1093</v>
      </c>
      <c r="L105" s="90">
        <v>36</v>
      </c>
      <c r="M105" s="90">
        <v>36</v>
      </c>
      <c r="N105" s="90">
        <f t="shared" si="13"/>
        <v>0</v>
      </c>
      <c r="O105" s="91">
        <f t="shared" si="14"/>
        <v>100</v>
      </c>
    </row>
    <row r="106" spans="1:15" ht="24" x14ac:dyDescent="0.3">
      <c r="A106" s="106" t="s">
        <v>1080</v>
      </c>
      <c r="B106" s="103" t="s">
        <v>1074</v>
      </c>
      <c r="C106" s="103" t="s">
        <v>1084</v>
      </c>
      <c r="D106" s="89" t="s">
        <v>1069</v>
      </c>
      <c r="E106" s="89"/>
      <c r="F106" s="89"/>
      <c r="G106" s="89"/>
      <c r="H106" s="89"/>
      <c r="I106" s="89"/>
      <c r="J106" s="89" t="s">
        <v>1070</v>
      </c>
      <c r="K106" s="89" t="s">
        <v>1096</v>
      </c>
      <c r="L106" s="90">
        <v>46</v>
      </c>
      <c r="M106" s="90">
        <v>46</v>
      </c>
      <c r="N106" s="90">
        <f t="shared" si="13"/>
        <v>0</v>
      </c>
      <c r="O106" s="91">
        <f t="shared" si="14"/>
        <v>100</v>
      </c>
    </row>
    <row r="107" spans="1:15" ht="48" x14ac:dyDescent="0.3">
      <c r="A107" s="106" t="s">
        <v>1080</v>
      </c>
      <c r="B107" s="102" t="s">
        <v>1064</v>
      </c>
      <c r="C107" s="103" t="s">
        <v>1084</v>
      </c>
      <c r="D107" s="89" t="s">
        <v>1069</v>
      </c>
      <c r="E107" s="89"/>
      <c r="F107" s="89"/>
      <c r="G107" s="89"/>
      <c r="H107" s="89"/>
      <c r="I107" s="89"/>
      <c r="J107" s="89" t="s">
        <v>1070</v>
      </c>
      <c r="K107" s="89" t="s">
        <v>1097</v>
      </c>
      <c r="L107" s="90">
        <v>721</v>
      </c>
      <c r="M107" s="90">
        <f>989-232</f>
        <v>757</v>
      </c>
      <c r="N107" s="90">
        <f t="shared" si="13"/>
        <v>-36</v>
      </c>
      <c r="O107" s="91">
        <f t="shared" si="14"/>
        <v>104.99306518723995</v>
      </c>
    </row>
    <row r="108" spans="1:15" ht="36" x14ac:dyDescent="0.3">
      <c r="A108" s="106" t="s">
        <v>1080</v>
      </c>
      <c r="B108" s="102" t="s">
        <v>1066</v>
      </c>
      <c r="C108" s="103" t="s">
        <v>1084</v>
      </c>
      <c r="D108" s="89" t="s">
        <v>1069</v>
      </c>
      <c r="E108" s="89"/>
      <c r="F108" s="89"/>
      <c r="G108" s="89"/>
      <c r="H108" s="89"/>
      <c r="I108" s="89"/>
      <c r="J108" s="89" t="s">
        <v>1070</v>
      </c>
      <c r="K108" s="89" t="s">
        <v>1098</v>
      </c>
      <c r="L108" s="90">
        <v>232</v>
      </c>
      <c r="M108" s="90">
        <v>230</v>
      </c>
      <c r="N108" s="90">
        <f t="shared" si="13"/>
        <v>2</v>
      </c>
      <c r="O108" s="91">
        <f t="shared" si="14"/>
        <v>99.137931034482762</v>
      </c>
    </row>
    <row r="109" spans="1:15" ht="36" x14ac:dyDescent="0.3">
      <c r="A109" s="106" t="s">
        <v>1080</v>
      </c>
      <c r="B109" s="102" t="s">
        <v>1067</v>
      </c>
      <c r="C109" s="103" t="s">
        <v>1084</v>
      </c>
      <c r="D109" s="89" t="s">
        <v>1069</v>
      </c>
      <c r="E109" s="89"/>
      <c r="F109" s="89"/>
      <c r="G109" s="89"/>
      <c r="H109" s="89"/>
      <c r="I109" s="89"/>
      <c r="J109" s="89" t="s">
        <v>1099</v>
      </c>
      <c r="K109" s="89" t="s">
        <v>1098</v>
      </c>
      <c r="L109" s="90"/>
      <c r="M109" s="90"/>
      <c r="N109" s="90">
        <f t="shared" si="13"/>
        <v>0</v>
      </c>
      <c r="O109" s="91">
        <f t="shared" si="14"/>
        <v>0</v>
      </c>
    </row>
    <row r="110" spans="1:15" ht="24" x14ac:dyDescent="0.3">
      <c r="A110" s="106" t="s">
        <v>1081</v>
      </c>
      <c r="B110" s="102" t="s">
        <v>1053</v>
      </c>
      <c r="C110" s="102" t="s">
        <v>1083</v>
      </c>
      <c r="D110" s="89" t="s">
        <v>1069</v>
      </c>
      <c r="E110" s="89"/>
      <c r="F110" s="89"/>
      <c r="G110" s="89"/>
      <c r="H110" s="89"/>
      <c r="I110" s="89"/>
      <c r="J110" s="89" t="s">
        <v>1070</v>
      </c>
      <c r="K110" s="89" t="s">
        <v>1092</v>
      </c>
      <c r="L110" s="90">
        <v>149</v>
      </c>
      <c r="M110" s="90">
        <v>131</v>
      </c>
      <c r="N110" s="90">
        <f t="shared" si="13"/>
        <v>18</v>
      </c>
      <c r="O110" s="91">
        <f t="shared" si="14"/>
        <v>87.919463087248317</v>
      </c>
    </row>
    <row r="111" spans="1:15" x14ac:dyDescent="0.3">
      <c r="A111" s="106" t="s">
        <v>1081</v>
      </c>
      <c r="B111" s="102" t="s">
        <v>1054</v>
      </c>
      <c r="C111" s="102" t="s">
        <v>1083</v>
      </c>
      <c r="D111" s="89" t="s">
        <v>1069</v>
      </c>
      <c r="E111" s="89"/>
      <c r="F111" s="89"/>
      <c r="G111" s="89"/>
      <c r="H111" s="89"/>
      <c r="I111" s="89"/>
      <c r="J111" s="89" t="s">
        <v>1070</v>
      </c>
      <c r="K111" s="89" t="s">
        <v>1092</v>
      </c>
      <c r="L111" s="90">
        <v>138</v>
      </c>
      <c r="M111" s="90">
        <v>124</v>
      </c>
      <c r="N111" s="90">
        <f t="shared" si="13"/>
        <v>14</v>
      </c>
      <c r="O111" s="91">
        <f t="shared" si="14"/>
        <v>89.85507246376811</v>
      </c>
    </row>
    <row r="112" spans="1:15" x14ac:dyDescent="0.3">
      <c r="A112" s="106" t="s">
        <v>1081</v>
      </c>
      <c r="B112" s="102" t="s">
        <v>1055</v>
      </c>
      <c r="C112" s="102" t="s">
        <v>1083</v>
      </c>
      <c r="D112" s="89" t="s">
        <v>1069</v>
      </c>
      <c r="E112" s="89"/>
      <c r="F112" s="89"/>
      <c r="G112" s="89"/>
      <c r="H112" s="89"/>
      <c r="I112" s="89"/>
      <c r="J112" s="89" t="s">
        <v>1070</v>
      </c>
      <c r="K112" s="89" t="s">
        <v>1092</v>
      </c>
      <c r="L112" s="90">
        <v>131</v>
      </c>
      <c r="M112" s="90">
        <v>113</v>
      </c>
      <c r="N112" s="90">
        <f t="shared" si="13"/>
        <v>18</v>
      </c>
      <c r="O112" s="91">
        <f t="shared" si="14"/>
        <v>86.25954198473282</v>
      </c>
    </row>
    <row r="113" spans="1:15" ht="24" x14ac:dyDescent="0.3">
      <c r="A113" s="106" t="s">
        <v>1081</v>
      </c>
      <c r="B113" s="102" t="s">
        <v>1056</v>
      </c>
      <c r="C113" s="102" t="s">
        <v>1083</v>
      </c>
      <c r="D113" s="89" t="s">
        <v>1069</v>
      </c>
      <c r="E113" s="89"/>
      <c r="F113" s="89"/>
      <c r="G113" s="89"/>
      <c r="H113" s="89"/>
      <c r="I113" s="89"/>
      <c r="J113" s="89" t="s">
        <v>1070</v>
      </c>
      <c r="K113" s="89" t="s">
        <v>1091</v>
      </c>
      <c r="L113" s="90">
        <v>55</v>
      </c>
      <c r="M113" s="90">
        <v>80</v>
      </c>
      <c r="N113" s="90">
        <f t="shared" si="13"/>
        <v>-25</v>
      </c>
      <c r="O113" s="91">
        <f t="shared" si="14"/>
        <v>145.45454545454547</v>
      </c>
    </row>
    <row r="114" spans="1:15" ht="24" x14ac:dyDescent="0.3">
      <c r="A114" s="106" t="s">
        <v>1081</v>
      </c>
      <c r="B114" s="102" t="s">
        <v>1057</v>
      </c>
      <c r="C114" s="102" t="s">
        <v>1083</v>
      </c>
      <c r="D114" s="89" t="s">
        <v>1069</v>
      </c>
      <c r="E114" s="89"/>
      <c r="F114" s="89"/>
      <c r="G114" s="89"/>
      <c r="H114" s="89"/>
      <c r="I114" s="89"/>
      <c r="J114" s="89" t="s">
        <v>852</v>
      </c>
      <c r="K114" s="89" t="s">
        <v>1093</v>
      </c>
      <c r="L114" s="90">
        <v>0</v>
      </c>
      <c r="M114" s="90">
        <v>0</v>
      </c>
      <c r="N114" s="90">
        <f t="shared" si="13"/>
        <v>0</v>
      </c>
      <c r="O114" s="91">
        <f t="shared" si="14"/>
        <v>0</v>
      </c>
    </row>
    <row r="115" spans="1:15" ht="24" x14ac:dyDescent="0.3">
      <c r="A115" s="106" t="s">
        <v>1081</v>
      </c>
      <c r="B115" s="103" t="s">
        <v>1071</v>
      </c>
      <c r="C115" s="102" t="s">
        <v>1083</v>
      </c>
      <c r="D115" s="89" t="s">
        <v>1069</v>
      </c>
      <c r="E115" s="89"/>
      <c r="F115" s="89"/>
      <c r="G115" s="89"/>
      <c r="H115" s="89"/>
      <c r="I115" s="89"/>
      <c r="J115" s="89" t="s">
        <v>1070</v>
      </c>
      <c r="K115" s="89" t="s">
        <v>1094</v>
      </c>
      <c r="L115" s="90">
        <v>20</v>
      </c>
      <c r="M115" s="92">
        <v>20</v>
      </c>
      <c r="N115" s="90">
        <f t="shared" si="13"/>
        <v>0</v>
      </c>
      <c r="O115" s="91">
        <f t="shared" si="14"/>
        <v>100</v>
      </c>
    </row>
    <row r="116" spans="1:15" ht="24" x14ac:dyDescent="0.3">
      <c r="A116" s="106" t="s">
        <v>1081</v>
      </c>
      <c r="B116" s="102" t="s">
        <v>1060</v>
      </c>
      <c r="C116" s="102" t="s">
        <v>1083</v>
      </c>
      <c r="D116" s="89" t="s">
        <v>1069</v>
      </c>
      <c r="E116" s="89"/>
      <c r="F116" s="89"/>
      <c r="G116" s="89"/>
      <c r="H116" s="89"/>
      <c r="I116" s="89"/>
      <c r="J116" s="89" t="s">
        <v>842</v>
      </c>
      <c r="K116" s="89" t="s">
        <v>1094</v>
      </c>
      <c r="L116" s="90"/>
      <c r="M116" s="90"/>
      <c r="N116" s="90">
        <f t="shared" si="13"/>
        <v>0</v>
      </c>
      <c r="O116" s="91">
        <f t="shared" si="14"/>
        <v>0</v>
      </c>
    </row>
    <row r="117" spans="1:15" ht="24" x14ac:dyDescent="0.3">
      <c r="A117" s="106" t="s">
        <v>1081</v>
      </c>
      <c r="B117" s="102" t="s">
        <v>1061</v>
      </c>
      <c r="C117" s="102" t="s">
        <v>1083</v>
      </c>
      <c r="D117" s="89" t="s">
        <v>1069</v>
      </c>
      <c r="E117" s="89"/>
      <c r="F117" s="89"/>
      <c r="G117" s="89"/>
      <c r="H117" s="89"/>
      <c r="I117" s="89"/>
      <c r="J117" s="89" t="s">
        <v>1070</v>
      </c>
      <c r="K117" s="89" t="s">
        <v>1094</v>
      </c>
      <c r="L117" s="90">
        <v>20</v>
      </c>
      <c r="M117" s="90">
        <v>13</v>
      </c>
      <c r="N117" s="90">
        <f t="shared" si="13"/>
        <v>7</v>
      </c>
      <c r="O117" s="91">
        <f t="shared" si="14"/>
        <v>65</v>
      </c>
    </row>
    <row r="118" spans="1:15" ht="48" x14ac:dyDescent="0.3">
      <c r="A118" s="106" t="s">
        <v>1081</v>
      </c>
      <c r="B118" s="102" t="s">
        <v>1062</v>
      </c>
      <c r="C118" s="102" t="s">
        <v>1084</v>
      </c>
      <c r="D118" s="89" t="s">
        <v>1069</v>
      </c>
      <c r="E118" s="89"/>
      <c r="F118" s="89"/>
      <c r="G118" s="89"/>
      <c r="H118" s="89"/>
      <c r="I118" s="89"/>
      <c r="J118" s="89" t="s">
        <v>1070</v>
      </c>
      <c r="K118" s="89" t="s">
        <v>1095</v>
      </c>
      <c r="L118" s="90">
        <v>556</v>
      </c>
      <c r="M118" s="90">
        <v>436</v>
      </c>
      <c r="N118" s="90">
        <f t="shared" si="13"/>
        <v>120</v>
      </c>
      <c r="O118" s="91">
        <f t="shared" si="14"/>
        <v>78.417266187050359</v>
      </c>
    </row>
    <row r="119" spans="1:15" ht="24" x14ac:dyDescent="0.3">
      <c r="A119" s="106" t="s">
        <v>1081</v>
      </c>
      <c r="B119" s="102" t="s">
        <v>1063</v>
      </c>
      <c r="C119" s="102" t="s">
        <v>1084</v>
      </c>
      <c r="D119" s="89" t="s">
        <v>1069</v>
      </c>
      <c r="E119" s="89"/>
      <c r="F119" s="89"/>
      <c r="G119" s="89"/>
      <c r="H119" s="89"/>
      <c r="I119" s="89"/>
      <c r="J119" s="89" t="s">
        <v>1070</v>
      </c>
      <c r="K119" s="89" t="s">
        <v>1093</v>
      </c>
      <c r="L119" s="90">
        <v>39</v>
      </c>
      <c r="M119" s="90">
        <v>39</v>
      </c>
      <c r="N119" s="90">
        <f t="shared" si="13"/>
        <v>0</v>
      </c>
      <c r="O119" s="91">
        <f t="shared" si="14"/>
        <v>100</v>
      </c>
    </row>
    <row r="120" spans="1:15" ht="24" x14ac:dyDescent="0.3">
      <c r="A120" s="106" t="s">
        <v>1081</v>
      </c>
      <c r="B120" s="103" t="s">
        <v>1074</v>
      </c>
      <c r="C120" s="103" t="s">
        <v>1084</v>
      </c>
      <c r="D120" s="89" t="s">
        <v>1069</v>
      </c>
      <c r="E120" s="89"/>
      <c r="F120" s="89"/>
      <c r="G120" s="89"/>
      <c r="H120" s="89"/>
      <c r="I120" s="89"/>
      <c r="J120" s="89" t="s">
        <v>1070</v>
      </c>
      <c r="K120" s="89" t="s">
        <v>1096</v>
      </c>
      <c r="L120" s="90">
        <v>53</v>
      </c>
      <c r="M120" s="90">
        <v>53</v>
      </c>
      <c r="N120" s="90">
        <f t="shared" ref="N120" si="19">+L120-M120</f>
        <v>0</v>
      </c>
      <c r="O120" s="91">
        <f t="shared" ref="O120" si="20">IFERROR(IF(7&lt;&gt;0, M120*100/L120, IF(L120=M120, M120*100/L120, 0)), 0)</f>
        <v>100</v>
      </c>
    </row>
    <row r="121" spans="1:15" ht="48" x14ac:dyDescent="0.3">
      <c r="A121" s="106" t="s">
        <v>1081</v>
      </c>
      <c r="B121" s="102" t="s">
        <v>1064</v>
      </c>
      <c r="C121" s="103" t="s">
        <v>1084</v>
      </c>
      <c r="D121" s="89" t="s">
        <v>1069</v>
      </c>
      <c r="E121" s="89"/>
      <c r="F121" s="89"/>
      <c r="G121" s="89"/>
      <c r="H121" s="89"/>
      <c r="I121" s="89"/>
      <c r="J121" s="89" t="s">
        <v>1070</v>
      </c>
      <c r="K121" s="89" t="s">
        <v>1097</v>
      </c>
      <c r="L121" s="90">
        <v>907</v>
      </c>
      <c r="M121" s="90">
        <v>890</v>
      </c>
      <c r="N121" s="90">
        <f t="shared" si="13"/>
        <v>17</v>
      </c>
      <c r="O121" s="91">
        <f t="shared" si="14"/>
        <v>98.125689084895257</v>
      </c>
    </row>
    <row r="122" spans="1:15" ht="36" x14ac:dyDescent="0.3">
      <c r="A122" s="106" t="s">
        <v>1081</v>
      </c>
      <c r="B122" s="102" t="s">
        <v>1066</v>
      </c>
      <c r="C122" s="103" t="s">
        <v>1084</v>
      </c>
      <c r="D122" s="89" t="s">
        <v>1069</v>
      </c>
      <c r="E122" s="89"/>
      <c r="F122" s="89"/>
      <c r="G122" s="89"/>
      <c r="H122" s="89"/>
      <c r="I122" s="89"/>
      <c r="J122" s="89" t="s">
        <v>1070</v>
      </c>
      <c r="K122" s="89" t="s">
        <v>1098</v>
      </c>
      <c r="L122" s="90">
        <v>236</v>
      </c>
      <c r="M122" s="90">
        <v>236</v>
      </c>
      <c r="N122" s="90">
        <f t="shared" si="13"/>
        <v>0</v>
      </c>
      <c r="O122" s="91">
        <f t="shared" si="14"/>
        <v>100</v>
      </c>
    </row>
    <row r="123" spans="1:15" ht="36" x14ac:dyDescent="0.3">
      <c r="A123" s="106" t="s">
        <v>1081</v>
      </c>
      <c r="B123" s="102" t="s">
        <v>1067</v>
      </c>
      <c r="C123" s="103" t="s">
        <v>1084</v>
      </c>
      <c r="D123" s="89" t="s">
        <v>1069</v>
      </c>
      <c r="E123" s="89"/>
      <c r="F123" s="89"/>
      <c r="G123" s="89"/>
      <c r="H123" s="89"/>
      <c r="I123" s="89"/>
      <c r="J123" s="89" t="s">
        <v>1099</v>
      </c>
      <c r="K123" s="89" t="s">
        <v>1098</v>
      </c>
      <c r="L123" s="90"/>
      <c r="M123" s="90"/>
      <c r="N123" s="90">
        <f t="shared" si="13"/>
        <v>0</v>
      </c>
      <c r="O123" s="91">
        <f t="shared" si="14"/>
        <v>0</v>
      </c>
    </row>
    <row r="124" spans="1:15" x14ac:dyDescent="0.3">
      <c r="A124" s="106" t="s">
        <v>1076</v>
      </c>
      <c r="B124" s="89" t="s">
        <v>1100</v>
      </c>
      <c r="C124" s="103" t="s">
        <v>1084</v>
      </c>
      <c r="D124" s="89" t="s">
        <v>1069</v>
      </c>
      <c r="E124" s="89"/>
      <c r="F124" s="89"/>
      <c r="G124" s="89"/>
      <c r="H124" s="89"/>
      <c r="I124" s="89"/>
      <c r="J124" s="89" t="s">
        <v>1070</v>
      </c>
      <c r="K124" s="89" t="s">
        <v>1096</v>
      </c>
      <c r="L124" s="90">
        <v>70</v>
      </c>
      <c r="M124" s="90">
        <v>31</v>
      </c>
      <c r="N124" s="90">
        <f t="shared" si="13"/>
        <v>39</v>
      </c>
      <c r="O124" s="91">
        <f t="shared" si="14"/>
        <v>44.285714285714285</v>
      </c>
    </row>
    <row r="125" spans="1:15" x14ac:dyDescent="0.3">
      <c r="A125" s="106" t="s">
        <v>1101</v>
      </c>
      <c r="B125" s="89" t="s">
        <v>1100</v>
      </c>
      <c r="C125" s="103" t="s">
        <v>1084</v>
      </c>
      <c r="D125" s="89" t="s">
        <v>1069</v>
      </c>
      <c r="E125" s="89"/>
      <c r="F125" s="89"/>
      <c r="G125" s="89"/>
      <c r="H125" s="89"/>
      <c r="I125" s="89"/>
      <c r="J125" s="89" t="s">
        <v>1070</v>
      </c>
      <c r="K125" s="89" t="s">
        <v>1096</v>
      </c>
      <c r="L125" s="90">
        <v>59</v>
      </c>
      <c r="M125" s="90">
        <f>70-31-13</f>
        <v>26</v>
      </c>
      <c r="N125" s="90">
        <f t="shared" si="13"/>
        <v>33</v>
      </c>
      <c r="O125" s="91">
        <f t="shared" si="14"/>
        <v>44.067796610169495</v>
      </c>
    </row>
    <row r="126" spans="1:15" x14ac:dyDescent="0.3">
      <c r="A126" s="106" t="s">
        <v>1077</v>
      </c>
      <c r="B126" s="89" t="s">
        <v>1100</v>
      </c>
      <c r="C126" s="103" t="s">
        <v>1084</v>
      </c>
      <c r="D126" s="89" t="s">
        <v>1069</v>
      </c>
      <c r="E126" s="89"/>
      <c r="F126" s="89"/>
      <c r="G126" s="89"/>
      <c r="H126" s="89"/>
      <c r="I126" s="89"/>
      <c r="J126" s="89" t="s">
        <v>1070</v>
      </c>
      <c r="K126" s="89" t="s">
        <v>1096</v>
      </c>
      <c r="L126" s="90">
        <v>38</v>
      </c>
      <c r="M126" s="90">
        <v>13</v>
      </c>
      <c r="N126" s="90">
        <f t="shared" si="13"/>
        <v>25</v>
      </c>
      <c r="O126" s="91">
        <f t="shared" si="14"/>
        <v>34.210526315789473</v>
      </c>
    </row>
    <row r="127" spans="1:15" x14ac:dyDescent="0.3">
      <c r="A127" s="106" t="s">
        <v>1102</v>
      </c>
      <c r="B127" s="89" t="s">
        <v>1100</v>
      </c>
      <c r="C127" s="103" t="s">
        <v>1084</v>
      </c>
      <c r="D127" s="89" t="s">
        <v>1069</v>
      </c>
      <c r="E127" s="89"/>
      <c r="F127" s="89"/>
      <c r="G127" s="89"/>
      <c r="H127" s="89"/>
      <c r="I127" s="89"/>
      <c r="J127" s="89" t="s">
        <v>1070</v>
      </c>
      <c r="K127" s="89" t="s">
        <v>1096</v>
      </c>
      <c r="L127" s="90">
        <v>30</v>
      </c>
      <c r="M127" s="90">
        <v>24</v>
      </c>
      <c r="N127" s="90">
        <f t="shared" si="13"/>
        <v>6</v>
      </c>
      <c r="O127" s="91">
        <f t="shared" si="14"/>
        <v>80</v>
      </c>
    </row>
    <row r="128" spans="1:15" x14ac:dyDescent="0.3">
      <c r="A128" s="106" t="s">
        <v>1078</v>
      </c>
      <c r="B128" s="89" t="s">
        <v>1100</v>
      </c>
      <c r="C128" s="103" t="s">
        <v>1084</v>
      </c>
      <c r="D128" s="89" t="s">
        <v>1069</v>
      </c>
      <c r="E128" s="89"/>
      <c r="F128" s="89"/>
      <c r="G128" s="89"/>
      <c r="H128" s="89"/>
      <c r="I128" s="89"/>
      <c r="J128" s="89" t="s">
        <v>1070</v>
      </c>
      <c r="K128" s="89" t="s">
        <v>1096</v>
      </c>
      <c r="L128" s="90">
        <v>57</v>
      </c>
      <c r="M128" s="92">
        <v>57</v>
      </c>
      <c r="N128" s="90">
        <f t="shared" si="13"/>
        <v>0</v>
      </c>
      <c r="O128" s="91">
        <f t="shared" si="14"/>
        <v>100</v>
      </c>
    </row>
    <row r="129" spans="1:15" x14ac:dyDescent="0.3">
      <c r="A129" s="106" t="s">
        <v>1079</v>
      </c>
      <c r="B129" s="89" t="s">
        <v>1100</v>
      </c>
      <c r="C129" s="103" t="s">
        <v>1084</v>
      </c>
      <c r="D129" s="89" t="s">
        <v>1069</v>
      </c>
      <c r="E129" s="89"/>
      <c r="F129" s="89"/>
      <c r="G129" s="89"/>
      <c r="H129" s="89"/>
      <c r="I129" s="89"/>
      <c r="J129" s="89" t="s">
        <v>1070</v>
      </c>
      <c r="K129" s="89" t="s">
        <v>1096</v>
      </c>
      <c r="L129" s="90">
        <v>56</v>
      </c>
      <c r="M129" s="90">
        <v>56</v>
      </c>
      <c r="N129" s="90">
        <f t="shared" si="13"/>
        <v>0</v>
      </c>
      <c r="O129" s="91">
        <f t="shared" si="14"/>
        <v>100</v>
      </c>
    </row>
    <row r="130" spans="1:15" x14ac:dyDescent="0.3">
      <c r="A130" s="106" t="s">
        <v>1080</v>
      </c>
      <c r="B130" s="89" t="s">
        <v>1100</v>
      </c>
      <c r="C130" s="103" t="s">
        <v>1084</v>
      </c>
      <c r="D130" s="89" t="s">
        <v>1069</v>
      </c>
      <c r="E130" s="89"/>
      <c r="F130" s="89"/>
      <c r="G130" s="89"/>
      <c r="H130" s="89"/>
      <c r="I130" s="89"/>
      <c r="J130" s="89" t="s">
        <v>1070</v>
      </c>
      <c r="K130" s="89" t="s">
        <v>1096</v>
      </c>
      <c r="L130" s="90">
        <v>45</v>
      </c>
      <c r="M130" s="90">
        <v>17</v>
      </c>
      <c r="N130" s="90">
        <f t="shared" si="13"/>
        <v>28</v>
      </c>
      <c r="O130" s="91">
        <f t="shared" si="14"/>
        <v>37.777777777777779</v>
      </c>
    </row>
    <row r="131" spans="1:15" x14ac:dyDescent="0.3">
      <c r="A131" s="107" t="s">
        <v>1081</v>
      </c>
      <c r="B131" s="89" t="s">
        <v>1100</v>
      </c>
      <c r="C131" s="103" t="s">
        <v>1084</v>
      </c>
      <c r="D131" s="89" t="s">
        <v>1069</v>
      </c>
      <c r="E131" s="93"/>
      <c r="F131" s="93"/>
      <c r="G131" s="93"/>
      <c r="H131" s="93"/>
      <c r="I131" s="93"/>
      <c r="J131" s="89" t="s">
        <v>1070</v>
      </c>
      <c r="K131" s="89" t="s">
        <v>1096</v>
      </c>
      <c r="L131" s="92">
        <v>50</v>
      </c>
      <c r="M131" s="92">
        <v>33</v>
      </c>
      <c r="N131" s="92">
        <f t="shared" si="13"/>
        <v>17</v>
      </c>
      <c r="O131" s="94">
        <f t="shared" si="14"/>
        <v>66</v>
      </c>
    </row>
    <row r="132" spans="1:15" x14ac:dyDescent="0.3">
      <c r="A132" s="106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90"/>
      <c r="M132" s="90"/>
      <c r="N132" s="90">
        <f t="shared" si="13"/>
        <v>0</v>
      </c>
      <c r="O132" s="91">
        <f t="shared" si="14"/>
        <v>0</v>
      </c>
    </row>
    <row r="133" spans="1:15" x14ac:dyDescent="0.3">
      <c r="A133" s="106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90"/>
      <c r="M133" s="90"/>
      <c r="N133" s="90">
        <f t="shared" si="13"/>
        <v>0</v>
      </c>
      <c r="O133" s="91">
        <f t="shared" si="14"/>
        <v>0</v>
      </c>
    </row>
    <row r="134" spans="1:15" x14ac:dyDescent="0.3">
      <c r="A134" s="106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90"/>
      <c r="M134" s="90"/>
      <c r="N134" s="90">
        <f t="shared" si="13"/>
        <v>0</v>
      </c>
      <c r="O134" s="91">
        <f t="shared" si="14"/>
        <v>0</v>
      </c>
    </row>
    <row r="135" spans="1:15" x14ac:dyDescent="0.3">
      <c r="A135" s="106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90"/>
      <c r="M135" s="90"/>
      <c r="N135" s="90">
        <f t="shared" si="13"/>
        <v>0</v>
      </c>
      <c r="O135" s="91">
        <f t="shared" si="14"/>
        <v>0</v>
      </c>
    </row>
    <row r="136" spans="1:15" x14ac:dyDescent="0.3">
      <c r="A136" s="106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90"/>
      <c r="M136" s="90"/>
      <c r="N136" s="90">
        <f t="shared" si="13"/>
        <v>0</v>
      </c>
      <c r="O136" s="91">
        <f t="shared" si="14"/>
        <v>0</v>
      </c>
    </row>
    <row r="137" spans="1:15" x14ac:dyDescent="0.3">
      <c r="A137" s="106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90"/>
      <c r="M137" s="90"/>
      <c r="N137" s="90">
        <f t="shared" si="13"/>
        <v>0</v>
      </c>
      <c r="O137" s="91">
        <f t="shared" si="14"/>
        <v>0</v>
      </c>
    </row>
    <row r="138" spans="1:15" x14ac:dyDescent="0.3">
      <c r="A138" s="106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90"/>
      <c r="M138" s="90"/>
      <c r="N138" s="90">
        <f t="shared" si="13"/>
        <v>0</v>
      </c>
      <c r="O138" s="91">
        <f t="shared" si="14"/>
        <v>0</v>
      </c>
    </row>
    <row r="139" spans="1:15" x14ac:dyDescent="0.3">
      <c r="A139" s="106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90"/>
      <c r="M139" s="90"/>
      <c r="N139" s="90">
        <f t="shared" si="13"/>
        <v>0</v>
      </c>
      <c r="O139" s="91">
        <f t="shared" si="14"/>
        <v>0</v>
      </c>
    </row>
    <row r="140" spans="1:15" x14ac:dyDescent="0.3">
      <c r="A140" s="106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90"/>
      <c r="M140" s="90"/>
      <c r="N140" s="90">
        <f t="shared" si="13"/>
        <v>0</v>
      </c>
      <c r="O140" s="91">
        <f t="shared" si="14"/>
        <v>0</v>
      </c>
    </row>
    <row r="141" spans="1:15" x14ac:dyDescent="0.3">
      <c r="A141" s="107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2"/>
      <c r="M141" s="92"/>
      <c r="N141" s="92">
        <f t="shared" si="13"/>
        <v>0</v>
      </c>
      <c r="O141" s="94">
        <f t="shared" si="14"/>
        <v>0</v>
      </c>
    </row>
    <row r="142" spans="1:15" x14ac:dyDescent="0.3">
      <c r="A142" s="106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90"/>
      <c r="M142" s="90"/>
      <c r="N142" s="90">
        <f t="shared" si="13"/>
        <v>0</v>
      </c>
      <c r="O142" s="91">
        <f t="shared" si="14"/>
        <v>0</v>
      </c>
    </row>
    <row r="143" spans="1:15" x14ac:dyDescent="0.3">
      <c r="A143" s="106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90"/>
      <c r="M143" s="90"/>
      <c r="N143" s="90">
        <f t="shared" si="13"/>
        <v>0</v>
      </c>
      <c r="O143" s="91">
        <f t="shared" si="14"/>
        <v>0</v>
      </c>
    </row>
    <row r="144" spans="1:15" x14ac:dyDescent="0.3">
      <c r="A144" s="106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90"/>
      <c r="M144" s="90"/>
      <c r="N144" s="90">
        <f t="shared" si="13"/>
        <v>0</v>
      </c>
      <c r="O144" s="91">
        <f t="shared" si="14"/>
        <v>0</v>
      </c>
    </row>
    <row r="145" spans="1:15" x14ac:dyDescent="0.3">
      <c r="A145" s="106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90"/>
      <c r="M145" s="90"/>
      <c r="N145" s="90">
        <f t="shared" si="13"/>
        <v>0</v>
      </c>
      <c r="O145" s="91">
        <f t="shared" si="14"/>
        <v>0</v>
      </c>
    </row>
    <row r="146" spans="1:15" x14ac:dyDescent="0.3">
      <c r="A146" s="106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90"/>
      <c r="M146" s="90"/>
      <c r="N146" s="90">
        <f t="shared" si="13"/>
        <v>0</v>
      </c>
      <c r="O146" s="91">
        <f t="shared" si="14"/>
        <v>0</v>
      </c>
    </row>
    <row r="147" spans="1:15" x14ac:dyDescent="0.3">
      <c r="A147" s="106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90"/>
      <c r="M147" s="90"/>
      <c r="N147" s="90">
        <f t="shared" si="13"/>
        <v>0</v>
      </c>
      <c r="O147" s="91">
        <f t="shared" si="14"/>
        <v>0</v>
      </c>
    </row>
    <row r="148" spans="1:15" x14ac:dyDescent="0.3">
      <c r="A148" s="106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90"/>
      <c r="M148" s="90"/>
      <c r="N148" s="90">
        <f t="shared" si="13"/>
        <v>0</v>
      </c>
      <c r="O148" s="91">
        <f t="shared" si="14"/>
        <v>0</v>
      </c>
    </row>
    <row r="149" spans="1:15" x14ac:dyDescent="0.3">
      <c r="A149" s="106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90"/>
      <c r="M149" s="90"/>
      <c r="N149" s="90">
        <f t="shared" si="13"/>
        <v>0</v>
      </c>
      <c r="O149" s="91">
        <f t="shared" si="14"/>
        <v>0</v>
      </c>
    </row>
    <row r="150" spans="1:15" x14ac:dyDescent="0.3">
      <c r="A150" s="106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90"/>
      <c r="M150" s="90"/>
      <c r="N150" s="90">
        <f t="shared" si="13"/>
        <v>0</v>
      </c>
      <c r="O150" s="91">
        <f t="shared" si="14"/>
        <v>0</v>
      </c>
    </row>
    <row r="151" spans="1:15" x14ac:dyDescent="0.3">
      <c r="A151" s="106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90"/>
      <c r="M151" s="90"/>
      <c r="N151" s="90">
        <f t="shared" si="13"/>
        <v>0</v>
      </c>
      <c r="O151" s="91">
        <f t="shared" si="14"/>
        <v>0</v>
      </c>
    </row>
    <row r="152" spans="1:15" x14ac:dyDescent="0.3">
      <c r="A152" s="106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90"/>
      <c r="M152" s="90"/>
      <c r="N152" s="90">
        <f t="shared" si="13"/>
        <v>0</v>
      </c>
      <c r="O152" s="91">
        <f t="shared" si="14"/>
        <v>0</v>
      </c>
    </row>
    <row r="153" spans="1:15" x14ac:dyDescent="0.3">
      <c r="A153" s="106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90"/>
      <c r="M153" s="90"/>
      <c r="N153" s="90">
        <f t="shared" ref="N153:N216" si="21">+L153-M153</f>
        <v>0</v>
      </c>
      <c r="O153" s="91">
        <f t="shared" si="14"/>
        <v>0</v>
      </c>
    </row>
    <row r="154" spans="1:15" x14ac:dyDescent="0.3">
      <c r="A154" s="106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90"/>
      <c r="M154" s="90"/>
      <c r="N154" s="90">
        <f t="shared" si="21"/>
        <v>0</v>
      </c>
      <c r="O154" s="91">
        <f t="shared" ref="O154:O217" si="22">IFERROR(IF(7&lt;&gt;0, M154*100/L154, IF(L154=M154, M154*100/L154, 0)), 0)</f>
        <v>0</v>
      </c>
    </row>
    <row r="155" spans="1:15" x14ac:dyDescent="0.3">
      <c r="A155" s="106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90"/>
      <c r="M155" s="90"/>
      <c r="N155" s="90">
        <f t="shared" si="21"/>
        <v>0</v>
      </c>
      <c r="O155" s="91">
        <f t="shared" si="22"/>
        <v>0</v>
      </c>
    </row>
    <row r="156" spans="1:15" x14ac:dyDescent="0.3">
      <c r="A156" s="106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90"/>
      <c r="M156" s="90"/>
      <c r="N156" s="90">
        <f t="shared" si="21"/>
        <v>0</v>
      </c>
      <c r="O156" s="91">
        <f t="shared" si="22"/>
        <v>0</v>
      </c>
    </row>
    <row r="157" spans="1:15" x14ac:dyDescent="0.3">
      <c r="A157" s="106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90"/>
      <c r="M157" s="90"/>
      <c r="N157" s="90">
        <f t="shared" si="21"/>
        <v>0</v>
      </c>
      <c r="O157" s="91">
        <f t="shared" si="22"/>
        <v>0</v>
      </c>
    </row>
    <row r="158" spans="1:15" x14ac:dyDescent="0.3">
      <c r="A158" s="106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90"/>
      <c r="M158" s="90"/>
      <c r="N158" s="90">
        <f t="shared" si="21"/>
        <v>0</v>
      </c>
      <c r="O158" s="91">
        <f t="shared" si="22"/>
        <v>0</v>
      </c>
    </row>
    <row r="159" spans="1:15" x14ac:dyDescent="0.3">
      <c r="A159" s="106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90"/>
      <c r="M159" s="90"/>
      <c r="N159" s="90">
        <f t="shared" si="21"/>
        <v>0</v>
      </c>
      <c r="O159" s="91">
        <f t="shared" si="22"/>
        <v>0</v>
      </c>
    </row>
    <row r="160" spans="1:15" x14ac:dyDescent="0.3">
      <c r="A160" s="106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90"/>
      <c r="M160" s="90"/>
      <c r="N160" s="90">
        <f t="shared" si="21"/>
        <v>0</v>
      </c>
      <c r="O160" s="91">
        <f t="shared" si="22"/>
        <v>0</v>
      </c>
    </row>
    <row r="161" spans="1:15" x14ac:dyDescent="0.3">
      <c r="A161" s="106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90"/>
      <c r="M161" s="90"/>
      <c r="N161" s="90">
        <f t="shared" si="21"/>
        <v>0</v>
      </c>
      <c r="O161" s="91">
        <f t="shared" si="22"/>
        <v>0</v>
      </c>
    </row>
    <row r="162" spans="1:15" x14ac:dyDescent="0.3">
      <c r="A162" s="106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90"/>
      <c r="M162" s="90"/>
      <c r="N162" s="90">
        <f t="shared" si="21"/>
        <v>0</v>
      </c>
      <c r="O162" s="91">
        <f t="shared" si="22"/>
        <v>0</v>
      </c>
    </row>
    <row r="163" spans="1:15" x14ac:dyDescent="0.3">
      <c r="A163" s="106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90"/>
      <c r="M163" s="90"/>
      <c r="N163" s="90">
        <f t="shared" si="21"/>
        <v>0</v>
      </c>
      <c r="O163" s="91">
        <f t="shared" si="22"/>
        <v>0</v>
      </c>
    </row>
    <row r="164" spans="1:15" x14ac:dyDescent="0.3">
      <c r="A164" s="106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90"/>
      <c r="M164" s="90"/>
      <c r="N164" s="90">
        <f t="shared" si="21"/>
        <v>0</v>
      </c>
      <c r="O164" s="91">
        <f t="shared" si="22"/>
        <v>0</v>
      </c>
    </row>
    <row r="165" spans="1:15" x14ac:dyDescent="0.3">
      <c r="A165" s="106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90"/>
      <c r="M165" s="90"/>
      <c r="N165" s="90">
        <f t="shared" si="21"/>
        <v>0</v>
      </c>
      <c r="O165" s="91">
        <f t="shared" si="22"/>
        <v>0</v>
      </c>
    </row>
    <row r="166" spans="1:15" x14ac:dyDescent="0.3">
      <c r="A166" s="106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90"/>
      <c r="M166" s="90"/>
      <c r="N166" s="90">
        <f t="shared" si="21"/>
        <v>0</v>
      </c>
      <c r="O166" s="91">
        <f t="shared" si="22"/>
        <v>0</v>
      </c>
    </row>
    <row r="167" spans="1:15" x14ac:dyDescent="0.3">
      <c r="A167" s="106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90"/>
      <c r="M167" s="90"/>
      <c r="N167" s="90">
        <f t="shared" si="21"/>
        <v>0</v>
      </c>
      <c r="O167" s="91">
        <f t="shared" si="22"/>
        <v>0</v>
      </c>
    </row>
    <row r="168" spans="1:15" x14ac:dyDescent="0.3">
      <c r="A168" s="106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90"/>
      <c r="M168" s="90"/>
      <c r="N168" s="90">
        <f t="shared" si="21"/>
        <v>0</v>
      </c>
      <c r="O168" s="91">
        <f t="shared" si="22"/>
        <v>0</v>
      </c>
    </row>
    <row r="169" spans="1:15" x14ac:dyDescent="0.3">
      <c r="A169" s="106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90"/>
      <c r="M169" s="90"/>
      <c r="N169" s="90">
        <f t="shared" si="21"/>
        <v>0</v>
      </c>
      <c r="O169" s="91">
        <f t="shared" si="22"/>
        <v>0</v>
      </c>
    </row>
    <row r="170" spans="1:15" x14ac:dyDescent="0.3">
      <c r="A170" s="106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90"/>
      <c r="M170" s="90"/>
      <c r="N170" s="90">
        <f t="shared" si="21"/>
        <v>0</v>
      </c>
      <c r="O170" s="91">
        <f t="shared" si="22"/>
        <v>0</v>
      </c>
    </row>
    <row r="171" spans="1:15" x14ac:dyDescent="0.3">
      <c r="A171" s="106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90"/>
      <c r="M171" s="90"/>
      <c r="N171" s="90">
        <f t="shared" si="21"/>
        <v>0</v>
      </c>
      <c r="O171" s="91">
        <f t="shared" si="22"/>
        <v>0</v>
      </c>
    </row>
    <row r="172" spans="1:15" x14ac:dyDescent="0.3">
      <c r="A172" s="106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90"/>
      <c r="M172" s="90"/>
      <c r="N172" s="90">
        <f t="shared" si="21"/>
        <v>0</v>
      </c>
      <c r="O172" s="91">
        <f t="shared" si="22"/>
        <v>0</v>
      </c>
    </row>
    <row r="173" spans="1:15" x14ac:dyDescent="0.3">
      <c r="A173" s="106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90"/>
      <c r="M173" s="90"/>
      <c r="N173" s="90">
        <f t="shared" si="21"/>
        <v>0</v>
      </c>
      <c r="O173" s="91">
        <f t="shared" si="22"/>
        <v>0</v>
      </c>
    </row>
    <row r="174" spans="1:15" x14ac:dyDescent="0.3">
      <c r="A174" s="106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90"/>
      <c r="M174" s="90"/>
      <c r="N174" s="90">
        <f t="shared" si="21"/>
        <v>0</v>
      </c>
      <c r="O174" s="91">
        <f t="shared" si="22"/>
        <v>0</v>
      </c>
    </row>
    <row r="175" spans="1:15" x14ac:dyDescent="0.3">
      <c r="A175" s="106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90"/>
      <c r="M175" s="90"/>
      <c r="N175" s="90">
        <f t="shared" si="21"/>
        <v>0</v>
      </c>
      <c r="O175" s="91">
        <f t="shared" si="22"/>
        <v>0</v>
      </c>
    </row>
    <row r="176" spans="1:15" x14ac:dyDescent="0.3">
      <c r="A176" s="106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90"/>
      <c r="M176" s="92"/>
      <c r="N176" s="90">
        <f t="shared" si="21"/>
        <v>0</v>
      </c>
      <c r="O176" s="91">
        <f t="shared" si="22"/>
        <v>0</v>
      </c>
    </row>
    <row r="177" spans="1:15" x14ac:dyDescent="0.3">
      <c r="A177" s="106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90"/>
      <c r="M177" s="90"/>
      <c r="N177" s="90">
        <f t="shared" si="21"/>
        <v>0</v>
      </c>
      <c r="O177" s="91">
        <f t="shared" si="22"/>
        <v>0</v>
      </c>
    </row>
    <row r="178" spans="1:15" x14ac:dyDescent="0.3">
      <c r="A178" s="106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90"/>
      <c r="M178" s="90"/>
      <c r="N178" s="90">
        <f t="shared" si="21"/>
        <v>0</v>
      </c>
      <c r="O178" s="91">
        <f t="shared" si="22"/>
        <v>0</v>
      </c>
    </row>
    <row r="179" spans="1:15" x14ac:dyDescent="0.3">
      <c r="A179" s="107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2"/>
      <c r="M179" s="92"/>
      <c r="N179" s="92">
        <f t="shared" si="21"/>
        <v>0</v>
      </c>
      <c r="O179" s="94">
        <f t="shared" si="22"/>
        <v>0</v>
      </c>
    </row>
    <row r="180" spans="1:15" x14ac:dyDescent="0.3">
      <c r="A180" s="106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90"/>
      <c r="M180" s="90"/>
      <c r="N180" s="90">
        <f t="shared" si="21"/>
        <v>0</v>
      </c>
      <c r="O180" s="91">
        <f t="shared" si="22"/>
        <v>0</v>
      </c>
    </row>
    <row r="181" spans="1:15" x14ac:dyDescent="0.3">
      <c r="A181" s="106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90"/>
      <c r="M181" s="90"/>
      <c r="N181" s="90">
        <f t="shared" si="21"/>
        <v>0</v>
      </c>
      <c r="O181" s="91">
        <f t="shared" si="22"/>
        <v>0</v>
      </c>
    </row>
    <row r="182" spans="1:15" x14ac:dyDescent="0.3">
      <c r="A182" s="106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90"/>
      <c r="M182" s="90"/>
      <c r="N182" s="90">
        <f t="shared" si="21"/>
        <v>0</v>
      </c>
      <c r="O182" s="91">
        <f t="shared" si="22"/>
        <v>0</v>
      </c>
    </row>
    <row r="183" spans="1:15" x14ac:dyDescent="0.3">
      <c r="A183" s="106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90"/>
      <c r="M183" s="90"/>
      <c r="N183" s="90">
        <f t="shared" si="21"/>
        <v>0</v>
      </c>
      <c r="O183" s="91">
        <f t="shared" si="22"/>
        <v>0</v>
      </c>
    </row>
    <row r="184" spans="1:15" x14ac:dyDescent="0.3">
      <c r="A184" s="106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90"/>
      <c r="M184" s="90"/>
      <c r="N184" s="90">
        <f t="shared" si="21"/>
        <v>0</v>
      </c>
      <c r="O184" s="91">
        <f t="shared" si="22"/>
        <v>0</v>
      </c>
    </row>
    <row r="185" spans="1:15" x14ac:dyDescent="0.3">
      <c r="A185" s="106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90"/>
      <c r="M185" s="90"/>
      <c r="N185" s="90">
        <f t="shared" si="21"/>
        <v>0</v>
      </c>
      <c r="O185" s="91">
        <f t="shared" si="22"/>
        <v>0</v>
      </c>
    </row>
    <row r="186" spans="1:15" x14ac:dyDescent="0.3">
      <c r="A186" s="106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90"/>
      <c r="M186" s="90"/>
      <c r="N186" s="90">
        <f t="shared" si="21"/>
        <v>0</v>
      </c>
      <c r="O186" s="91">
        <f t="shared" si="22"/>
        <v>0</v>
      </c>
    </row>
    <row r="187" spans="1:15" x14ac:dyDescent="0.3">
      <c r="A187" s="106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90"/>
      <c r="M187" s="90"/>
      <c r="N187" s="90">
        <f t="shared" si="21"/>
        <v>0</v>
      </c>
      <c r="O187" s="91">
        <f t="shared" si="22"/>
        <v>0</v>
      </c>
    </row>
    <row r="188" spans="1:15" x14ac:dyDescent="0.3">
      <c r="A188" s="106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90"/>
      <c r="M188" s="90"/>
      <c r="N188" s="90">
        <f t="shared" si="21"/>
        <v>0</v>
      </c>
      <c r="O188" s="91">
        <f t="shared" si="22"/>
        <v>0</v>
      </c>
    </row>
    <row r="189" spans="1:15" x14ac:dyDescent="0.3">
      <c r="A189" s="107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2"/>
      <c r="M189" s="92"/>
      <c r="N189" s="92">
        <f t="shared" si="21"/>
        <v>0</v>
      </c>
      <c r="O189" s="94">
        <f t="shared" si="22"/>
        <v>0</v>
      </c>
    </row>
    <row r="190" spans="1:15" x14ac:dyDescent="0.3">
      <c r="A190" s="106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90"/>
      <c r="M190" s="90"/>
      <c r="N190" s="90">
        <f t="shared" si="21"/>
        <v>0</v>
      </c>
      <c r="O190" s="91">
        <f t="shared" si="22"/>
        <v>0</v>
      </c>
    </row>
    <row r="191" spans="1:15" x14ac:dyDescent="0.3">
      <c r="A191" s="106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90"/>
      <c r="M191" s="90"/>
      <c r="N191" s="90">
        <f t="shared" si="21"/>
        <v>0</v>
      </c>
      <c r="O191" s="91">
        <f t="shared" si="22"/>
        <v>0</v>
      </c>
    </row>
    <row r="192" spans="1:15" x14ac:dyDescent="0.3">
      <c r="A192" s="106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90"/>
      <c r="M192" s="90"/>
      <c r="N192" s="90">
        <f t="shared" si="21"/>
        <v>0</v>
      </c>
      <c r="O192" s="91">
        <f t="shared" si="22"/>
        <v>0</v>
      </c>
    </row>
    <row r="193" spans="1:15" x14ac:dyDescent="0.3">
      <c r="A193" s="106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90"/>
      <c r="M193" s="90"/>
      <c r="N193" s="90">
        <f t="shared" si="21"/>
        <v>0</v>
      </c>
      <c r="O193" s="91">
        <f t="shared" si="22"/>
        <v>0</v>
      </c>
    </row>
    <row r="194" spans="1:15" x14ac:dyDescent="0.3">
      <c r="A194" s="106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90"/>
      <c r="M194" s="90"/>
      <c r="N194" s="90">
        <f t="shared" si="21"/>
        <v>0</v>
      </c>
      <c r="O194" s="91">
        <f t="shared" si="22"/>
        <v>0</v>
      </c>
    </row>
    <row r="195" spans="1:15" x14ac:dyDescent="0.3">
      <c r="A195" s="106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90"/>
      <c r="M195" s="90"/>
      <c r="N195" s="90">
        <f t="shared" si="21"/>
        <v>0</v>
      </c>
      <c r="O195" s="91">
        <f t="shared" si="22"/>
        <v>0</v>
      </c>
    </row>
    <row r="196" spans="1:15" x14ac:dyDescent="0.3">
      <c r="A196" s="106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90"/>
      <c r="M196" s="90"/>
      <c r="N196" s="90">
        <f t="shared" si="21"/>
        <v>0</v>
      </c>
      <c r="O196" s="91">
        <f t="shared" si="22"/>
        <v>0</v>
      </c>
    </row>
    <row r="197" spans="1:15" x14ac:dyDescent="0.3">
      <c r="A197" s="106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90"/>
      <c r="M197" s="90"/>
      <c r="N197" s="90">
        <f t="shared" si="21"/>
        <v>0</v>
      </c>
      <c r="O197" s="91">
        <f t="shared" si="22"/>
        <v>0</v>
      </c>
    </row>
    <row r="198" spans="1:15" x14ac:dyDescent="0.3">
      <c r="A198" s="106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90"/>
      <c r="M198" s="90"/>
      <c r="N198" s="90">
        <f t="shared" si="21"/>
        <v>0</v>
      </c>
      <c r="O198" s="91">
        <f t="shared" si="22"/>
        <v>0</v>
      </c>
    </row>
    <row r="199" spans="1:15" x14ac:dyDescent="0.3">
      <c r="A199" s="106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90"/>
      <c r="M199" s="90"/>
      <c r="N199" s="90">
        <f t="shared" si="21"/>
        <v>0</v>
      </c>
      <c r="O199" s="91">
        <f t="shared" si="22"/>
        <v>0</v>
      </c>
    </row>
    <row r="200" spans="1:15" x14ac:dyDescent="0.3">
      <c r="A200" s="106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90"/>
      <c r="M200" s="90"/>
      <c r="N200" s="90">
        <f t="shared" si="21"/>
        <v>0</v>
      </c>
      <c r="O200" s="91">
        <f t="shared" si="22"/>
        <v>0</v>
      </c>
    </row>
    <row r="201" spans="1:15" x14ac:dyDescent="0.3">
      <c r="A201" s="106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90"/>
      <c r="M201" s="90"/>
      <c r="N201" s="90">
        <f t="shared" si="21"/>
        <v>0</v>
      </c>
      <c r="O201" s="91">
        <f t="shared" si="22"/>
        <v>0</v>
      </c>
    </row>
    <row r="202" spans="1:15" x14ac:dyDescent="0.3">
      <c r="A202" s="106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90"/>
      <c r="M202" s="90"/>
      <c r="N202" s="90">
        <f t="shared" si="21"/>
        <v>0</v>
      </c>
      <c r="O202" s="91">
        <f t="shared" si="22"/>
        <v>0</v>
      </c>
    </row>
    <row r="203" spans="1:15" x14ac:dyDescent="0.3">
      <c r="A203" s="106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90"/>
      <c r="M203" s="90"/>
      <c r="N203" s="90">
        <f t="shared" si="21"/>
        <v>0</v>
      </c>
      <c r="O203" s="91">
        <f t="shared" si="22"/>
        <v>0</v>
      </c>
    </row>
    <row r="204" spans="1:15" x14ac:dyDescent="0.3">
      <c r="A204" s="106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90"/>
      <c r="M204" s="90"/>
      <c r="N204" s="90">
        <f t="shared" si="21"/>
        <v>0</v>
      </c>
      <c r="O204" s="91">
        <f t="shared" si="22"/>
        <v>0</v>
      </c>
    </row>
    <row r="205" spans="1:15" x14ac:dyDescent="0.3">
      <c r="A205" s="106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90"/>
      <c r="M205" s="90"/>
      <c r="N205" s="90">
        <f t="shared" si="21"/>
        <v>0</v>
      </c>
      <c r="O205" s="91">
        <f t="shared" si="22"/>
        <v>0</v>
      </c>
    </row>
    <row r="206" spans="1:15" x14ac:dyDescent="0.3">
      <c r="A206" s="106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90"/>
      <c r="M206" s="90"/>
      <c r="N206" s="90">
        <f t="shared" si="21"/>
        <v>0</v>
      </c>
      <c r="O206" s="91">
        <f t="shared" si="22"/>
        <v>0</v>
      </c>
    </row>
    <row r="207" spans="1:15" x14ac:dyDescent="0.3">
      <c r="A207" s="106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90"/>
      <c r="M207" s="90"/>
      <c r="N207" s="90">
        <f t="shared" si="21"/>
        <v>0</v>
      </c>
      <c r="O207" s="91">
        <f t="shared" si="22"/>
        <v>0</v>
      </c>
    </row>
    <row r="208" spans="1:15" x14ac:dyDescent="0.3">
      <c r="A208" s="106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90"/>
      <c r="M208" s="90"/>
      <c r="N208" s="90">
        <f t="shared" si="21"/>
        <v>0</v>
      </c>
      <c r="O208" s="91">
        <f t="shared" si="22"/>
        <v>0</v>
      </c>
    </row>
    <row r="209" spans="1:15" x14ac:dyDescent="0.3">
      <c r="A209" s="106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90"/>
      <c r="M209" s="90"/>
      <c r="N209" s="90">
        <f t="shared" si="21"/>
        <v>0</v>
      </c>
      <c r="O209" s="91">
        <f t="shared" si="22"/>
        <v>0</v>
      </c>
    </row>
    <row r="210" spans="1:15" x14ac:dyDescent="0.3">
      <c r="A210" s="106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90"/>
      <c r="M210" s="90"/>
      <c r="N210" s="90">
        <f t="shared" si="21"/>
        <v>0</v>
      </c>
      <c r="O210" s="91">
        <f t="shared" si="22"/>
        <v>0</v>
      </c>
    </row>
    <row r="211" spans="1:15" x14ac:dyDescent="0.3">
      <c r="A211" s="106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90"/>
      <c r="M211" s="90"/>
      <c r="N211" s="90">
        <f t="shared" si="21"/>
        <v>0</v>
      </c>
      <c r="O211" s="91">
        <f t="shared" si="22"/>
        <v>0</v>
      </c>
    </row>
    <row r="212" spans="1:15" x14ac:dyDescent="0.3">
      <c r="A212" s="106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90"/>
      <c r="M212" s="90"/>
      <c r="N212" s="90">
        <f t="shared" si="21"/>
        <v>0</v>
      </c>
      <c r="O212" s="91">
        <f t="shared" si="22"/>
        <v>0</v>
      </c>
    </row>
    <row r="213" spans="1:15" x14ac:dyDescent="0.3">
      <c r="A213" s="106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90"/>
      <c r="M213" s="90"/>
      <c r="N213" s="90">
        <f t="shared" si="21"/>
        <v>0</v>
      </c>
      <c r="O213" s="91">
        <f t="shared" si="22"/>
        <v>0</v>
      </c>
    </row>
    <row r="214" spans="1:15" x14ac:dyDescent="0.3">
      <c r="A214" s="106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90"/>
      <c r="M214" s="90"/>
      <c r="N214" s="90">
        <f t="shared" si="21"/>
        <v>0</v>
      </c>
      <c r="O214" s="91">
        <f t="shared" si="22"/>
        <v>0</v>
      </c>
    </row>
    <row r="215" spans="1:15" x14ac:dyDescent="0.3">
      <c r="A215" s="106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90"/>
      <c r="M215" s="90"/>
      <c r="N215" s="90">
        <f t="shared" si="21"/>
        <v>0</v>
      </c>
      <c r="O215" s="91">
        <f t="shared" si="22"/>
        <v>0</v>
      </c>
    </row>
    <row r="216" spans="1:15" x14ac:dyDescent="0.3">
      <c r="A216" s="106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90"/>
      <c r="M216" s="90"/>
      <c r="N216" s="90">
        <f t="shared" si="21"/>
        <v>0</v>
      </c>
      <c r="O216" s="91">
        <f t="shared" si="22"/>
        <v>0</v>
      </c>
    </row>
    <row r="217" spans="1:15" x14ac:dyDescent="0.3">
      <c r="A217" s="106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90"/>
      <c r="M217" s="90"/>
      <c r="N217" s="90">
        <f t="shared" ref="N217:N280" si="23">+L217-M217</f>
        <v>0</v>
      </c>
      <c r="O217" s="91">
        <f t="shared" si="22"/>
        <v>0</v>
      </c>
    </row>
    <row r="218" spans="1:15" x14ac:dyDescent="0.3">
      <c r="A218" s="106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90"/>
      <c r="M218" s="90"/>
      <c r="N218" s="90">
        <f t="shared" si="23"/>
        <v>0</v>
      </c>
      <c r="O218" s="91">
        <f t="shared" ref="O218:O281" si="24">IFERROR(IF(7&lt;&gt;0, M218*100/L218, IF(L218=M218, M218*100/L218, 0)), 0)</f>
        <v>0</v>
      </c>
    </row>
    <row r="219" spans="1:15" x14ac:dyDescent="0.3">
      <c r="A219" s="106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90"/>
      <c r="M219" s="90"/>
      <c r="N219" s="90">
        <f t="shared" si="23"/>
        <v>0</v>
      </c>
      <c r="O219" s="91">
        <f t="shared" si="24"/>
        <v>0</v>
      </c>
    </row>
    <row r="220" spans="1:15" x14ac:dyDescent="0.3">
      <c r="A220" s="106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90"/>
      <c r="M220" s="90"/>
      <c r="N220" s="90">
        <f t="shared" si="23"/>
        <v>0</v>
      </c>
      <c r="O220" s="91">
        <f t="shared" si="24"/>
        <v>0</v>
      </c>
    </row>
    <row r="221" spans="1:15" x14ac:dyDescent="0.3">
      <c r="A221" s="106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90"/>
      <c r="M221" s="90"/>
      <c r="N221" s="90">
        <f t="shared" si="23"/>
        <v>0</v>
      </c>
      <c r="O221" s="91">
        <f t="shared" si="24"/>
        <v>0</v>
      </c>
    </row>
    <row r="222" spans="1:15" x14ac:dyDescent="0.3">
      <c r="A222" s="106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90"/>
      <c r="M222" s="90"/>
      <c r="N222" s="90">
        <f t="shared" si="23"/>
        <v>0</v>
      </c>
      <c r="O222" s="91">
        <f t="shared" si="24"/>
        <v>0</v>
      </c>
    </row>
    <row r="223" spans="1:15" x14ac:dyDescent="0.3">
      <c r="A223" s="106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90"/>
      <c r="M223" s="90"/>
      <c r="N223" s="90">
        <f t="shared" si="23"/>
        <v>0</v>
      </c>
      <c r="O223" s="91">
        <f t="shared" si="24"/>
        <v>0</v>
      </c>
    </row>
    <row r="224" spans="1:15" x14ac:dyDescent="0.3">
      <c r="A224" s="106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90"/>
      <c r="M224" s="92"/>
      <c r="N224" s="90">
        <f t="shared" si="23"/>
        <v>0</v>
      </c>
      <c r="O224" s="91">
        <f t="shared" si="24"/>
        <v>0</v>
      </c>
    </row>
    <row r="225" spans="1:15" x14ac:dyDescent="0.3">
      <c r="A225" s="106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90"/>
      <c r="M225" s="90"/>
      <c r="N225" s="90">
        <f t="shared" si="23"/>
        <v>0</v>
      </c>
      <c r="O225" s="91">
        <f t="shared" si="24"/>
        <v>0</v>
      </c>
    </row>
    <row r="226" spans="1:15" x14ac:dyDescent="0.3">
      <c r="A226" s="106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90"/>
      <c r="M226" s="90"/>
      <c r="N226" s="90">
        <f t="shared" si="23"/>
        <v>0</v>
      </c>
      <c r="O226" s="91">
        <f t="shared" si="24"/>
        <v>0</v>
      </c>
    </row>
    <row r="227" spans="1:15" x14ac:dyDescent="0.3">
      <c r="A227" s="107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2"/>
      <c r="M227" s="92"/>
      <c r="N227" s="92">
        <f t="shared" si="23"/>
        <v>0</v>
      </c>
      <c r="O227" s="94">
        <f t="shared" si="24"/>
        <v>0</v>
      </c>
    </row>
    <row r="228" spans="1:15" x14ac:dyDescent="0.3">
      <c r="A228" s="106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90"/>
      <c r="M228" s="90"/>
      <c r="N228" s="90">
        <f t="shared" si="23"/>
        <v>0</v>
      </c>
      <c r="O228" s="91">
        <f t="shared" si="24"/>
        <v>0</v>
      </c>
    </row>
    <row r="229" spans="1:15" x14ac:dyDescent="0.3">
      <c r="A229" s="106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90"/>
      <c r="M229" s="90"/>
      <c r="N229" s="90">
        <f t="shared" si="23"/>
        <v>0</v>
      </c>
      <c r="O229" s="91">
        <f t="shared" si="24"/>
        <v>0</v>
      </c>
    </row>
    <row r="230" spans="1:15" x14ac:dyDescent="0.3">
      <c r="A230" s="106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90"/>
      <c r="M230" s="90"/>
      <c r="N230" s="90">
        <f t="shared" si="23"/>
        <v>0</v>
      </c>
      <c r="O230" s="91">
        <f t="shared" si="24"/>
        <v>0</v>
      </c>
    </row>
    <row r="231" spans="1:15" x14ac:dyDescent="0.3">
      <c r="A231" s="106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90"/>
      <c r="M231" s="90"/>
      <c r="N231" s="90">
        <f t="shared" si="23"/>
        <v>0</v>
      </c>
      <c r="O231" s="91">
        <f t="shared" si="24"/>
        <v>0</v>
      </c>
    </row>
    <row r="232" spans="1:15" x14ac:dyDescent="0.3">
      <c r="A232" s="106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90"/>
      <c r="M232" s="90"/>
      <c r="N232" s="90">
        <f t="shared" si="23"/>
        <v>0</v>
      </c>
      <c r="O232" s="91">
        <f t="shared" si="24"/>
        <v>0</v>
      </c>
    </row>
    <row r="233" spans="1:15" x14ac:dyDescent="0.3">
      <c r="A233" s="106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90"/>
      <c r="M233" s="90"/>
      <c r="N233" s="90">
        <f t="shared" si="23"/>
        <v>0</v>
      </c>
      <c r="O233" s="91">
        <f t="shared" si="24"/>
        <v>0</v>
      </c>
    </row>
    <row r="234" spans="1:15" x14ac:dyDescent="0.3">
      <c r="A234" s="106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90"/>
      <c r="M234" s="90"/>
      <c r="N234" s="90">
        <f t="shared" si="23"/>
        <v>0</v>
      </c>
      <c r="O234" s="91">
        <f t="shared" si="24"/>
        <v>0</v>
      </c>
    </row>
    <row r="235" spans="1:15" x14ac:dyDescent="0.3">
      <c r="A235" s="106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90"/>
      <c r="M235" s="90"/>
      <c r="N235" s="90">
        <f t="shared" si="23"/>
        <v>0</v>
      </c>
      <c r="O235" s="91">
        <f t="shared" si="24"/>
        <v>0</v>
      </c>
    </row>
    <row r="236" spans="1:15" x14ac:dyDescent="0.3">
      <c r="A236" s="106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90"/>
      <c r="M236" s="90"/>
      <c r="N236" s="90">
        <f t="shared" si="23"/>
        <v>0</v>
      </c>
      <c r="O236" s="91">
        <f t="shared" si="24"/>
        <v>0</v>
      </c>
    </row>
    <row r="237" spans="1:15" x14ac:dyDescent="0.3">
      <c r="A237" s="107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2"/>
      <c r="M237" s="92"/>
      <c r="N237" s="92">
        <f t="shared" si="23"/>
        <v>0</v>
      </c>
      <c r="O237" s="94">
        <f t="shared" si="24"/>
        <v>0</v>
      </c>
    </row>
    <row r="238" spans="1:15" x14ac:dyDescent="0.3">
      <c r="A238" s="106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90"/>
      <c r="M238" s="90"/>
      <c r="N238" s="90">
        <f t="shared" si="23"/>
        <v>0</v>
      </c>
      <c r="O238" s="91">
        <f t="shared" si="24"/>
        <v>0</v>
      </c>
    </row>
    <row r="239" spans="1:15" x14ac:dyDescent="0.3">
      <c r="A239" s="106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90"/>
      <c r="M239" s="90"/>
      <c r="N239" s="90">
        <f t="shared" si="23"/>
        <v>0</v>
      </c>
      <c r="O239" s="91">
        <f t="shared" si="24"/>
        <v>0</v>
      </c>
    </row>
    <row r="240" spans="1:15" x14ac:dyDescent="0.3">
      <c r="A240" s="106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90"/>
      <c r="M240" s="90"/>
      <c r="N240" s="90">
        <f t="shared" si="23"/>
        <v>0</v>
      </c>
      <c r="O240" s="91">
        <f t="shared" si="24"/>
        <v>0</v>
      </c>
    </row>
    <row r="241" spans="1:15" x14ac:dyDescent="0.3">
      <c r="A241" s="106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90"/>
      <c r="M241" s="90"/>
      <c r="N241" s="90">
        <f t="shared" si="23"/>
        <v>0</v>
      </c>
      <c r="O241" s="91">
        <f t="shared" si="24"/>
        <v>0</v>
      </c>
    </row>
    <row r="242" spans="1:15" x14ac:dyDescent="0.3">
      <c r="A242" s="106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90"/>
      <c r="M242" s="90"/>
      <c r="N242" s="90">
        <f t="shared" si="23"/>
        <v>0</v>
      </c>
      <c r="O242" s="91">
        <f t="shared" si="24"/>
        <v>0</v>
      </c>
    </row>
    <row r="243" spans="1:15" x14ac:dyDescent="0.3">
      <c r="A243" s="106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90"/>
      <c r="M243" s="90"/>
      <c r="N243" s="90">
        <f t="shared" si="23"/>
        <v>0</v>
      </c>
      <c r="O243" s="91">
        <f t="shared" si="24"/>
        <v>0</v>
      </c>
    </row>
    <row r="244" spans="1:15" x14ac:dyDescent="0.3">
      <c r="A244" s="106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90"/>
      <c r="M244" s="90"/>
      <c r="N244" s="90">
        <f t="shared" si="23"/>
        <v>0</v>
      </c>
      <c r="O244" s="91">
        <f t="shared" si="24"/>
        <v>0</v>
      </c>
    </row>
    <row r="245" spans="1:15" x14ac:dyDescent="0.3">
      <c r="A245" s="106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90"/>
      <c r="M245" s="90"/>
      <c r="N245" s="90">
        <f t="shared" si="23"/>
        <v>0</v>
      </c>
      <c r="O245" s="91">
        <f t="shared" si="24"/>
        <v>0</v>
      </c>
    </row>
    <row r="246" spans="1:15" x14ac:dyDescent="0.3">
      <c r="A246" s="106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90"/>
      <c r="M246" s="90"/>
      <c r="N246" s="90">
        <f t="shared" si="23"/>
        <v>0</v>
      </c>
      <c r="O246" s="91">
        <f t="shared" si="24"/>
        <v>0</v>
      </c>
    </row>
    <row r="247" spans="1:15" x14ac:dyDescent="0.3">
      <c r="A247" s="106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90"/>
      <c r="M247" s="90"/>
      <c r="N247" s="90">
        <f t="shared" si="23"/>
        <v>0</v>
      </c>
      <c r="O247" s="91">
        <f t="shared" si="24"/>
        <v>0</v>
      </c>
    </row>
    <row r="248" spans="1:15" x14ac:dyDescent="0.3">
      <c r="A248" s="106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90"/>
      <c r="M248" s="90"/>
      <c r="N248" s="90">
        <f t="shared" si="23"/>
        <v>0</v>
      </c>
      <c r="O248" s="91">
        <f t="shared" si="24"/>
        <v>0</v>
      </c>
    </row>
    <row r="249" spans="1:15" x14ac:dyDescent="0.3">
      <c r="A249" s="106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90"/>
      <c r="M249" s="90"/>
      <c r="N249" s="90">
        <f t="shared" si="23"/>
        <v>0</v>
      </c>
      <c r="O249" s="91">
        <f t="shared" si="24"/>
        <v>0</v>
      </c>
    </row>
    <row r="250" spans="1:15" x14ac:dyDescent="0.3">
      <c r="A250" s="106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90"/>
      <c r="M250" s="90"/>
      <c r="N250" s="90">
        <f t="shared" si="23"/>
        <v>0</v>
      </c>
      <c r="O250" s="91">
        <f t="shared" si="24"/>
        <v>0</v>
      </c>
    </row>
    <row r="251" spans="1:15" x14ac:dyDescent="0.3">
      <c r="A251" s="106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90"/>
      <c r="M251" s="90"/>
      <c r="N251" s="90">
        <f t="shared" si="23"/>
        <v>0</v>
      </c>
      <c r="O251" s="91">
        <f t="shared" si="24"/>
        <v>0</v>
      </c>
    </row>
    <row r="252" spans="1:15" x14ac:dyDescent="0.3">
      <c r="A252" s="106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90"/>
      <c r="M252" s="90"/>
      <c r="N252" s="90">
        <f t="shared" si="23"/>
        <v>0</v>
      </c>
      <c r="O252" s="91">
        <f t="shared" si="24"/>
        <v>0</v>
      </c>
    </row>
    <row r="253" spans="1:15" x14ac:dyDescent="0.3">
      <c r="A253" s="106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90"/>
      <c r="M253" s="90"/>
      <c r="N253" s="90">
        <f t="shared" si="23"/>
        <v>0</v>
      </c>
      <c r="O253" s="91">
        <f t="shared" si="24"/>
        <v>0</v>
      </c>
    </row>
    <row r="254" spans="1:15" x14ac:dyDescent="0.3">
      <c r="A254" s="106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90"/>
      <c r="M254" s="90"/>
      <c r="N254" s="90">
        <f t="shared" si="23"/>
        <v>0</v>
      </c>
      <c r="O254" s="91">
        <f t="shared" si="24"/>
        <v>0</v>
      </c>
    </row>
    <row r="255" spans="1:15" x14ac:dyDescent="0.3">
      <c r="A255" s="106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90"/>
      <c r="M255" s="90"/>
      <c r="N255" s="90">
        <f t="shared" si="23"/>
        <v>0</v>
      </c>
      <c r="O255" s="91">
        <f t="shared" si="24"/>
        <v>0</v>
      </c>
    </row>
    <row r="256" spans="1:15" x14ac:dyDescent="0.3">
      <c r="A256" s="106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90"/>
      <c r="M256" s="90"/>
      <c r="N256" s="90">
        <f t="shared" si="23"/>
        <v>0</v>
      </c>
      <c r="O256" s="91">
        <f t="shared" si="24"/>
        <v>0</v>
      </c>
    </row>
    <row r="257" spans="1:15" x14ac:dyDescent="0.3">
      <c r="A257" s="106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90"/>
      <c r="M257" s="90"/>
      <c r="N257" s="90">
        <f t="shared" si="23"/>
        <v>0</v>
      </c>
      <c r="O257" s="91">
        <f t="shared" si="24"/>
        <v>0</v>
      </c>
    </row>
    <row r="258" spans="1:15" x14ac:dyDescent="0.3">
      <c r="A258" s="106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90"/>
      <c r="M258" s="90"/>
      <c r="N258" s="90">
        <f t="shared" si="23"/>
        <v>0</v>
      </c>
      <c r="O258" s="91">
        <f t="shared" si="24"/>
        <v>0</v>
      </c>
    </row>
    <row r="259" spans="1:15" x14ac:dyDescent="0.3">
      <c r="A259" s="106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90"/>
      <c r="M259" s="90"/>
      <c r="N259" s="90">
        <f t="shared" si="23"/>
        <v>0</v>
      </c>
      <c r="O259" s="91">
        <f t="shared" si="24"/>
        <v>0</v>
      </c>
    </row>
    <row r="260" spans="1:15" x14ac:dyDescent="0.3">
      <c r="A260" s="106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90"/>
      <c r="M260" s="90"/>
      <c r="N260" s="90">
        <f t="shared" si="23"/>
        <v>0</v>
      </c>
      <c r="O260" s="91">
        <f t="shared" si="24"/>
        <v>0</v>
      </c>
    </row>
    <row r="261" spans="1:15" x14ac:dyDescent="0.3">
      <c r="A261" s="106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90"/>
      <c r="M261" s="90"/>
      <c r="N261" s="90">
        <f t="shared" si="23"/>
        <v>0</v>
      </c>
      <c r="O261" s="91">
        <f t="shared" si="24"/>
        <v>0</v>
      </c>
    </row>
    <row r="262" spans="1:15" x14ac:dyDescent="0.3">
      <c r="A262" s="106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90"/>
      <c r="M262" s="90"/>
      <c r="N262" s="90">
        <f t="shared" si="23"/>
        <v>0</v>
      </c>
      <c r="O262" s="91">
        <f t="shared" si="24"/>
        <v>0</v>
      </c>
    </row>
    <row r="263" spans="1:15" x14ac:dyDescent="0.3">
      <c r="A263" s="106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90"/>
      <c r="M263" s="90"/>
      <c r="N263" s="90">
        <f t="shared" si="23"/>
        <v>0</v>
      </c>
      <c r="O263" s="91">
        <f t="shared" si="24"/>
        <v>0</v>
      </c>
    </row>
    <row r="264" spans="1:15" x14ac:dyDescent="0.3">
      <c r="A264" s="106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90"/>
      <c r="M264" s="90"/>
      <c r="N264" s="90">
        <f t="shared" si="23"/>
        <v>0</v>
      </c>
      <c r="O264" s="91">
        <f t="shared" si="24"/>
        <v>0</v>
      </c>
    </row>
    <row r="265" spans="1:15" x14ac:dyDescent="0.3">
      <c r="A265" s="106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90"/>
      <c r="M265" s="90"/>
      <c r="N265" s="90">
        <f t="shared" si="23"/>
        <v>0</v>
      </c>
      <c r="O265" s="91">
        <f t="shared" si="24"/>
        <v>0</v>
      </c>
    </row>
    <row r="266" spans="1:15" x14ac:dyDescent="0.3">
      <c r="A266" s="106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90"/>
      <c r="M266" s="90"/>
      <c r="N266" s="90">
        <f t="shared" si="23"/>
        <v>0</v>
      </c>
      <c r="O266" s="91">
        <f t="shared" si="24"/>
        <v>0</v>
      </c>
    </row>
    <row r="267" spans="1:15" x14ac:dyDescent="0.3">
      <c r="A267" s="106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90"/>
      <c r="M267" s="90"/>
      <c r="N267" s="90">
        <f t="shared" si="23"/>
        <v>0</v>
      </c>
      <c r="O267" s="91">
        <f t="shared" si="24"/>
        <v>0</v>
      </c>
    </row>
    <row r="268" spans="1:15" x14ac:dyDescent="0.3">
      <c r="A268" s="106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90"/>
      <c r="M268" s="90"/>
      <c r="N268" s="90">
        <f t="shared" si="23"/>
        <v>0</v>
      </c>
      <c r="O268" s="91">
        <f t="shared" si="24"/>
        <v>0</v>
      </c>
    </row>
    <row r="269" spans="1:15" x14ac:dyDescent="0.3">
      <c r="A269" s="106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90"/>
      <c r="M269" s="90"/>
      <c r="N269" s="90">
        <f t="shared" si="23"/>
        <v>0</v>
      </c>
      <c r="O269" s="91">
        <f t="shared" si="24"/>
        <v>0</v>
      </c>
    </row>
    <row r="270" spans="1:15" x14ac:dyDescent="0.3">
      <c r="A270" s="106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90"/>
      <c r="M270" s="90"/>
      <c r="N270" s="90">
        <f t="shared" si="23"/>
        <v>0</v>
      </c>
      <c r="O270" s="91">
        <f t="shared" si="24"/>
        <v>0</v>
      </c>
    </row>
    <row r="271" spans="1:15" x14ac:dyDescent="0.3">
      <c r="A271" s="106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90"/>
      <c r="M271" s="90"/>
      <c r="N271" s="90">
        <f t="shared" si="23"/>
        <v>0</v>
      </c>
      <c r="O271" s="91">
        <f t="shared" si="24"/>
        <v>0</v>
      </c>
    </row>
    <row r="272" spans="1:15" x14ac:dyDescent="0.3">
      <c r="A272" s="106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90"/>
      <c r="M272" s="90"/>
      <c r="N272" s="90">
        <f t="shared" si="23"/>
        <v>0</v>
      </c>
      <c r="O272" s="91">
        <f t="shared" si="24"/>
        <v>0</v>
      </c>
    </row>
    <row r="273" spans="1:15" x14ac:dyDescent="0.3">
      <c r="A273" s="106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90"/>
      <c r="M273" s="92"/>
      <c r="N273" s="90">
        <f t="shared" si="23"/>
        <v>0</v>
      </c>
      <c r="O273" s="91">
        <f t="shared" si="24"/>
        <v>0</v>
      </c>
    </row>
    <row r="274" spans="1:15" x14ac:dyDescent="0.3">
      <c r="A274" s="106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90"/>
      <c r="M274" s="90"/>
      <c r="N274" s="90">
        <f t="shared" si="23"/>
        <v>0</v>
      </c>
      <c r="O274" s="91">
        <f t="shared" si="24"/>
        <v>0</v>
      </c>
    </row>
    <row r="275" spans="1:15" x14ac:dyDescent="0.3">
      <c r="A275" s="106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90"/>
      <c r="M275" s="90"/>
      <c r="N275" s="90">
        <f t="shared" si="23"/>
        <v>0</v>
      </c>
      <c r="O275" s="91">
        <f t="shared" si="24"/>
        <v>0</v>
      </c>
    </row>
    <row r="276" spans="1:15" x14ac:dyDescent="0.3">
      <c r="A276" s="107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2"/>
      <c r="M276" s="92"/>
      <c r="N276" s="92">
        <f t="shared" si="23"/>
        <v>0</v>
      </c>
      <c r="O276" s="94">
        <f t="shared" si="24"/>
        <v>0</v>
      </c>
    </row>
    <row r="277" spans="1:15" x14ac:dyDescent="0.3">
      <c r="A277" s="106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90"/>
      <c r="M277" s="90"/>
      <c r="N277" s="90">
        <f t="shared" si="23"/>
        <v>0</v>
      </c>
      <c r="O277" s="91">
        <f t="shared" si="24"/>
        <v>0</v>
      </c>
    </row>
    <row r="278" spans="1:15" x14ac:dyDescent="0.3">
      <c r="A278" s="106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90"/>
      <c r="M278" s="90"/>
      <c r="N278" s="90">
        <f t="shared" si="23"/>
        <v>0</v>
      </c>
      <c r="O278" s="91">
        <f t="shared" si="24"/>
        <v>0</v>
      </c>
    </row>
    <row r="279" spans="1:15" x14ac:dyDescent="0.3">
      <c r="A279" s="106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90"/>
      <c r="M279" s="90"/>
      <c r="N279" s="90">
        <f t="shared" si="23"/>
        <v>0</v>
      </c>
      <c r="O279" s="91">
        <f t="shared" si="24"/>
        <v>0</v>
      </c>
    </row>
    <row r="280" spans="1:15" x14ac:dyDescent="0.3">
      <c r="A280" s="106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90"/>
      <c r="M280" s="90"/>
      <c r="N280" s="90">
        <f t="shared" si="23"/>
        <v>0</v>
      </c>
      <c r="O280" s="91">
        <f t="shared" si="24"/>
        <v>0</v>
      </c>
    </row>
    <row r="281" spans="1:15" x14ac:dyDescent="0.3">
      <c r="A281" s="106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90"/>
      <c r="M281" s="90"/>
      <c r="N281" s="90">
        <f t="shared" ref="N281:N344" si="25">+L281-M281</f>
        <v>0</v>
      </c>
      <c r="O281" s="91">
        <f t="shared" si="24"/>
        <v>0</v>
      </c>
    </row>
    <row r="282" spans="1:15" x14ac:dyDescent="0.3">
      <c r="A282" s="106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90"/>
      <c r="M282" s="90"/>
      <c r="N282" s="90">
        <f t="shared" si="25"/>
        <v>0</v>
      </c>
      <c r="O282" s="91">
        <f t="shared" ref="O282:O345" si="26">IFERROR(IF(7&lt;&gt;0, M282*100/L282, IF(L282=M282, M282*100/L282, 0)), 0)</f>
        <v>0</v>
      </c>
    </row>
    <row r="283" spans="1:15" x14ac:dyDescent="0.3">
      <c r="A283" s="106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90"/>
      <c r="M283" s="90"/>
      <c r="N283" s="90">
        <f t="shared" si="25"/>
        <v>0</v>
      </c>
      <c r="O283" s="91">
        <f t="shared" si="26"/>
        <v>0</v>
      </c>
    </row>
    <row r="284" spans="1:15" x14ac:dyDescent="0.3">
      <c r="A284" s="106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90"/>
      <c r="M284" s="90"/>
      <c r="N284" s="90">
        <f t="shared" si="25"/>
        <v>0</v>
      </c>
      <c r="O284" s="91">
        <f t="shared" si="26"/>
        <v>0</v>
      </c>
    </row>
    <row r="285" spans="1:15" x14ac:dyDescent="0.3">
      <c r="A285" s="106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90"/>
      <c r="M285" s="90"/>
      <c r="N285" s="90">
        <f t="shared" si="25"/>
        <v>0</v>
      </c>
      <c r="O285" s="91">
        <f t="shared" si="26"/>
        <v>0</v>
      </c>
    </row>
    <row r="286" spans="1:15" x14ac:dyDescent="0.3">
      <c r="A286" s="107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2"/>
      <c r="M286" s="92"/>
      <c r="N286" s="92">
        <f t="shared" si="25"/>
        <v>0</v>
      </c>
      <c r="O286" s="94">
        <f t="shared" si="26"/>
        <v>0</v>
      </c>
    </row>
    <row r="287" spans="1:15" x14ac:dyDescent="0.3">
      <c r="A287" s="106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90"/>
      <c r="M287" s="90"/>
      <c r="N287" s="90">
        <f t="shared" si="25"/>
        <v>0</v>
      </c>
      <c r="O287" s="91">
        <f t="shared" si="26"/>
        <v>0</v>
      </c>
    </row>
    <row r="288" spans="1:15" x14ac:dyDescent="0.3">
      <c r="A288" s="106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90"/>
      <c r="M288" s="90"/>
      <c r="N288" s="90">
        <f t="shared" si="25"/>
        <v>0</v>
      </c>
      <c r="O288" s="91">
        <f t="shared" si="26"/>
        <v>0</v>
      </c>
    </row>
    <row r="289" spans="1:15" x14ac:dyDescent="0.3">
      <c r="A289" s="106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90"/>
      <c r="M289" s="90"/>
      <c r="N289" s="90">
        <f t="shared" si="25"/>
        <v>0</v>
      </c>
      <c r="O289" s="91">
        <f t="shared" si="26"/>
        <v>0</v>
      </c>
    </row>
    <row r="290" spans="1:15" x14ac:dyDescent="0.3">
      <c r="A290" s="106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90"/>
      <c r="M290" s="90"/>
      <c r="N290" s="90">
        <f t="shared" si="25"/>
        <v>0</v>
      </c>
      <c r="O290" s="91">
        <f t="shared" si="26"/>
        <v>0</v>
      </c>
    </row>
    <row r="291" spans="1:15" x14ac:dyDescent="0.3">
      <c r="A291" s="106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90"/>
      <c r="M291" s="90"/>
      <c r="N291" s="90">
        <f t="shared" si="25"/>
        <v>0</v>
      </c>
      <c r="O291" s="91">
        <f t="shared" si="26"/>
        <v>0</v>
      </c>
    </row>
    <row r="292" spans="1:15" x14ac:dyDescent="0.3">
      <c r="A292" s="106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90"/>
      <c r="M292" s="90"/>
      <c r="N292" s="90">
        <f t="shared" si="25"/>
        <v>0</v>
      </c>
      <c r="O292" s="91">
        <f t="shared" si="26"/>
        <v>0</v>
      </c>
    </row>
    <row r="293" spans="1:15" x14ac:dyDescent="0.3">
      <c r="A293" s="106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90"/>
      <c r="M293" s="90"/>
      <c r="N293" s="90">
        <f t="shared" si="25"/>
        <v>0</v>
      </c>
      <c r="O293" s="91">
        <f t="shared" si="26"/>
        <v>0</v>
      </c>
    </row>
    <row r="294" spans="1:15" x14ac:dyDescent="0.3">
      <c r="A294" s="106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90"/>
      <c r="M294" s="90"/>
      <c r="N294" s="90">
        <f t="shared" si="25"/>
        <v>0</v>
      </c>
      <c r="O294" s="91">
        <f t="shared" si="26"/>
        <v>0</v>
      </c>
    </row>
    <row r="295" spans="1:15" x14ac:dyDescent="0.3">
      <c r="A295" s="106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90"/>
      <c r="M295" s="90"/>
      <c r="N295" s="90">
        <f t="shared" si="25"/>
        <v>0</v>
      </c>
      <c r="O295" s="91">
        <f t="shared" si="26"/>
        <v>0</v>
      </c>
    </row>
    <row r="296" spans="1:15" x14ac:dyDescent="0.3">
      <c r="A296" s="106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90"/>
      <c r="M296" s="90"/>
      <c r="N296" s="90">
        <f t="shared" si="25"/>
        <v>0</v>
      </c>
      <c r="O296" s="91">
        <f t="shared" si="26"/>
        <v>0</v>
      </c>
    </row>
    <row r="297" spans="1:15" x14ac:dyDescent="0.3">
      <c r="A297" s="106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90"/>
      <c r="M297" s="90"/>
      <c r="N297" s="90">
        <f t="shared" si="25"/>
        <v>0</v>
      </c>
      <c r="O297" s="91">
        <f t="shared" si="26"/>
        <v>0</v>
      </c>
    </row>
    <row r="298" spans="1:15" x14ac:dyDescent="0.3">
      <c r="A298" s="106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90"/>
      <c r="M298" s="90"/>
      <c r="N298" s="90">
        <f t="shared" si="25"/>
        <v>0</v>
      </c>
      <c r="O298" s="91">
        <f t="shared" si="26"/>
        <v>0</v>
      </c>
    </row>
    <row r="299" spans="1:15" x14ac:dyDescent="0.3">
      <c r="A299" s="106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90"/>
      <c r="M299" s="90"/>
      <c r="N299" s="90">
        <f t="shared" si="25"/>
        <v>0</v>
      </c>
      <c r="O299" s="91">
        <f t="shared" si="26"/>
        <v>0</v>
      </c>
    </row>
    <row r="300" spans="1:15" x14ac:dyDescent="0.3">
      <c r="A300" s="106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90"/>
      <c r="M300" s="90"/>
      <c r="N300" s="90">
        <f t="shared" si="25"/>
        <v>0</v>
      </c>
      <c r="O300" s="91">
        <f t="shared" si="26"/>
        <v>0</v>
      </c>
    </row>
    <row r="301" spans="1:15" x14ac:dyDescent="0.3">
      <c r="A301" s="106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90"/>
      <c r="M301" s="90"/>
      <c r="N301" s="90">
        <f t="shared" si="25"/>
        <v>0</v>
      </c>
      <c r="O301" s="91">
        <f t="shared" si="26"/>
        <v>0</v>
      </c>
    </row>
    <row r="302" spans="1:15" x14ac:dyDescent="0.3">
      <c r="A302" s="106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90"/>
      <c r="M302" s="90"/>
      <c r="N302" s="90">
        <f t="shared" si="25"/>
        <v>0</v>
      </c>
      <c r="O302" s="91">
        <f t="shared" si="26"/>
        <v>0</v>
      </c>
    </row>
    <row r="303" spans="1:15" x14ac:dyDescent="0.3">
      <c r="A303" s="106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90"/>
      <c r="M303" s="90"/>
      <c r="N303" s="90">
        <f t="shared" si="25"/>
        <v>0</v>
      </c>
      <c r="O303" s="91">
        <f t="shared" si="26"/>
        <v>0</v>
      </c>
    </row>
    <row r="304" spans="1:15" x14ac:dyDescent="0.3">
      <c r="A304" s="106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90"/>
      <c r="M304" s="90"/>
      <c r="N304" s="90">
        <f t="shared" si="25"/>
        <v>0</v>
      </c>
      <c r="O304" s="91">
        <f t="shared" si="26"/>
        <v>0</v>
      </c>
    </row>
    <row r="305" spans="1:15" x14ac:dyDescent="0.3">
      <c r="A305" s="106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90"/>
      <c r="M305" s="90"/>
      <c r="N305" s="90">
        <f t="shared" si="25"/>
        <v>0</v>
      </c>
      <c r="O305" s="91">
        <f t="shared" si="26"/>
        <v>0</v>
      </c>
    </row>
    <row r="306" spans="1:15" x14ac:dyDescent="0.3">
      <c r="A306" s="106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90"/>
      <c r="M306" s="90"/>
      <c r="N306" s="90">
        <f t="shared" si="25"/>
        <v>0</v>
      </c>
      <c r="O306" s="91">
        <f t="shared" si="26"/>
        <v>0</v>
      </c>
    </row>
    <row r="307" spans="1:15" x14ac:dyDescent="0.3">
      <c r="A307" s="106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90"/>
      <c r="M307" s="90"/>
      <c r="N307" s="90">
        <f t="shared" si="25"/>
        <v>0</v>
      </c>
      <c r="O307" s="91">
        <f t="shared" si="26"/>
        <v>0</v>
      </c>
    </row>
    <row r="308" spans="1:15" x14ac:dyDescent="0.3">
      <c r="A308" s="106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90"/>
      <c r="M308" s="90"/>
      <c r="N308" s="90">
        <f t="shared" si="25"/>
        <v>0</v>
      </c>
      <c r="O308" s="91">
        <f t="shared" si="26"/>
        <v>0</v>
      </c>
    </row>
    <row r="309" spans="1:15" x14ac:dyDescent="0.3">
      <c r="A309" s="106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90"/>
      <c r="M309" s="90"/>
      <c r="N309" s="90">
        <f t="shared" si="25"/>
        <v>0</v>
      </c>
      <c r="O309" s="91">
        <f t="shared" si="26"/>
        <v>0</v>
      </c>
    </row>
    <row r="310" spans="1:15" x14ac:dyDescent="0.3">
      <c r="A310" s="106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90"/>
      <c r="M310" s="90"/>
      <c r="N310" s="90">
        <f t="shared" si="25"/>
        <v>0</v>
      </c>
      <c r="O310" s="91">
        <f t="shared" si="26"/>
        <v>0</v>
      </c>
    </row>
    <row r="311" spans="1:15" x14ac:dyDescent="0.3">
      <c r="A311" s="106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90"/>
      <c r="M311" s="90"/>
      <c r="N311" s="90">
        <f t="shared" si="25"/>
        <v>0</v>
      </c>
      <c r="O311" s="91">
        <f t="shared" si="26"/>
        <v>0</v>
      </c>
    </row>
    <row r="312" spans="1:15" x14ac:dyDescent="0.3">
      <c r="A312" s="106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90"/>
      <c r="M312" s="90"/>
      <c r="N312" s="90">
        <f t="shared" si="25"/>
        <v>0</v>
      </c>
      <c r="O312" s="91">
        <f t="shared" si="26"/>
        <v>0</v>
      </c>
    </row>
    <row r="313" spans="1:15" x14ac:dyDescent="0.3">
      <c r="A313" s="106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90"/>
      <c r="M313" s="90"/>
      <c r="N313" s="90">
        <f t="shared" si="25"/>
        <v>0</v>
      </c>
      <c r="O313" s="91">
        <f t="shared" si="26"/>
        <v>0</v>
      </c>
    </row>
    <row r="314" spans="1:15" x14ac:dyDescent="0.3">
      <c r="A314" s="106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90"/>
      <c r="M314" s="90"/>
      <c r="N314" s="90">
        <f t="shared" si="25"/>
        <v>0</v>
      </c>
      <c r="O314" s="91">
        <f t="shared" si="26"/>
        <v>0</v>
      </c>
    </row>
    <row r="315" spans="1:15" x14ac:dyDescent="0.3">
      <c r="A315" s="106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90"/>
      <c r="M315" s="90"/>
      <c r="N315" s="90">
        <f t="shared" si="25"/>
        <v>0</v>
      </c>
      <c r="O315" s="91">
        <f t="shared" si="26"/>
        <v>0</v>
      </c>
    </row>
    <row r="316" spans="1:15" x14ac:dyDescent="0.3">
      <c r="A316" s="106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90"/>
      <c r="M316" s="90"/>
      <c r="N316" s="90">
        <f t="shared" si="25"/>
        <v>0</v>
      </c>
      <c r="O316" s="91">
        <f t="shared" si="26"/>
        <v>0</v>
      </c>
    </row>
    <row r="317" spans="1:15" x14ac:dyDescent="0.3">
      <c r="A317" s="106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90"/>
      <c r="M317" s="90"/>
      <c r="N317" s="90">
        <f t="shared" si="25"/>
        <v>0</v>
      </c>
      <c r="O317" s="91">
        <f t="shared" si="26"/>
        <v>0</v>
      </c>
    </row>
    <row r="318" spans="1:15" x14ac:dyDescent="0.3">
      <c r="A318" s="106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90"/>
      <c r="M318" s="90"/>
      <c r="N318" s="90">
        <f t="shared" si="25"/>
        <v>0</v>
      </c>
      <c r="O318" s="91">
        <f t="shared" si="26"/>
        <v>0</v>
      </c>
    </row>
    <row r="319" spans="1:15" x14ac:dyDescent="0.3">
      <c r="A319" s="106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90"/>
      <c r="M319" s="90"/>
      <c r="N319" s="90">
        <f t="shared" si="25"/>
        <v>0</v>
      </c>
      <c r="O319" s="91">
        <f t="shared" si="26"/>
        <v>0</v>
      </c>
    </row>
    <row r="320" spans="1:15" x14ac:dyDescent="0.3">
      <c r="A320" s="106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90"/>
      <c r="M320" s="90"/>
      <c r="N320" s="90">
        <f t="shared" si="25"/>
        <v>0</v>
      </c>
      <c r="O320" s="91">
        <f t="shared" si="26"/>
        <v>0</v>
      </c>
    </row>
    <row r="321" spans="1:15" x14ac:dyDescent="0.3">
      <c r="A321" s="106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90"/>
      <c r="M321" s="92"/>
      <c r="N321" s="90">
        <f t="shared" si="25"/>
        <v>0</v>
      </c>
      <c r="O321" s="91">
        <f t="shared" si="26"/>
        <v>0</v>
      </c>
    </row>
    <row r="322" spans="1:15" x14ac:dyDescent="0.3">
      <c r="A322" s="106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90"/>
      <c r="M322" s="90"/>
      <c r="N322" s="90">
        <f t="shared" si="25"/>
        <v>0</v>
      </c>
      <c r="O322" s="91">
        <f t="shared" si="26"/>
        <v>0</v>
      </c>
    </row>
    <row r="323" spans="1:15" x14ac:dyDescent="0.3">
      <c r="A323" s="106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90"/>
      <c r="M323" s="90"/>
      <c r="N323" s="90">
        <f t="shared" si="25"/>
        <v>0</v>
      </c>
      <c r="O323" s="91">
        <f t="shared" si="26"/>
        <v>0</v>
      </c>
    </row>
    <row r="324" spans="1:15" x14ac:dyDescent="0.3">
      <c r="A324" s="107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2"/>
      <c r="M324" s="92"/>
      <c r="N324" s="92">
        <f t="shared" si="25"/>
        <v>0</v>
      </c>
      <c r="O324" s="94">
        <f t="shared" si="26"/>
        <v>0</v>
      </c>
    </row>
    <row r="325" spans="1:15" x14ac:dyDescent="0.3">
      <c r="A325" s="106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90"/>
      <c r="M325" s="90"/>
      <c r="N325" s="90">
        <f t="shared" si="25"/>
        <v>0</v>
      </c>
      <c r="O325" s="91">
        <f t="shared" si="26"/>
        <v>0</v>
      </c>
    </row>
    <row r="326" spans="1:15" x14ac:dyDescent="0.3">
      <c r="A326" s="106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90"/>
      <c r="M326" s="90"/>
      <c r="N326" s="90">
        <f t="shared" si="25"/>
        <v>0</v>
      </c>
      <c r="O326" s="91">
        <f t="shared" si="26"/>
        <v>0</v>
      </c>
    </row>
    <row r="327" spans="1:15" x14ac:dyDescent="0.3">
      <c r="A327" s="106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90"/>
      <c r="M327" s="90"/>
      <c r="N327" s="90">
        <f t="shared" si="25"/>
        <v>0</v>
      </c>
      <c r="O327" s="91">
        <f t="shared" si="26"/>
        <v>0</v>
      </c>
    </row>
    <row r="328" spans="1:15" x14ac:dyDescent="0.3">
      <c r="A328" s="106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90"/>
      <c r="M328" s="90"/>
      <c r="N328" s="90">
        <f t="shared" si="25"/>
        <v>0</v>
      </c>
      <c r="O328" s="91">
        <f t="shared" si="26"/>
        <v>0</v>
      </c>
    </row>
    <row r="329" spans="1:15" x14ac:dyDescent="0.3">
      <c r="A329" s="106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90"/>
      <c r="M329" s="90"/>
      <c r="N329" s="90">
        <f t="shared" si="25"/>
        <v>0</v>
      </c>
      <c r="O329" s="91">
        <f t="shared" si="26"/>
        <v>0</v>
      </c>
    </row>
    <row r="330" spans="1:15" x14ac:dyDescent="0.3">
      <c r="A330" s="106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90"/>
      <c r="M330" s="90"/>
      <c r="N330" s="90">
        <f t="shared" si="25"/>
        <v>0</v>
      </c>
      <c r="O330" s="91">
        <f t="shared" si="26"/>
        <v>0</v>
      </c>
    </row>
    <row r="331" spans="1:15" x14ac:dyDescent="0.3">
      <c r="A331" s="106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90"/>
      <c r="M331" s="90"/>
      <c r="N331" s="90">
        <f t="shared" si="25"/>
        <v>0</v>
      </c>
      <c r="O331" s="91">
        <f t="shared" si="26"/>
        <v>0</v>
      </c>
    </row>
    <row r="332" spans="1:15" x14ac:dyDescent="0.3">
      <c r="A332" s="106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90"/>
      <c r="M332" s="90"/>
      <c r="N332" s="90">
        <f t="shared" si="25"/>
        <v>0</v>
      </c>
      <c r="O332" s="91">
        <f t="shared" si="26"/>
        <v>0</v>
      </c>
    </row>
    <row r="333" spans="1:15" x14ac:dyDescent="0.3">
      <c r="A333" s="106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90"/>
      <c r="M333" s="90"/>
      <c r="N333" s="90">
        <f t="shared" si="25"/>
        <v>0</v>
      </c>
      <c r="O333" s="91">
        <f t="shared" si="26"/>
        <v>0</v>
      </c>
    </row>
    <row r="334" spans="1:15" x14ac:dyDescent="0.3">
      <c r="A334" s="107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2"/>
      <c r="M334" s="92"/>
      <c r="N334" s="92">
        <f t="shared" si="25"/>
        <v>0</v>
      </c>
      <c r="O334" s="94">
        <f t="shared" si="26"/>
        <v>0</v>
      </c>
    </row>
    <row r="335" spans="1:15" x14ac:dyDescent="0.3">
      <c r="A335" s="106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90"/>
      <c r="M335" s="90"/>
      <c r="N335" s="90">
        <f t="shared" si="25"/>
        <v>0</v>
      </c>
      <c r="O335" s="91">
        <f t="shared" si="26"/>
        <v>0</v>
      </c>
    </row>
    <row r="336" spans="1:15" x14ac:dyDescent="0.3">
      <c r="A336" s="106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90"/>
      <c r="M336" s="90"/>
      <c r="N336" s="90">
        <f t="shared" si="25"/>
        <v>0</v>
      </c>
      <c r="O336" s="91">
        <f t="shared" si="26"/>
        <v>0</v>
      </c>
    </row>
    <row r="337" spans="1:15" x14ac:dyDescent="0.3">
      <c r="A337" s="106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90"/>
      <c r="M337" s="90"/>
      <c r="N337" s="90">
        <f t="shared" si="25"/>
        <v>0</v>
      </c>
      <c r="O337" s="91">
        <f t="shared" si="26"/>
        <v>0</v>
      </c>
    </row>
    <row r="338" spans="1:15" x14ac:dyDescent="0.3">
      <c r="A338" s="106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90"/>
      <c r="M338" s="90"/>
      <c r="N338" s="90">
        <f t="shared" si="25"/>
        <v>0</v>
      </c>
      <c r="O338" s="91">
        <f t="shared" si="26"/>
        <v>0</v>
      </c>
    </row>
    <row r="339" spans="1:15" x14ac:dyDescent="0.3">
      <c r="A339" s="106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90"/>
      <c r="M339" s="90"/>
      <c r="N339" s="90">
        <f t="shared" si="25"/>
        <v>0</v>
      </c>
      <c r="O339" s="91">
        <f t="shared" si="26"/>
        <v>0</v>
      </c>
    </row>
    <row r="340" spans="1:15" x14ac:dyDescent="0.3">
      <c r="A340" s="106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90"/>
      <c r="M340" s="90"/>
      <c r="N340" s="90">
        <f t="shared" si="25"/>
        <v>0</v>
      </c>
      <c r="O340" s="91">
        <f t="shared" si="26"/>
        <v>0</v>
      </c>
    </row>
    <row r="341" spans="1:15" x14ac:dyDescent="0.3">
      <c r="A341" s="106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90"/>
      <c r="M341" s="90"/>
      <c r="N341" s="90">
        <f t="shared" si="25"/>
        <v>0</v>
      </c>
      <c r="O341" s="91">
        <f t="shared" si="26"/>
        <v>0</v>
      </c>
    </row>
    <row r="342" spans="1:15" x14ac:dyDescent="0.3">
      <c r="A342" s="106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90"/>
      <c r="M342" s="90"/>
      <c r="N342" s="90">
        <f t="shared" si="25"/>
        <v>0</v>
      </c>
      <c r="O342" s="91">
        <f t="shared" si="26"/>
        <v>0</v>
      </c>
    </row>
    <row r="343" spans="1:15" x14ac:dyDescent="0.3">
      <c r="A343" s="106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90"/>
      <c r="M343" s="90"/>
      <c r="N343" s="90">
        <f t="shared" si="25"/>
        <v>0</v>
      </c>
      <c r="O343" s="91">
        <f t="shared" si="26"/>
        <v>0</v>
      </c>
    </row>
    <row r="344" spans="1:15" x14ac:dyDescent="0.3">
      <c r="A344" s="106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90"/>
      <c r="M344" s="90"/>
      <c r="N344" s="90">
        <f t="shared" si="25"/>
        <v>0</v>
      </c>
      <c r="O344" s="91">
        <f t="shared" si="26"/>
        <v>0</v>
      </c>
    </row>
    <row r="345" spans="1:15" x14ac:dyDescent="0.3">
      <c r="A345" s="106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90"/>
      <c r="M345" s="90"/>
      <c r="N345" s="90">
        <f t="shared" ref="N345:N408" si="27">+L345-M345</f>
        <v>0</v>
      </c>
      <c r="O345" s="91">
        <f t="shared" si="26"/>
        <v>0</v>
      </c>
    </row>
    <row r="346" spans="1:15" x14ac:dyDescent="0.3">
      <c r="A346" s="106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90"/>
      <c r="M346" s="90"/>
      <c r="N346" s="90">
        <f t="shared" si="27"/>
        <v>0</v>
      </c>
      <c r="O346" s="91">
        <f t="shared" ref="O346:O409" si="28">IFERROR(IF(7&lt;&gt;0, M346*100/L346, IF(L346=M346, M346*100/L346, 0)), 0)</f>
        <v>0</v>
      </c>
    </row>
    <row r="347" spans="1:15" x14ac:dyDescent="0.3">
      <c r="A347" s="106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90"/>
      <c r="M347" s="90"/>
      <c r="N347" s="90">
        <f t="shared" si="27"/>
        <v>0</v>
      </c>
      <c r="O347" s="91">
        <f t="shared" si="28"/>
        <v>0</v>
      </c>
    </row>
    <row r="348" spans="1:15" x14ac:dyDescent="0.3">
      <c r="A348" s="106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90"/>
      <c r="M348" s="90"/>
      <c r="N348" s="90">
        <f t="shared" si="27"/>
        <v>0</v>
      </c>
      <c r="O348" s="91">
        <f t="shared" si="28"/>
        <v>0</v>
      </c>
    </row>
    <row r="349" spans="1:15" x14ac:dyDescent="0.3">
      <c r="A349" s="106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90"/>
      <c r="M349" s="90"/>
      <c r="N349" s="90">
        <f t="shared" si="27"/>
        <v>0</v>
      </c>
      <c r="O349" s="91">
        <f t="shared" si="28"/>
        <v>0</v>
      </c>
    </row>
    <row r="350" spans="1:15" x14ac:dyDescent="0.3">
      <c r="A350" s="106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90"/>
      <c r="M350" s="90"/>
      <c r="N350" s="90">
        <f t="shared" si="27"/>
        <v>0</v>
      </c>
      <c r="O350" s="91">
        <f t="shared" si="28"/>
        <v>0</v>
      </c>
    </row>
    <row r="351" spans="1:15" x14ac:dyDescent="0.3">
      <c r="A351" s="106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90"/>
      <c r="M351" s="90"/>
      <c r="N351" s="90">
        <f t="shared" si="27"/>
        <v>0</v>
      </c>
      <c r="O351" s="91">
        <f t="shared" si="28"/>
        <v>0</v>
      </c>
    </row>
    <row r="352" spans="1:15" x14ac:dyDescent="0.3">
      <c r="A352" s="106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90"/>
      <c r="M352" s="90"/>
      <c r="N352" s="90">
        <f t="shared" si="27"/>
        <v>0</v>
      </c>
      <c r="O352" s="91">
        <f t="shared" si="28"/>
        <v>0</v>
      </c>
    </row>
    <row r="353" spans="1:15" x14ac:dyDescent="0.3">
      <c r="A353" s="106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90"/>
      <c r="M353" s="90"/>
      <c r="N353" s="90">
        <f t="shared" si="27"/>
        <v>0</v>
      </c>
      <c r="O353" s="91">
        <f t="shared" si="28"/>
        <v>0</v>
      </c>
    </row>
    <row r="354" spans="1:15" x14ac:dyDescent="0.3">
      <c r="A354" s="106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90"/>
      <c r="M354" s="90"/>
      <c r="N354" s="90">
        <f t="shared" si="27"/>
        <v>0</v>
      </c>
      <c r="O354" s="91">
        <f t="shared" si="28"/>
        <v>0</v>
      </c>
    </row>
    <row r="355" spans="1:15" x14ac:dyDescent="0.3">
      <c r="A355" s="106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90"/>
      <c r="M355" s="90"/>
      <c r="N355" s="90">
        <f t="shared" si="27"/>
        <v>0</v>
      </c>
      <c r="O355" s="91">
        <f t="shared" si="28"/>
        <v>0</v>
      </c>
    </row>
    <row r="356" spans="1:15" x14ac:dyDescent="0.3">
      <c r="A356" s="106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90"/>
      <c r="M356" s="90"/>
      <c r="N356" s="90">
        <f t="shared" si="27"/>
        <v>0</v>
      </c>
      <c r="O356" s="91">
        <f t="shared" si="28"/>
        <v>0</v>
      </c>
    </row>
    <row r="357" spans="1:15" x14ac:dyDescent="0.3">
      <c r="A357" s="106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90"/>
      <c r="M357" s="90"/>
      <c r="N357" s="90">
        <f t="shared" si="27"/>
        <v>0</v>
      </c>
      <c r="O357" s="91">
        <f t="shared" si="28"/>
        <v>0</v>
      </c>
    </row>
    <row r="358" spans="1:15" x14ac:dyDescent="0.3">
      <c r="A358" s="106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90"/>
      <c r="M358" s="90"/>
      <c r="N358" s="90">
        <f t="shared" si="27"/>
        <v>0</v>
      </c>
      <c r="O358" s="91">
        <f t="shared" si="28"/>
        <v>0</v>
      </c>
    </row>
    <row r="359" spans="1:15" x14ac:dyDescent="0.3">
      <c r="A359" s="106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90"/>
      <c r="M359" s="90"/>
      <c r="N359" s="90">
        <f t="shared" si="27"/>
        <v>0</v>
      </c>
      <c r="O359" s="91">
        <f t="shared" si="28"/>
        <v>0</v>
      </c>
    </row>
    <row r="360" spans="1:15" x14ac:dyDescent="0.3">
      <c r="A360" s="106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90"/>
      <c r="M360" s="90"/>
      <c r="N360" s="90">
        <f t="shared" si="27"/>
        <v>0</v>
      </c>
      <c r="O360" s="91">
        <f t="shared" si="28"/>
        <v>0</v>
      </c>
    </row>
    <row r="361" spans="1:15" x14ac:dyDescent="0.3">
      <c r="A361" s="106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90"/>
      <c r="M361" s="90"/>
      <c r="N361" s="90">
        <f t="shared" si="27"/>
        <v>0</v>
      </c>
      <c r="O361" s="91">
        <f t="shared" si="28"/>
        <v>0</v>
      </c>
    </row>
    <row r="362" spans="1:15" x14ac:dyDescent="0.3">
      <c r="A362" s="106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90"/>
      <c r="M362" s="90"/>
      <c r="N362" s="90">
        <f t="shared" si="27"/>
        <v>0</v>
      </c>
      <c r="O362" s="91">
        <f t="shared" si="28"/>
        <v>0</v>
      </c>
    </row>
    <row r="363" spans="1:15" x14ac:dyDescent="0.3">
      <c r="A363" s="106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90"/>
      <c r="M363" s="90"/>
      <c r="N363" s="90">
        <f t="shared" si="27"/>
        <v>0</v>
      </c>
      <c r="O363" s="91">
        <f t="shared" si="28"/>
        <v>0</v>
      </c>
    </row>
    <row r="364" spans="1:15" x14ac:dyDescent="0.3">
      <c r="A364" s="106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95"/>
      <c r="M364" s="95"/>
      <c r="N364" s="90">
        <f t="shared" si="27"/>
        <v>0</v>
      </c>
      <c r="O364" s="91">
        <f t="shared" si="28"/>
        <v>0</v>
      </c>
    </row>
    <row r="365" spans="1:15" x14ac:dyDescent="0.3">
      <c r="A365" s="106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90"/>
      <c r="M365" s="90"/>
      <c r="N365" s="90">
        <f t="shared" si="27"/>
        <v>0</v>
      </c>
      <c r="O365" s="91">
        <f t="shared" si="28"/>
        <v>0</v>
      </c>
    </row>
    <row r="366" spans="1:15" x14ac:dyDescent="0.3">
      <c r="A366" s="106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90"/>
      <c r="M366" s="90"/>
      <c r="N366" s="90">
        <f t="shared" si="27"/>
        <v>0</v>
      </c>
      <c r="O366" s="91">
        <f t="shared" si="28"/>
        <v>0</v>
      </c>
    </row>
    <row r="367" spans="1:15" x14ac:dyDescent="0.3">
      <c r="A367" s="106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90"/>
      <c r="M367" s="90"/>
      <c r="N367" s="90">
        <f t="shared" si="27"/>
        <v>0</v>
      </c>
      <c r="O367" s="91">
        <f t="shared" si="28"/>
        <v>0</v>
      </c>
    </row>
    <row r="368" spans="1:15" x14ac:dyDescent="0.3">
      <c r="A368" s="106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90"/>
      <c r="M368" s="90"/>
      <c r="N368" s="90">
        <f t="shared" si="27"/>
        <v>0</v>
      </c>
      <c r="O368" s="91">
        <f t="shared" si="28"/>
        <v>0</v>
      </c>
    </row>
    <row r="369" spans="1:15" x14ac:dyDescent="0.3">
      <c r="A369" s="106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90"/>
      <c r="M369" s="92"/>
      <c r="N369" s="90">
        <f t="shared" si="27"/>
        <v>0</v>
      </c>
      <c r="O369" s="91">
        <f t="shared" si="28"/>
        <v>0</v>
      </c>
    </row>
    <row r="370" spans="1:15" x14ac:dyDescent="0.3">
      <c r="A370" s="106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90"/>
      <c r="M370" s="90"/>
      <c r="N370" s="90">
        <f t="shared" si="27"/>
        <v>0</v>
      </c>
      <c r="O370" s="91">
        <f t="shared" si="28"/>
        <v>0</v>
      </c>
    </row>
    <row r="371" spans="1:15" x14ac:dyDescent="0.3">
      <c r="A371" s="106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90"/>
      <c r="M371" s="90"/>
      <c r="N371" s="90">
        <f t="shared" si="27"/>
        <v>0</v>
      </c>
      <c r="O371" s="91">
        <f t="shared" si="28"/>
        <v>0</v>
      </c>
    </row>
    <row r="372" spans="1:15" x14ac:dyDescent="0.3">
      <c r="A372" s="107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2"/>
      <c r="M372" s="92"/>
      <c r="N372" s="92">
        <f t="shared" si="27"/>
        <v>0</v>
      </c>
      <c r="O372" s="94">
        <f t="shared" si="28"/>
        <v>0</v>
      </c>
    </row>
    <row r="373" spans="1:15" x14ac:dyDescent="0.3">
      <c r="A373" s="106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90"/>
      <c r="M373" s="90"/>
      <c r="N373" s="90">
        <f t="shared" si="27"/>
        <v>0</v>
      </c>
      <c r="O373" s="91">
        <f t="shared" si="28"/>
        <v>0</v>
      </c>
    </row>
    <row r="374" spans="1:15" x14ac:dyDescent="0.3">
      <c r="A374" s="106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90"/>
      <c r="M374" s="90"/>
      <c r="N374" s="90">
        <f t="shared" si="27"/>
        <v>0</v>
      </c>
      <c r="O374" s="91">
        <f t="shared" si="28"/>
        <v>0</v>
      </c>
    </row>
    <row r="375" spans="1:15" x14ac:dyDescent="0.3">
      <c r="A375" s="106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90"/>
      <c r="M375" s="90"/>
      <c r="N375" s="90">
        <f t="shared" si="27"/>
        <v>0</v>
      </c>
      <c r="O375" s="91">
        <f t="shared" si="28"/>
        <v>0</v>
      </c>
    </row>
    <row r="376" spans="1:15" x14ac:dyDescent="0.3">
      <c r="A376" s="106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90"/>
      <c r="M376" s="90"/>
      <c r="N376" s="90">
        <f t="shared" si="27"/>
        <v>0</v>
      </c>
      <c r="O376" s="91">
        <f t="shared" si="28"/>
        <v>0</v>
      </c>
    </row>
    <row r="377" spans="1:15" x14ac:dyDescent="0.3">
      <c r="A377" s="106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90"/>
      <c r="M377" s="90"/>
      <c r="N377" s="90">
        <f t="shared" si="27"/>
        <v>0</v>
      </c>
      <c r="O377" s="91">
        <f t="shared" si="28"/>
        <v>0</v>
      </c>
    </row>
    <row r="378" spans="1:15" x14ac:dyDescent="0.3">
      <c r="A378" s="106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90"/>
      <c r="M378" s="90"/>
      <c r="N378" s="90">
        <f t="shared" si="27"/>
        <v>0</v>
      </c>
      <c r="O378" s="91">
        <f t="shared" si="28"/>
        <v>0</v>
      </c>
    </row>
    <row r="379" spans="1:15" x14ac:dyDescent="0.3">
      <c r="A379" s="106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90"/>
      <c r="M379" s="90"/>
      <c r="N379" s="90">
        <f t="shared" si="27"/>
        <v>0</v>
      </c>
      <c r="O379" s="91">
        <f t="shared" si="28"/>
        <v>0</v>
      </c>
    </row>
    <row r="380" spans="1:15" x14ac:dyDescent="0.3">
      <c r="A380" s="106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90"/>
      <c r="M380" s="90"/>
      <c r="N380" s="90">
        <f t="shared" si="27"/>
        <v>0</v>
      </c>
      <c r="O380" s="91">
        <f t="shared" si="28"/>
        <v>0</v>
      </c>
    </row>
    <row r="381" spans="1:15" x14ac:dyDescent="0.3">
      <c r="A381" s="106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90"/>
      <c r="M381" s="90"/>
      <c r="N381" s="90">
        <f t="shared" si="27"/>
        <v>0</v>
      </c>
      <c r="O381" s="91">
        <f t="shared" si="28"/>
        <v>0</v>
      </c>
    </row>
    <row r="382" spans="1:15" x14ac:dyDescent="0.3">
      <c r="A382" s="107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2"/>
      <c r="M382" s="92"/>
      <c r="N382" s="92">
        <f t="shared" si="27"/>
        <v>0</v>
      </c>
      <c r="O382" s="94">
        <f t="shared" si="28"/>
        <v>0</v>
      </c>
    </row>
    <row r="383" spans="1:15" x14ac:dyDescent="0.3">
      <c r="A383" s="106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90"/>
      <c r="M383" s="90"/>
      <c r="N383" s="90">
        <f t="shared" si="27"/>
        <v>0</v>
      </c>
      <c r="O383" s="91">
        <f t="shared" si="28"/>
        <v>0</v>
      </c>
    </row>
    <row r="384" spans="1:15" x14ac:dyDescent="0.3">
      <c r="A384" s="106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90"/>
      <c r="M384" s="90"/>
      <c r="N384" s="90">
        <f t="shared" si="27"/>
        <v>0</v>
      </c>
      <c r="O384" s="91">
        <f t="shared" si="28"/>
        <v>0</v>
      </c>
    </row>
    <row r="385" spans="1:15" x14ac:dyDescent="0.3">
      <c r="A385" s="106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90"/>
      <c r="M385" s="90"/>
      <c r="N385" s="90">
        <f t="shared" si="27"/>
        <v>0</v>
      </c>
      <c r="O385" s="91">
        <f t="shared" si="28"/>
        <v>0</v>
      </c>
    </row>
    <row r="386" spans="1:15" x14ac:dyDescent="0.3">
      <c r="A386" s="106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90"/>
      <c r="M386" s="90"/>
      <c r="N386" s="90">
        <f t="shared" si="27"/>
        <v>0</v>
      </c>
      <c r="O386" s="91">
        <f t="shared" si="28"/>
        <v>0</v>
      </c>
    </row>
    <row r="387" spans="1:15" x14ac:dyDescent="0.3">
      <c r="A387" s="106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90"/>
      <c r="M387" s="90"/>
      <c r="N387" s="90">
        <f t="shared" si="27"/>
        <v>0</v>
      </c>
      <c r="O387" s="91">
        <f t="shared" si="28"/>
        <v>0</v>
      </c>
    </row>
    <row r="388" spans="1:15" x14ac:dyDescent="0.3">
      <c r="A388" s="106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90"/>
      <c r="M388" s="90"/>
      <c r="N388" s="90">
        <f t="shared" si="27"/>
        <v>0</v>
      </c>
      <c r="O388" s="91">
        <f t="shared" si="28"/>
        <v>0</v>
      </c>
    </row>
    <row r="389" spans="1:15" x14ac:dyDescent="0.3">
      <c r="A389" s="106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90"/>
      <c r="M389" s="90"/>
      <c r="N389" s="90">
        <f t="shared" si="27"/>
        <v>0</v>
      </c>
      <c r="O389" s="91">
        <f t="shared" si="28"/>
        <v>0</v>
      </c>
    </row>
    <row r="390" spans="1:15" x14ac:dyDescent="0.3">
      <c r="A390" s="106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90"/>
      <c r="M390" s="90"/>
      <c r="N390" s="90">
        <f t="shared" si="27"/>
        <v>0</v>
      </c>
      <c r="O390" s="91">
        <f t="shared" si="28"/>
        <v>0</v>
      </c>
    </row>
    <row r="391" spans="1:15" x14ac:dyDescent="0.3">
      <c r="A391" s="106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90"/>
      <c r="M391" s="90"/>
      <c r="N391" s="90">
        <f t="shared" si="27"/>
        <v>0</v>
      </c>
      <c r="O391" s="91">
        <f t="shared" si="28"/>
        <v>0</v>
      </c>
    </row>
    <row r="392" spans="1:15" x14ac:dyDescent="0.3">
      <c r="A392" s="106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90"/>
      <c r="M392" s="90"/>
      <c r="N392" s="90">
        <f t="shared" si="27"/>
        <v>0</v>
      </c>
      <c r="O392" s="91">
        <f t="shared" si="28"/>
        <v>0</v>
      </c>
    </row>
    <row r="393" spans="1:15" x14ac:dyDescent="0.3">
      <c r="A393" s="106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90"/>
      <c r="M393" s="90"/>
      <c r="N393" s="90">
        <f t="shared" si="27"/>
        <v>0</v>
      </c>
      <c r="O393" s="91">
        <f t="shared" si="28"/>
        <v>0</v>
      </c>
    </row>
    <row r="394" spans="1:15" x14ac:dyDescent="0.3">
      <c r="A394" s="106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90"/>
      <c r="M394" s="90"/>
      <c r="N394" s="90">
        <f t="shared" si="27"/>
        <v>0</v>
      </c>
      <c r="O394" s="91">
        <f t="shared" si="28"/>
        <v>0</v>
      </c>
    </row>
    <row r="395" spans="1:15" x14ac:dyDescent="0.3">
      <c r="A395" s="106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90"/>
      <c r="M395" s="90"/>
      <c r="N395" s="90">
        <f t="shared" si="27"/>
        <v>0</v>
      </c>
      <c r="O395" s="91">
        <f t="shared" si="28"/>
        <v>0</v>
      </c>
    </row>
    <row r="396" spans="1:15" x14ac:dyDescent="0.3">
      <c r="A396" s="106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90"/>
      <c r="M396" s="90"/>
      <c r="N396" s="90">
        <f t="shared" si="27"/>
        <v>0</v>
      </c>
      <c r="O396" s="91">
        <f t="shared" si="28"/>
        <v>0</v>
      </c>
    </row>
    <row r="397" spans="1:15" x14ac:dyDescent="0.3">
      <c r="A397" s="106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90"/>
      <c r="M397" s="90"/>
      <c r="N397" s="90">
        <f t="shared" si="27"/>
        <v>0</v>
      </c>
      <c r="O397" s="91">
        <f t="shared" si="28"/>
        <v>0</v>
      </c>
    </row>
    <row r="398" spans="1:15" x14ac:dyDescent="0.3">
      <c r="A398" s="106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90"/>
      <c r="M398" s="90"/>
      <c r="N398" s="90">
        <f t="shared" si="27"/>
        <v>0</v>
      </c>
      <c r="O398" s="91">
        <f t="shared" si="28"/>
        <v>0</v>
      </c>
    </row>
    <row r="399" spans="1:15" x14ac:dyDescent="0.3">
      <c r="A399" s="106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90"/>
      <c r="M399" s="90"/>
      <c r="N399" s="90">
        <f t="shared" si="27"/>
        <v>0</v>
      </c>
      <c r="O399" s="91">
        <f t="shared" si="28"/>
        <v>0</v>
      </c>
    </row>
    <row r="400" spans="1:15" x14ac:dyDescent="0.3">
      <c r="A400" s="106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90"/>
      <c r="M400" s="90"/>
      <c r="N400" s="90">
        <f t="shared" si="27"/>
        <v>0</v>
      </c>
      <c r="O400" s="91">
        <f t="shared" si="28"/>
        <v>0</v>
      </c>
    </row>
    <row r="401" spans="1:15" x14ac:dyDescent="0.3">
      <c r="A401" s="106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90"/>
      <c r="M401" s="90"/>
      <c r="N401" s="90">
        <f t="shared" si="27"/>
        <v>0</v>
      </c>
      <c r="O401" s="91">
        <f t="shared" si="28"/>
        <v>0</v>
      </c>
    </row>
    <row r="402" spans="1:15" x14ac:dyDescent="0.3">
      <c r="A402" s="106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90"/>
      <c r="M402" s="90"/>
      <c r="N402" s="90">
        <f t="shared" si="27"/>
        <v>0</v>
      </c>
      <c r="O402" s="91">
        <f t="shared" si="28"/>
        <v>0</v>
      </c>
    </row>
    <row r="403" spans="1:15" x14ac:dyDescent="0.3">
      <c r="A403" s="106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90"/>
      <c r="M403" s="90"/>
      <c r="N403" s="90">
        <f t="shared" si="27"/>
        <v>0</v>
      </c>
      <c r="O403" s="91">
        <f t="shared" si="28"/>
        <v>0</v>
      </c>
    </row>
    <row r="404" spans="1:15" x14ac:dyDescent="0.3">
      <c r="A404" s="106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90"/>
      <c r="M404" s="90"/>
      <c r="N404" s="90">
        <f t="shared" si="27"/>
        <v>0</v>
      </c>
      <c r="O404" s="91">
        <f t="shared" si="28"/>
        <v>0</v>
      </c>
    </row>
    <row r="405" spans="1:15" x14ac:dyDescent="0.3">
      <c r="A405" s="106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90"/>
      <c r="M405" s="90"/>
      <c r="N405" s="90">
        <f t="shared" si="27"/>
        <v>0</v>
      </c>
      <c r="O405" s="91">
        <f t="shared" si="28"/>
        <v>0</v>
      </c>
    </row>
    <row r="406" spans="1:15" x14ac:dyDescent="0.3">
      <c r="A406" s="106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90"/>
      <c r="M406" s="90"/>
      <c r="N406" s="90">
        <f t="shared" si="27"/>
        <v>0</v>
      </c>
      <c r="O406" s="91">
        <f t="shared" si="28"/>
        <v>0</v>
      </c>
    </row>
    <row r="407" spans="1:15" x14ac:dyDescent="0.3">
      <c r="A407" s="106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90"/>
      <c r="M407" s="90"/>
      <c r="N407" s="90">
        <f t="shared" si="27"/>
        <v>0</v>
      </c>
      <c r="O407" s="91">
        <f t="shared" si="28"/>
        <v>0</v>
      </c>
    </row>
    <row r="408" spans="1:15" x14ac:dyDescent="0.3">
      <c r="A408" s="106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90"/>
      <c r="M408" s="90"/>
      <c r="N408" s="90">
        <f t="shared" si="27"/>
        <v>0</v>
      </c>
      <c r="O408" s="91">
        <f t="shared" si="28"/>
        <v>0</v>
      </c>
    </row>
    <row r="409" spans="1:15" x14ac:dyDescent="0.3">
      <c r="A409" s="106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90"/>
      <c r="M409" s="90"/>
      <c r="N409" s="90">
        <f t="shared" ref="N409:N472" si="29">+L409-M409</f>
        <v>0</v>
      </c>
      <c r="O409" s="91">
        <f t="shared" si="28"/>
        <v>0</v>
      </c>
    </row>
    <row r="410" spans="1:15" x14ac:dyDescent="0.3">
      <c r="A410" s="106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90"/>
      <c r="M410" s="90"/>
      <c r="N410" s="90">
        <f t="shared" si="29"/>
        <v>0</v>
      </c>
      <c r="O410" s="91">
        <f t="shared" ref="O410:O473" si="30">IFERROR(IF(7&lt;&gt;0, M410*100/L410, IF(L410=M410, M410*100/L410, 0)), 0)</f>
        <v>0</v>
      </c>
    </row>
    <row r="411" spans="1:15" x14ac:dyDescent="0.3">
      <c r="A411" s="106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90"/>
      <c r="M411" s="90"/>
      <c r="N411" s="90">
        <f t="shared" si="29"/>
        <v>0</v>
      </c>
      <c r="O411" s="91">
        <f t="shared" si="30"/>
        <v>0</v>
      </c>
    </row>
    <row r="412" spans="1:15" x14ac:dyDescent="0.3">
      <c r="A412" s="106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95"/>
      <c r="M412" s="95"/>
      <c r="N412" s="90">
        <f t="shared" si="29"/>
        <v>0</v>
      </c>
      <c r="O412" s="91">
        <f t="shared" si="30"/>
        <v>0</v>
      </c>
    </row>
    <row r="413" spans="1:15" x14ac:dyDescent="0.3">
      <c r="A413" s="106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90"/>
      <c r="M413" s="90"/>
      <c r="N413" s="90">
        <f t="shared" si="29"/>
        <v>0</v>
      </c>
      <c r="O413" s="91">
        <f t="shared" si="30"/>
        <v>0</v>
      </c>
    </row>
    <row r="414" spans="1:15" x14ac:dyDescent="0.3">
      <c r="A414" s="106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90"/>
      <c r="M414" s="90"/>
      <c r="N414" s="90">
        <f t="shared" si="29"/>
        <v>0</v>
      </c>
      <c r="O414" s="91">
        <f t="shared" si="30"/>
        <v>0</v>
      </c>
    </row>
    <row r="415" spans="1:15" x14ac:dyDescent="0.3">
      <c r="A415" s="106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90"/>
      <c r="M415" s="90"/>
      <c r="N415" s="90">
        <f t="shared" si="29"/>
        <v>0</v>
      </c>
      <c r="O415" s="91">
        <f t="shared" si="30"/>
        <v>0</v>
      </c>
    </row>
    <row r="416" spans="1:15" x14ac:dyDescent="0.3">
      <c r="A416" s="106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90"/>
      <c r="M416" s="90"/>
      <c r="N416" s="90">
        <f t="shared" si="29"/>
        <v>0</v>
      </c>
      <c r="O416" s="91">
        <f t="shared" si="30"/>
        <v>0</v>
      </c>
    </row>
    <row r="417" spans="1:15" x14ac:dyDescent="0.3">
      <c r="A417" s="106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90"/>
      <c r="M417" s="90"/>
      <c r="N417" s="90">
        <f t="shared" si="29"/>
        <v>0</v>
      </c>
      <c r="O417" s="91">
        <f t="shared" si="30"/>
        <v>0</v>
      </c>
    </row>
    <row r="418" spans="1:15" x14ac:dyDescent="0.3">
      <c r="A418" s="106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90"/>
      <c r="M418" s="90"/>
      <c r="N418" s="90">
        <f t="shared" si="29"/>
        <v>0</v>
      </c>
      <c r="O418" s="91">
        <f t="shared" si="30"/>
        <v>0</v>
      </c>
    </row>
    <row r="419" spans="1:15" x14ac:dyDescent="0.3">
      <c r="A419" s="106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90"/>
      <c r="M419" s="90"/>
      <c r="N419" s="90">
        <f t="shared" si="29"/>
        <v>0</v>
      </c>
      <c r="O419" s="91">
        <f t="shared" si="30"/>
        <v>0</v>
      </c>
    </row>
    <row r="420" spans="1:15" x14ac:dyDescent="0.3">
      <c r="A420" s="107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2"/>
      <c r="M420" s="92"/>
      <c r="N420" s="92">
        <f t="shared" si="29"/>
        <v>0</v>
      </c>
      <c r="O420" s="94">
        <f t="shared" si="30"/>
        <v>0</v>
      </c>
    </row>
    <row r="421" spans="1:15" x14ac:dyDescent="0.3">
      <c r="A421" s="106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90"/>
      <c r="M421" s="90"/>
      <c r="N421" s="90">
        <f t="shared" si="29"/>
        <v>0</v>
      </c>
      <c r="O421" s="91">
        <f t="shared" si="30"/>
        <v>0</v>
      </c>
    </row>
    <row r="422" spans="1:15" x14ac:dyDescent="0.3">
      <c r="A422" s="106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90"/>
      <c r="M422" s="90"/>
      <c r="N422" s="90">
        <f t="shared" si="29"/>
        <v>0</v>
      </c>
      <c r="O422" s="91">
        <f t="shared" si="30"/>
        <v>0</v>
      </c>
    </row>
    <row r="423" spans="1:15" x14ac:dyDescent="0.3">
      <c r="A423" s="106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90"/>
      <c r="M423" s="90"/>
      <c r="N423" s="90">
        <f t="shared" si="29"/>
        <v>0</v>
      </c>
      <c r="O423" s="91">
        <f t="shared" si="30"/>
        <v>0</v>
      </c>
    </row>
    <row r="424" spans="1:15" x14ac:dyDescent="0.3">
      <c r="A424" s="106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90"/>
      <c r="M424" s="90"/>
      <c r="N424" s="90">
        <f t="shared" si="29"/>
        <v>0</v>
      </c>
      <c r="O424" s="91">
        <f t="shared" si="30"/>
        <v>0</v>
      </c>
    </row>
    <row r="425" spans="1:15" x14ac:dyDescent="0.3">
      <c r="A425" s="106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90"/>
      <c r="M425" s="90"/>
      <c r="N425" s="90">
        <f t="shared" si="29"/>
        <v>0</v>
      </c>
      <c r="O425" s="91">
        <f t="shared" si="30"/>
        <v>0</v>
      </c>
    </row>
    <row r="426" spans="1:15" x14ac:dyDescent="0.3">
      <c r="A426" s="106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90"/>
      <c r="M426" s="90"/>
      <c r="N426" s="90">
        <f t="shared" si="29"/>
        <v>0</v>
      </c>
      <c r="O426" s="91">
        <f t="shared" si="30"/>
        <v>0</v>
      </c>
    </row>
    <row r="427" spans="1:15" x14ac:dyDescent="0.3">
      <c r="A427" s="106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90"/>
      <c r="M427" s="90"/>
      <c r="N427" s="90">
        <f t="shared" si="29"/>
        <v>0</v>
      </c>
      <c r="O427" s="91">
        <f t="shared" si="30"/>
        <v>0</v>
      </c>
    </row>
    <row r="428" spans="1:15" x14ac:dyDescent="0.3">
      <c r="A428" s="106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90"/>
      <c r="M428" s="90"/>
      <c r="N428" s="90">
        <f t="shared" si="29"/>
        <v>0</v>
      </c>
      <c r="O428" s="91">
        <f t="shared" si="30"/>
        <v>0</v>
      </c>
    </row>
    <row r="429" spans="1:15" x14ac:dyDescent="0.3">
      <c r="A429" s="106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90"/>
      <c r="M429" s="90"/>
      <c r="N429" s="90">
        <f t="shared" si="29"/>
        <v>0</v>
      </c>
      <c r="O429" s="91">
        <f t="shared" si="30"/>
        <v>0</v>
      </c>
    </row>
    <row r="430" spans="1:15" x14ac:dyDescent="0.3">
      <c r="A430" s="107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2"/>
      <c r="M430" s="92"/>
      <c r="N430" s="92">
        <f t="shared" si="29"/>
        <v>0</v>
      </c>
      <c r="O430" s="94">
        <f t="shared" si="30"/>
        <v>0</v>
      </c>
    </row>
    <row r="431" spans="1:15" x14ac:dyDescent="0.3">
      <c r="A431" s="106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90"/>
      <c r="M431" s="90"/>
      <c r="N431" s="90">
        <f t="shared" si="29"/>
        <v>0</v>
      </c>
      <c r="O431" s="91">
        <f t="shared" si="30"/>
        <v>0</v>
      </c>
    </row>
    <row r="432" spans="1:15" x14ac:dyDescent="0.3">
      <c r="A432" s="106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90"/>
      <c r="M432" s="90"/>
      <c r="N432" s="90">
        <f t="shared" si="29"/>
        <v>0</v>
      </c>
      <c r="O432" s="91">
        <f t="shared" si="30"/>
        <v>0</v>
      </c>
    </row>
    <row r="433" spans="1:15" x14ac:dyDescent="0.3">
      <c r="A433" s="106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90"/>
      <c r="M433" s="90"/>
      <c r="N433" s="90">
        <f t="shared" si="29"/>
        <v>0</v>
      </c>
      <c r="O433" s="91">
        <f t="shared" si="30"/>
        <v>0</v>
      </c>
    </row>
    <row r="434" spans="1:15" x14ac:dyDescent="0.3">
      <c r="A434" s="106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90"/>
      <c r="M434" s="90"/>
      <c r="N434" s="90">
        <f t="shared" si="29"/>
        <v>0</v>
      </c>
      <c r="O434" s="91">
        <f t="shared" si="30"/>
        <v>0</v>
      </c>
    </row>
    <row r="435" spans="1:15" x14ac:dyDescent="0.3">
      <c r="A435" s="106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90"/>
      <c r="M435" s="90"/>
      <c r="N435" s="90">
        <f t="shared" si="29"/>
        <v>0</v>
      </c>
      <c r="O435" s="91">
        <f t="shared" si="30"/>
        <v>0</v>
      </c>
    </row>
    <row r="436" spans="1:15" x14ac:dyDescent="0.3">
      <c r="A436" s="106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90"/>
      <c r="M436" s="90"/>
      <c r="N436" s="90">
        <f t="shared" si="29"/>
        <v>0</v>
      </c>
      <c r="O436" s="91">
        <f t="shared" si="30"/>
        <v>0</v>
      </c>
    </row>
    <row r="437" spans="1:15" x14ac:dyDescent="0.3">
      <c r="A437" s="106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90"/>
      <c r="M437" s="90"/>
      <c r="N437" s="90">
        <f t="shared" si="29"/>
        <v>0</v>
      </c>
      <c r="O437" s="91">
        <f t="shared" si="30"/>
        <v>0</v>
      </c>
    </row>
    <row r="438" spans="1:15" x14ac:dyDescent="0.3">
      <c r="A438" s="106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90"/>
      <c r="M438" s="90"/>
      <c r="N438" s="90">
        <f t="shared" si="29"/>
        <v>0</v>
      </c>
      <c r="O438" s="91">
        <f t="shared" si="30"/>
        <v>0</v>
      </c>
    </row>
    <row r="439" spans="1:15" x14ac:dyDescent="0.3">
      <c r="A439" s="106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90"/>
      <c r="M439" s="90"/>
      <c r="N439" s="90">
        <f t="shared" si="29"/>
        <v>0</v>
      </c>
      <c r="O439" s="91">
        <f t="shared" si="30"/>
        <v>0</v>
      </c>
    </row>
    <row r="440" spans="1:15" x14ac:dyDescent="0.3">
      <c r="A440" s="106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90"/>
      <c r="M440" s="90"/>
      <c r="N440" s="90">
        <f t="shared" si="29"/>
        <v>0</v>
      </c>
      <c r="O440" s="91">
        <f t="shared" si="30"/>
        <v>0</v>
      </c>
    </row>
    <row r="441" spans="1:15" x14ac:dyDescent="0.3">
      <c r="A441" s="106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90"/>
      <c r="M441" s="90"/>
      <c r="N441" s="90">
        <f t="shared" si="29"/>
        <v>0</v>
      </c>
      <c r="O441" s="91">
        <f t="shared" si="30"/>
        <v>0</v>
      </c>
    </row>
    <row r="442" spans="1:15" x14ac:dyDescent="0.3">
      <c r="A442" s="106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90"/>
      <c r="M442" s="90"/>
      <c r="N442" s="90">
        <f t="shared" si="29"/>
        <v>0</v>
      </c>
      <c r="O442" s="91">
        <f t="shared" si="30"/>
        <v>0</v>
      </c>
    </row>
    <row r="443" spans="1:15" x14ac:dyDescent="0.3">
      <c r="A443" s="106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90"/>
      <c r="M443" s="90"/>
      <c r="N443" s="90">
        <f t="shared" si="29"/>
        <v>0</v>
      </c>
      <c r="O443" s="91">
        <f t="shared" si="30"/>
        <v>0</v>
      </c>
    </row>
    <row r="444" spans="1:15" x14ac:dyDescent="0.3">
      <c r="A444" s="106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90"/>
      <c r="M444" s="90"/>
      <c r="N444" s="90">
        <f t="shared" si="29"/>
        <v>0</v>
      </c>
      <c r="O444" s="91">
        <f t="shared" si="30"/>
        <v>0</v>
      </c>
    </row>
    <row r="445" spans="1:15" x14ac:dyDescent="0.3">
      <c r="A445" s="106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90"/>
      <c r="M445" s="90"/>
      <c r="N445" s="90">
        <f t="shared" si="29"/>
        <v>0</v>
      </c>
      <c r="O445" s="91">
        <f t="shared" si="30"/>
        <v>0</v>
      </c>
    </row>
    <row r="446" spans="1:15" x14ac:dyDescent="0.3">
      <c r="A446" s="106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90"/>
      <c r="M446" s="90"/>
      <c r="N446" s="90">
        <f t="shared" si="29"/>
        <v>0</v>
      </c>
      <c r="O446" s="91">
        <f t="shared" si="30"/>
        <v>0</v>
      </c>
    </row>
    <row r="447" spans="1:15" x14ac:dyDescent="0.3">
      <c r="A447" s="106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90"/>
      <c r="M447" s="90"/>
      <c r="N447" s="90">
        <f t="shared" si="29"/>
        <v>0</v>
      </c>
      <c r="O447" s="91">
        <f t="shared" si="30"/>
        <v>0</v>
      </c>
    </row>
    <row r="448" spans="1:15" x14ac:dyDescent="0.3">
      <c r="A448" s="106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90"/>
      <c r="M448" s="90"/>
      <c r="N448" s="90">
        <f t="shared" si="29"/>
        <v>0</v>
      </c>
      <c r="O448" s="91">
        <f t="shared" si="30"/>
        <v>0</v>
      </c>
    </row>
    <row r="449" spans="1:15" x14ac:dyDescent="0.3">
      <c r="A449" s="106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90"/>
      <c r="M449" s="90"/>
      <c r="N449" s="90">
        <f t="shared" si="29"/>
        <v>0</v>
      </c>
      <c r="O449" s="91">
        <f t="shared" si="30"/>
        <v>0</v>
      </c>
    </row>
    <row r="450" spans="1:15" x14ac:dyDescent="0.3">
      <c r="A450" s="106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90"/>
      <c r="M450" s="90"/>
      <c r="N450" s="90">
        <f t="shared" si="29"/>
        <v>0</v>
      </c>
      <c r="O450" s="91">
        <f t="shared" si="30"/>
        <v>0</v>
      </c>
    </row>
    <row r="451" spans="1:15" x14ac:dyDescent="0.3">
      <c r="A451" s="106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90"/>
      <c r="M451" s="90"/>
      <c r="N451" s="90">
        <f t="shared" si="29"/>
        <v>0</v>
      </c>
      <c r="O451" s="91">
        <f t="shared" si="30"/>
        <v>0</v>
      </c>
    </row>
    <row r="452" spans="1:15" x14ac:dyDescent="0.3">
      <c r="A452" s="106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90"/>
      <c r="M452" s="90"/>
      <c r="N452" s="90">
        <f t="shared" si="29"/>
        <v>0</v>
      </c>
      <c r="O452" s="91">
        <f t="shared" si="30"/>
        <v>0</v>
      </c>
    </row>
    <row r="453" spans="1:15" x14ac:dyDescent="0.3">
      <c r="A453" s="108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90">
        <f t="shared" si="29"/>
        <v>0</v>
      </c>
      <c r="O453" s="91">
        <f t="shared" si="30"/>
        <v>0</v>
      </c>
    </row>
    <row r="454" spans="1:15" ht="14.4" customHeight="1" x14ac:dyDescent="0.3">
      <c r="A454" s="108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90">
        <f t="shared" si="29"/>
        <v>0</v>
      </c>
      <c r="O454" s="91">
        <f t="shared" si="30"/>
        <v>0</v>
      </c>
    </row>
    <row r="455" spans="1:15" ht="14.4" customHeight="1" x14ac:dyDescent="0.3">
      <c r="A455" s="108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90">
        <f t="shared" si="29"/>
        <v>0</v>
      </c>
      <c r="O455" s="91">
        <f t="shared" si="30"/>
        <v>0</v>
      </c>
    </row>
    <row r="456" spans="1:15" ht="14.4" customHeight="1" x14ac:dyDescent="0.3">
      <c r="A456" s="108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90">
        <f t="shared" si="29"/>
        <v>0</v>
      </c>
      <c r="O456" s="91">
        <f t="shared" si="30"/>
        <v>0</v>
      </c>
    </row>
    <row r="457" spans="1:15" ht="14.4" customHeight="1" x14ac:dyDescent="0.3">
      <c r="A457" s="108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90">
        <f t="shared" si="29"/>
        <v>0</v>
      </c>
      <c r="O457" s="91">
        <f t="shared" si="30"/>
        <v>0</v>
      </c>
    </row>
    <row r="458" spans="1:15" ht="14.4" customHeight="1" x14ac:dyDescent="0.3">
      <c r="A458" s="108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90">
        <f t="shared" si="29"/>
        <v>0</v>
      </c>
      <c r="O458" s="91">
        <f t="shared" si="30"/>
        <v>0</v>
      </c>
    </row>
    <row r="459" spans="1:15" ht="14.4" customHeight="1" x14ac:dyDescent="0.3">
      <c r="A459" s="108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90">
        <f t="shared" si="29"/>
        <v>0</v>
      </c>
      <c r="O459" s="91">
        <f t="shared" si="30"/>
        <v>0</v>
      </c>
    </row>
    <row r="460" spans="1:15" ht="14.4" customHeight="1" x14ac:dyDescent="0.3">
      <c r="A460" s="108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90">
        <f t="shared" si="29"/>
        <v>0</v>
      </c>
      <c r="O460" s="91">
        <f t="shared" si="30"/>
        <v>0</v>
      </c>
    </row>
    <row r="461" spans="1:15" x14ac:dyDescent="0.3">
      <c r="A461" s="106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90"/>
      <c r="M461" s="90"/>
      <c r="N461" s="90">
        <f t="shared" si="29"/>
        <v>0</v>
      </c>
      <c r="O461" s="91">
        <f t="shared" si="30"/>
        <v>0</v>
      </c>
    </row>
    <row r="462" spans="1:15" x14ac:dyDescent="0.3">
      <c r="A462" s="106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90"/>
      <c r="M462" s="90"/>
      <c r="N462" s="90">
        <f t="shared" si="29"/>
        <v>0</v>
      </c>
      <c r="O462" s="91">
        <f t="shared" si="30"/>
        <v>0</v>
      </c>
    </row>
    <row r="463" spans="1:15" x14ac:dyDescent="0.3">
      <c r="A463" s="106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90"/>
      <c r="M463" s="90"/>
      <c r="N463" s="90">
        <f t="shared" si="29"/>
        <v>0</v>
      </c>
      <c r="O463" s="91">
        <f t="shared" si="30"/>
        <v>0</v>
      </c>
    </row>
    <row r="464" spans="1:15" x14ac:dyDescent="0.3">
      <c r="A464" s="106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90"/>
      <c r="M464" s="90"/>
      <c r="N464" s="90">
        <f t="shared" si="29"/>
        <v>0</v>
      </c>
      <c r="O464" s="91">
        <f t="shared" si="30"/>
        <v>0</v>
      </c>
    </row>
    <row r="465" spans="1:15" x14ac:dyDescent="0.3">
      <c r="A465" s="106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90"/>
      <c r="M465" s="90"/>
      <c r="N465" s="90">
        <f t="shared" si="29"/>
        <v>0</v>
      </c>
      <c r="O465" s="91">
        <f t="shared" si="30"/>
        <v>0</v>
      </c>
    </row>
    <row r="466" spans="1:15" x14ac:dyDescent="0.3">
      <c r="A466" s="106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90"/>
      <c r="M466" s="90"/>
      <c r="N466" s="90">
        <f t="shared" si="29"/>
        <v>0</v>
      </c>
      <c r="O466" s="91">
        <f t="shared" si="30"/>
        <v>0</v>
      </c>
    </row>
    <row r="467" spans="1:15" x14ac:dyDescent="0.3">
      <c r="A467" s="106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90"/>
      <c r="M467" s="90"/>
      <c r="N467" s="90">
        <f t="shared" si="29"/>
        <v>0</v>
      </c>
      <c r="O467" s="91">
        <f t="shared" si="30"/>
        <v>0</v>
      </c>
    </row>
    <row r="468" spans="1:15" x14ac:dyDescent="0.3">
      <c r="A468" s="107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2"/>
      <c r="M468" s="92"/>
      <c r="N468" s="92">
        <f t="shared" si="29"/>
        <v>0</v>
      </c>
      <c r="O468" s="94">
        <f t="shared" si="30"/>
        <v>0</v>
      </c>
    </row>
    <row r="469" spans="1:15" x14ac:dyDescent="0.3">
      <c r="A469" s="106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90"/>
      <c r="M469" s="90"/>
      <c r="N469" s="90">
        <f t="shared" si="29"/>
        <v>0</v>
      </c>
      <c r="O469" s="91">
        <f t="shared" si="30"/>
        <v>0</v>
      </c>
    </row>
    <row r="470" spans="1:15" x14ac:dyDescent="0.3">
      <c r="A470" s="106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90"/>
      <c r="M470" s="90"/>
      <c r="N470" s="90">
        <f t="shared" si="29"/>
        <v>0</v>
      </c>
      <c r="O470" s="91">
        <f t="shared" si="30"/>
        <v>0</v>
      </c>
    </row>
    <row r="471" spans="1:15" x14ac:dyDescent="0.3">
      <c r="A471" s="106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90"/>
      <c r="M471" s="90"/>
      <c r="N471" s="90">
        <f t="shared" si="29"/>
        <v>0</v>
      </c>
      <c r="O471" s="91">
        <f t="shared" si="30"/>
        <v>0</v>
      </c>
    </row>
    <row r="472" spans="1:15" x14ac:dyDescent="0.3">
      <c r="A472" s="106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90"/>
      <c r="M472" s="90"/>
      <c r="N472" s="90">
        <f t="shared" si="29"/>
        <v>0</v>
      </c>
      <c r="O472" s="91">
        <f t="shared" si="30"/>
        <v>0</v>
      </c>
    </row>
    <row r="473" spans="1:15" x14ac:dyDescent="0.3">
      <c r="A473" s="106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90"/>
      <c r="M473" s="90"/>
      <c r="N473" s="90">
        <f t="shared" ref="N473:N536" si="31">+L473-M473</f>
        <v>0</v>
      </c>
      <c r="O473" s="91">
        <f t="shared" si="30"/>
        <v>0</v>
      </c>
    </row>
    <row r="474" spans="1:15" x14ac:dyDescent="0.3">
      <c r="A474" s="106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90"/>
      <c r="M474" s="90"/>
      <c r="N474" s="90">
        <f t="shared" si="31"/>
        <v>0</v>
      </c>
      <c r="O474" s="91">
        <f t="shared" ref="O474:O537" si="32">IFERROR(IF(7&lt;&gt;0, M474*100/L474, IF(L474=M474, M474*100/L474, 0)), 0)</f>
        <v>0</v>
      </c>
    </row>
    <row r="475" spans="1:15" x14ac:dyDescent="0.3">
      <c r="A475" s="106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90"/>
      <c r="M475" s="90"/>
      <c r="N475" s="90">
        <f t="shared" si="31"/>
        <v>0</v>
      </c>
      <c r="O475" s="91">
        <f t="shared" si="32"/>
        <v>0</v>
      </c>
    </row>
    <row r="476" spans="1:15" x14ac:dyDescent="0.3">
      <c r="A476" s="106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90"/>
      <c r="M476" s="90"/>
      <c r="N476" s="90">
        <f t="shared" si="31"/>
        <v>0</v>
      </c>
      <c r="O476" s="91">
        <f t="shared" si="32"/>
        <v>0</v>
      </c>
    </row>
    <row r="477" spans="1:15" x14ac:dyDescent="0.3">
      <c r="A477" s="106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90"/>
      <c r="M477" s="90"/>
      <c r="N477" s="90">
        <f t="shared" si="31"/>
        <v>0</v>
      </c>
      <c r="O477" s="91">
        <f t="shared" si="32"/>
        <v>0</v>
      </c>
    </row>
    <row r="478" spans="1:15" x14ac:dyDescent="0.3">
      <c r="A478" s="107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2"/>
      <c r="M478" s="92"/>
      <c r="N478" s="92">
        <f t="shared" si="31"/>
        <v>0</v>
      </c>
      <c r="O478" s="94">
        <f t="shared" si="32"/>
        <v>0</v>
      </c>
    </row>
    <row r="479" spans="1:15" x14ac:dyDescent="0.3">
      <c r="A479" s="106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90"/>
      <c r="M479" s="90"/>
      <c r="N479" s="90">
        <f t="shared" si="31"/>
        <v>0</v>
      </c>
      <c r="O479" s="91">
        <f t="shared" si="32"/>
        <v>0</v>
      </c>
    </row>
    <row r="480" spans="1:15" x14ac:dyDescent="0.3">
      <c r="A480" s="106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90"/>
      <c r="M480" s="90"/>
      <c r="N480" s="90">
        <f t="shared" si="31"/>
        <v>0</v>
      </c>
      <c r="O480" s="91">
        <f t="shared" si="32"/>
        <v>0</v>
      </c>
    </row>
    <row r="481" spans="1:15" x14ac:dyDescent="0.3">
      <c r="A481" s="106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90"/>
      <c r="M481" s="90"/>
      <c r="N481" s="90">
        <f t="shared" si="31"/>
        <v>0</v>
      </c>
      <c r="O481" s="91">
        <f t="shared" si="32"/>
        <v>0</v>
      </c>
    </row>
    <row r="482" spans="1:15" x14ac:dyDescent="0.3">
      <c r="A482" s="106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90"/>
      <c r="M482" s="90"/>
      <c r="N482" s="90">
        <f t="shared" si="31"/>
        <v>0</v>
      </c>
      <c r="O482" s="91">
        <f t="shared" si="32"/>
        <v>0</v>
      </c>
    </row>
    <row r="483" spans="1:15" x14ac:dyDescent="0.3">
      <c r="A483" s="106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90"/>
      <c r="M483" s="90"/>
      <c r="N483" s="90">
        <f t="shared" si="31"/>
        <v>0</v>
      </c>
      <c r="O483" s="91">
        <f t="shared" si="32"/>
        <v>0</v>
      </c>
    </row>
    <row r="484" spans="1:15" x14ac:dyDescent="0.3">
      <c r="A484" s="106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90"/>
      <c r="M484" s="90"/>
      <c r="N484" s="90">
        <f t="shared" si="31"/>
        <v>0</v>
      </c>
      <c r="O484" s="91">
        <f t="shared" si="32"/>
        <v>0</v>
      </c>
    </row>
    <row r="485" spans="1:15" x14ac:dyDescent="0.3">
      <c r="A485" s="106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90"/>
      <c r="M485" s="90"/>
      <c r="N485" s="90">
        <f t="shared" si="31"/>
        <v>0</v>
      </c>
      <c r="O485" s="91">
        <f t="shared" si="32"/>
        <v>0</v>
      </c>
    </row>
    <row r="486" spans="1:15" x14ac:dyDescent="0.3">
      <c r="A486" s="106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90"/>
      <c r="M486" s="90"/>
      <c r="N486" s="90">
        <f t="shared" si="31"/>
        <v>0</v>
      </c>
      <c r="O486" s="91">
        <f t="shared" si="32"/>
        <v>0</v>
      </c>
    </row>
    <row r="487" spans="1:15" x14ac:dyDescent="0.3">
      <c r="A487" s="106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90"/>
      <c r="M487" s="90"/>
      <c r="N487" s="90">
        <f t="shared" si="31"/>
        <v>0</v>
      </c>
      <c r="O487" s="91">
        <f t="shared" si="32"/>
        <v>0</v>
      </c>
    </row>
    <row r="488" spans="1:15" x14ac:dyDescent="0.3">
      <c r="A488" s="106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90"/>
      <c r="M488" s="90"/>
      <c r="N488" s="90">
        <f t="shared" si="31"/>
        <v>0</v>
      </c>
      <c r="O488" s="91">
        <f t="shared" si="32"/>
        <v>0</v>
      </c>
    </row>
    <row r="489" spans="1:15" x14ac:dyDescent="0.3">
      <c r="A489" s="106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90"/>
      <c r="M489" s="90"/>
      <c r="N489" s="90">
        <f t="shared" si="31"/>
        <v>0</v>
      </c>
      <c r="O489" s="91">
        <f t="shared" si="32"/>
        <v>0</v>
      </c>
    </row>
    <row r="490" spans="1:15" x14ac:dyDescent="0.3">
      <c r="A490" s="106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90"/>
      <c r="M490" s="90"/>
      <c r="N490" s="90">
        <f t="shared" si="31"/>
        <v>0</v>
      </c>
      <c r="O490" s="91">
        <f t="shared" si="32"/>
        <v>0</v>
      </c>
    </row>
    <row r="491" spans="1:15" x14ac:dyDescent="0.3">
      <c r="A491" s="106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90"/>
      <c r="M491" s="90"/>
      <c r="N491" s="90">
        <f t="shared" si="31"/>
        <v>0</v>
      </c>
      <c r="O491" s="91">
        <f t="shared" si="32"/>
        <v>0</v>
      </c>
    </row>
    <row r="492" spans="1:15" x14ac:dyDescent="0.3">
      <c r="A492" s="106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90"/>
      <c r="M492" s="90"/>
      <c r="N492" s="90">
        <f t="shared" si="31"/>
        <v>0</v>
      </c>
      <c r="O492" s="91">
        <f t="shared" si="32"/>
        <v>0</v>
      </c>
    </row>
    <row r="493" spans="1:15" x14ac:dyDescent="0.3">
      <c r="A493" s="106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90"/>
      <c r="M493" s="90"/>
      <c r="N493" s="90">
        <f t="shared" si="31"/>
        <v>0</v>
      </c>
      <c r="O493" s="91">
        <f t="shared" si="32"/>
        <v>0</v>
      </c>
    </row>
    <row r="494" spans="1:15" x14ac:dyDescent="0.3">
      <c r="A494" s="106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90"/>
      <c r="M494" s="90"/>
      <c r="N494" s="90">
        <f t="shared" si="31"/>
        <v>0</v>
      </c>
      <c r="O494" s="91">
        <f t="shared" si="32"/>
        <v>0</v>
      </c>
    </row>
    <row r="495" spans="1:15" x14ac:dyDescent="0.3">
      <c r="A495" s="106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90"/>
      <c r="M495" s="90"/>
      <c r="N495" s="90">
        <f t="shared" si="31"/>
        <v>0</v>
      </c>
      <c r="O495" s="91">
        <f t="shared" si="32"/>
        <v>0</v>
      </c>
    </row>
    <row r="496" spans="1:15" x14ac:dyDescent="0.3">
      <c r="A496" s="106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90"/>
      <c r="M496" s="90"/>
      <c r="N496" s="90">
        <f t="shared" si="31"/>
        <v>0</v>
      </c>
      <c r="O496" s="91">
        <f t="shared" si="32"/>
        <v>0</v>
      </c>
    </row>
    <row r="497" spans="1:15" x14ac:dyDescent="0.3">
      <c r="A497" s="106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90"/>
      <c r="M497" s="90"/>
      <c r="N497" s="90">
        <f t="shared" si="31"/>
        <v>0</v>
      </c>
      <c r="O497" s="91">
        <f t="shared" si="32"/>
        <v>0</v>
      </c>
    </row>
    <row r="498" spans="1:15" x14ac:dyDescent="0.3">
      <c r="A498" s="106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90"/>
      <c r="M498" s="90"/>
      <c r="N498" s="90">
        <f t="shared" si="31"/>
        <v>0</v>
      </c>
      <c r="O498" s="91">
        <f t="shared" si="32"/>
        <v>0</v>
      </c>
    </row>
    <row r="499" spans="1:15" x14ac:dyDescent="0.3">
      <c r="A499" s="106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90"/>
      <c r="M499" s="90"/>
      <c r="N499" s="90">
        <f t="shared" si="31"/>
        <v>0</v>
      </c>
      <c r="O499" s="91">
        <f t="shared" si="32"/>
        <v>0</v>
      </c>
    </row>
    <row r="500" spans="1:15" x14ac:dyDescent="0.3">
      <c r="A500" s="106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90"/>
      <c r="M500" s="90"/>
      <c r="N500" s="90">
        <f t="shared" si="31"/>
        <v>0</v>
      </c>
      <c r="O500" s="91">
        <f t="shared" si="32"/>
        <v>0</v>
      </c>
    </row>
    <row r="501" spans="1:15" x14ac:dyDescent="0.3">
      <c r="A501" s="108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90">
        <f t="shared" si="31"/>
        <v>0</v>
      </c>
      <c r="O501" s="91">
        <f t="shared" si="32"/>
        <v>0</v>
      </c>
    </row>
    <row r="502" spans="1:15" ht="14.4" customHeight="1" x14ac:dyDescent="0.3">
      <c r="A502" s="108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90">
        <f t="shared" si="31"/>
        <v>0</v>
      </c>
      <c r="O502" s="91">
        <f t="shared" si="32"/>
        <v>0</v>
      </c>
    </row>
    <row r="503" spans="1:15" ht="14.4" customHeight="1" x14ac:dyDescent="0.3">
      <c r="A503" s="108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90">
        <f t="shared" si="31"/>
        <v>0</v>
      </c>
      <c r="O503" s="91">
        <f t="shared" si="32"/>
        <v>0</v>
      </c>
    </row>
    <row r="504" spans="1:15" ht="14.4" customHeight="1" x14ac:dyDescent="0.3">
      <c r="A504" s="108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90">
        <f t="shared" si="31"/>
        <v>0</v>
      </c>
      <c r="O504" s="91">
        <f t="shared" si="32"/>
        <v>0</v>
      </c>
    </row>
    <row r="505" spans="1:15" ht="14.4" customHeight="1" x14ac:dyDescent="0.3">
      <c r="A505" s="108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90">
        <f t="shared" si="31"/>
        <v>0</v>
      </c>
      <c r="O505" s="91">
        <f t="shared" si="32"/>
        <v>0</v>
      </c>
    </row>
    <row r="506" spans="1:15" ht="14.4" customHeight="1" x14ac:dyDescent="0.3">
      <c r="A506" s="108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90">
        <f t="shared" si="31"/>
        <v>0</v>
      </c>
      <c r="O506" s="91">
        <f t="shared" si="32"/>
        <v>0</v>
      </c>
    </row>
    <row r="507" spans="1:15" ht="14.4" customHeight="1" x14ac:dyDescent="0.3">
      <c r="A507" s="108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90">
        <f t="shared" si="31"/>
        <v>0</v>
      </c>
      <c r="O507" s="91">
        <f t="shared" si="32"/>
        <v>0</v>
      </c>
    </row>
    <row r="508" spans="1:15" x14ac:dyDescent="0.3">
      <c r="A508" s="106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95"/>
      <c r="M508" s="95"/>
      <c r="N508" s="90">
        <f t="shared" si="31"/>
        <v>0</v>
      </c>
      <c r="O508" s="91">
        <f t="shared" si="32"/>
        <v>0</v>
      </c>
    </row>
    <row r="509" spans="1:15" x14ac:dyDescent="0.3">
      <c r="A509" s="106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90"/>
      <c r="M509" s="90"/>
      <c r="N509" s="90">
        <f t="shared" si="31"/>
        <v>0</v>
      </c>
      <c r="O509" s="91">
        <f t="shared" si="32"/>
        <v>0</v>
      </c>
    </row>
    <row r="510" spans="1:15" x14ac:dyDescent="0.3">
      <c r="A510" s="106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90"/>
      <c r="M510" s="90"/>
      <c r="N510" s="90">
        <f t="shared" si="31"/>
        <v>0</v>
      </c>
      <c r="O510" s="91">
        <f t="shared" si="32"/>
        <v>0</v>
      </c>
    </row>
    <row r="511" spans="1:15" x14ac:dyDescent="0.3">
      <c r="A511" s="106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90"/>
      <c r="M511" s="90"/>
      <c r="N511" s="90">
        <f t="shared" si="31"/>
        <v>0</v>
      </c>
      <c r="O511" s="91">
        <f t="shared" si="32"/>
        <v>0</v>
      </c>
    </row>
    <row r="512" spans="1:15" x14ac:dyDescent="0.3">
      <c r="A512" s="106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90"/>
      <c r="M512" s="90"/>
      <c r="N512" s="90">
        <f t="shared" si="31"/>
        <v>0</v>
      </c>
      <c r="O512" s="91">
        <f t="shared" si="32"/>
        <v>0</v>
      </c>
    </row>
    <row r="513" spans="1:15" x14ac:dyDescent="0.3">
      <c r="A513" s="106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90"/>
      <c r="M513" s="90"/>
      <c r="N513" s="90">
        <f t="shared" si="31"/>
        <v>0</v>
      </c>
      <c r="O513" s="91">
        <f t="shared" si="32"/>
        <v>0</v>
      </c>
    </row>
    <row r="514" spans="1:15" x14ac:dyDescent="0.3">
      <c r="A514" s="106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90"/>
      <c r="M514" s="90"/>
      <c r="N514" s="90">
        <f t="shared" si="31"/>
        <v>0</v>
      </c>
      <c r="O514" s="91">
        <f t="shared" si="32"/>
        <v>0</v>
      </c>
    </row>
    <row r="515" spans="1:15" x14ac:dyDescent="0.3">
      <c r="A515" s="106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90"/>
      <c r="M515" s="90"/>
      <c r="N515" s="90">
        <f t="shared" si="31"/>
        <v>0</v>
      </c>
      <c r="O515" s="91">
        <f t="shared" si="32"/>
        <v>0</v>
      </c>
    </row>
    <row r="516" spans="1:15" x14ac:dyDescent="0.3">
      <c r="A516" s="107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2"/>
      <c r="M516" s="92"/>
      <c r="N516" s="92">
        <f t="shared" si="31"/>
        <v>0</v>
      </c>
      <c r="O516" s="94">
        <f t="shared" si="32"/>
        <v>0</v>
      </c>
    </row>
    <row r="517" spans="1:15" x14ac:dyDescent="0.3">
      <c r="A517" s="106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90"/>
      <c r="M517" s="90"/>
      <c r="N517" s="90">
        <f t="shared" si="31"/>
        <v>0</v>
      </c>
      <c r="O517" s="91">
        <f t="shared" si="32"/>
        <v>0</v>
      </c>
    </row>
    <row r="518" spans="1:15" x14ac:dyDescent="0.3">
      <c r="A518" s="106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90"/>
      <c r="M518" s="90"/>
      <c r="N518" s="90">
        <f t="shared" si="31"/>
        <v>0</v>
      </c>
      <c r="O518" s="91">
        <f t="shared" si="32"/>
        <v>0</v>
      </c>
    </row>
    <row r="519" spans="1:15" x14ac:dyDescent="0.3">
      <c r="A519" s="106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90"/>
      <c r="M519" s="90"/>
      <c r="N519" s="90">
        <f t="shared" si="31"/>
        <v>0</v>
      </c>
      <c r="O519" s="91">
        <f t="shared" si="32"/>
        <v>0</v>
      </c>
    </row>
    <row r="520" spans="1:15" x14ac:dyDescent="0.3">
      <c r="A520" s="106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90"/>
      <c r="M520" s="90"/>
      <c r="N520" s="90">
        <f t="shared" si="31"/>
        <v>0</v>
      </c>
      <c r="O520" s="91">
        <f t="shared" si="32"/>
        <v>0</v>
      </c>
    </row>
    <row r="521" spans="1:15" x14ac:dyDescent="0.3">
      <c r="A521" s="106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90"/>
      <c r="M521" s="90"/>
      <c r="N521" s="90">
        <f t="shared" si="31"/>
        <v>0</v>
      </c>
      <c r="O521" s="91">
        <f t="shared" si="32"/>
        <v>0</v>
      </c>
    </row>
    <row r="522" spans="1:15" x14ac:dyDescent="0.3">
      <c r="A522" s="106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90"/>
      <c r="M522" s="90"/>
      <c r="N522" s="90">
        <f t="shared" si="31"/>
        <v>0</v>
      </c>
      <c r="O522" s="91">
        <f t="shared" si="32"/>
        <v>0</v>
      </c>
    </row>
    <row r="523" spans="1:15" x14ac:dyDescent="0.3">
      <c r="A523" s="106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90"/>
      <c r="M523" s="90"/>
      <c r="N523" s="90">
        <f t="shared" si="31"/>
        <v>0</v>
      </c>
      <c r="O523" s="91">
        <f t="shared" si="32"/>
        <v>0</v>
      </c>
    </row>
    <row r="524" spans="1:15" x14ac:dyDescent="0.3">
      <c r="A524" s="106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90"/>
      <c r="M524" s="90"/>
      <c r="N524" s="90">
        <f t="shared" si="31"/>
        <v>0</v>
      </c>
      <c r="O524" s="91">
        <f t="shared" si="32"/>
        <v>0</v>
      </c>
    </row>
    <row r="525" spans="1:15" x14ac:dyDescent="0.3">
      <c r="A525" s="106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90"/>
      <c r="M525" s="90"/>
      <c r="N525" s="90">
        <f t="shared" si="31"/>
        <v>0</v>
      </c>
      <c r="O525" s="91">
        <f t="shared" si="32"/>
        <v>0</v>
      </c>
    </row>
    <row r="526" spans="1:15" x14ac:dyDescent="0.3">
      <c r="A526" s="107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2"/>
      <c r="M526" s="92"/>
      <c r="N526" s="92">
        <f t="shared" si="31"/>
        <v>0</v>
      </c>
      <c r="O526" s="94">
        <f t="shared" si="32"/>
        <v>0</v>
      </c>
    </row>
    <row r="527" spans="1:15" x14ac:dyDescent="0.3">
      <c r="A527" s="106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90"/>
      <c r="M527" s="90"/>
      <c r="N527" s="90">
        <f t="shared" si="31"/>
        <v>0</v>
      </c>
      <c r="O527" s="91">
        <f t="shared" si="32"/>
        <v>0</v>
      </c>
    </row>
    <row r="528" spans="1:15" x14ac:dyDescent="0.3">
      <c r="A528" s="106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90"/>
      <c r="M528" s="90"/>
      <c r="N528" s="90">
        <f t="shared" si="31"/>
        <v>0</v>
      </c>
      <c r="O528" s="91">
        <f t="shared" si="32"/>
        <v>0</v>
      </c>
    </row>
    <row r="529" spans="1:15" x14ac:dyDescent="0.3">
      <c r="A529" s="106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90"/>
      <c r="M529" s="90"/>
      <c r="N529" s="90">
        <f t="shared" si="31"/>
        <v>0</v>
      </c>
      <c r="O529" s="91">
        <f t="shared" si="32"/>
        <v>0</v>
      </c>
    </row>
    <row r="530" spans="1:15" x14ac:dyDescent="0.3">
      <c r="A530" s="106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90"/>
      <c r="M530" s="90"/>
      <c r="N530" s="90">
        <f t="shared" si="31"/>
        <v>0</v>
      </c>
      <c r="O530" s="91">
        <f t="shared" si="32"/>
        <v>0</v>
      </c>
    </row>
    <row r="531" spans="1:15" x14ac:dyDescent="0.3">
      <c r="A531" s="106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90"/>
      <c r="M531" s="90"/>
      <c r="N531" s="90">
        <f t="shared" si="31"/>
        <v>0</v>
      </c>
      <c r="O531" s="91">
        <f t="shared" si="32"/>
        <v>0</v>
      </c>
    </row>
    <row r="532" spans="1:15" x14ac:dyDescent="0.3">
      <c r="A532" s="106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90"/>
      <c r="M532" s="90"/>
      <c r="N532" s="90">
        <f t="shared" si="31"/>
        <v>0</v>
      </c>
      <c r="O532" s="91">
        <f t="shared" si="32"/>
        <v>0</v>
      </c>
    </row>
    <row r="533" spans="1:15" x14ac:dyDescent="0.3">
      <c r="A533" s="106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90"/>
      <c r="M533" s="90"/>
      <c r="N533" s="90">
        <f t="shared" si="31"/>
        <v>0</v>
      </c>
      <c r="O533" s="91">
        <f t="shared" si="32"/>
        <v>0</v>
      </c>
    </row>
    <row r="534" spans="1:15" x14ac:dyDescent="0.3">
      <c r="A534" s="106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90"/>
      <c r="M534" s="90"/>
      <c r="N534" s="90">
        <f t="shared" si="31"/>
        <v>0</v>
      </c>
      <c r="O534" s="91">
        <f t="shared" si="32"/>
        <v>0</v>
      </c>
    </row>
    <row r="535" spans="1:15" x14ac:dyDescent="0.3">
      <c r="A535" s="106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90"/>
      <c r="M535" s="90"/>
      <c r="N535" s="90">
        <f t="shared" si="31"/>
        <v>0</v>
      </c>
      <c r="O535" s="91">
        <f t="shared" si="32"/>
        <v>0</v>
      </c>
    </row>
    <row r="536" spans="1:15" x14ac:dyDescent="0.3">
      <c r="A536" s="106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90"/>
      <c r="M536" s="90"/>
      <c r="N536" s="90">
        <f t="shared" si="31"/>
        <v>0</v>
      </c>
      <c r="O536" s="91">
        <f t="shared" si="32"/>
        <v>0</v>
      </c>
    </row>
    <row r="537" spans="1:15" x14ac:dyDescent="0.3">
      <c r="A537" s="106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90"/>
      <c r="M537" s="90"/>
      <c r="N537" s="90">
        <f t="shared" ref="N537:N600" si="33">+L537-M537</f>
        <v>0</v>
      </c>
      <c r="O537" s="91">
        <f t="shared" si="32"/>
        <v>0</v>
      </c>
    </row>
    <row r="538" spans="1:15" x14ac:dyDescent="0.3">
      <c r="A538" s="106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90"/>
      <c r="M538" s="90"/>
      <c r="N538" s="90">
        <f t="shared" si="33"/>
        <v>0</v>
      </c>
      <c r="O538" s="91">
        <f t="shared" ref="O538:O601" si="34">IFERROR(IF(7&lt;&gt;0, M538*100/L538, IF(L538=M538, M538*100/L538, 0)), 0)</f>
        <v>0</v>
      </c>
    </row>
    <row r="539" spans="1:15" x14ac:dyDescent="0.3">
      <c r="A539" s="106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90"/>
      <c r="M539" s="90"/>
      <c r="N539" s="90">
        <f t="shared" si="33"/>
        <v>0</v>
      </c>
      <c r="O539" s="91">
        <f t="shared" si="34"/>
        <v>0</v>
      </c>
    </row>
    <row r="540" spans="1:15" x14ac:dyDescent="0.3">
      <c r="A540" s="106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90"/>
      <c r="M540" s="90"/>
      <c r="N540" s="90">
        <f t="shared" si="33"/>
        <v>0</v>
      </c>
      <c r="O540" s="91">
        <f t="shared" si="34"/>
        <v>0</v>
      </c>
    </row>
    <row r="541" spans="1:15" x14ac:dyDescent="0.3">
      <c r="A541" s="106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90"/>
      <c r="M541" s="90"/>
      <c r="N541" s="90">
        <f t="shared" si="33"/>
        <v>0</v>
      </c>
      <c r="O541" s="91">
        <f t="shared" si="34"/>
        <v>0</v>
      </c>
    </row>
    <row r="542" spans="1:15" x14ac:dyDescent="0.3">
      <c r="A542" s="106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90"/>
      <c r="M542" s="90"/>
      <c r="N542" s="90">
        <f t="shared" si="33"/>
        <v>0</v>
      </c>
      <c r="O542" s="91">
        <f t="shared" si="34"/>
        <v>0</v>
      </c>
    </row>
    <row r="543" spans="1:15" x14ac:dyDescent="0.3">
      <c r="A543" s="106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90"/>
      <c r="M543" s="90"/>
      <c r="N543" s="90">
        <f t="shared" si="33"/>
        <v>0</v>
      </c>
      <c r="O543" s="91">
        <f t="shared" si="34"/>
        <v>0</v>
      </c>
    </row>
    <row r="544" spans="1:15" x14ac:dyDescent="0.3">
      <c r="A544" s="106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90"/>
      <c r="M544" s="90"/>
      <c r="N544" s="90">
        <f t="shared" si="33"/>
        <v>0</v>
      </c>
      <c r="O544" s="91">
        <f t="shared" si="34"/>
        <v>0</v>
      </c>
    </row>
    <row r="545" spans="1:15" x14ac:dyDescent="0.3">
      <c r="A545" s="106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90"/>
      <c r="M545" s="90"/>
      <c r="N545" s="90">
        <f t="shared" si="33"/>
        <v>0</v>
      </c>
      <c r="O545" s="91">
        <f t="shared" si="34"/>
        <v>0</v>
      </c>
    </row>
    <row r="546" spans="1:15" x14ac:dyDescent="0.3">
      <c r="A546" s="106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90"/>
      <c r="M546" s="90"/>
      <c r="N546" s="90">
        <f t="shared" si="33"/>
        <v>0</v>
      </c>
      <c r="O546" s="91">
        <f t="shared" si="34"/>
        <v>0</v>
      </c>
    </row>
    <row r="547" spans="1:15" x14ac:dyDescent="0.3">
      <c r="A547" s="106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90"/>
      <c r="M547" s="90"/>
      <c r="N547" s="90">
        <f t="shared" si="33"/>
        <v>0</v>
      </c>
      <c r="O547" s="91">
        <f t="shared" si="34"/>
        <v>0</v>
      </c>
    </row>
    <row r="548" spans="1:15" x14ac:dyDescent="0.3">
      <c r="A548" s="106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90"/>
      <c r="M548" s="90"/>
      <c r="N548" s="90">
        <f t="shared" si="33"/>
        <v>0</v>
      </c>
      <c r="O548" s="91">
        <f t="shared" si="34"/>
        <v>0</v>
      </c>
    </row>
    <row r="549" spans="1:15" x14ac:dyDescent="0.3">
      <c r="A549" s="108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90">
        <f t="shared" si="33"/>
        <v>0</v>
      </c>
      <c r="O549" s="91">
        <f t="shared" si="34"/>
        <v>0</v>
      </c>
    </row>
    <row r="550" spans="1:15" x14ac:dyDescent="0.3">
      <c r="A550" s="106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90"/>
      <c r="M550" s="90"/>
      <c r="N550" s="90">
        <f t="shared" si="33"/>
        <v>0</v>
      </c>
      <c r="O550" s="91">
        <f t="shared" si="34"/>
        <v>0</v>
      </c>
    </row>
    <row r="551" spans="1:15" x14ac:dyDescent="0.3">
      <c r="A551" s="106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90"/>
      <c r="M551" s="90"/>
      <c r="N551" s="90">
        <f t="shared" si="33"/>
        <v>0</v>
      </c>
      <c r="O551" s="91">
        <f t="shared" si="34"/>
        <v>0</v>
      </c>
    </row>
    <row r="552" spans="1:15" x14ac:dyDescent="0.3">
      <c r="A552" s="106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90"/>
      <c r="M552" s="90"/>
      <c r="N552" s="90">
        <f t="shared" si="33"/>
        <v>0</v>
      </c>
      <c r="O552" s="91">
        <f t="shared" si="34"/>
        <v>0</v>
      </c>
    </row>
    <row r="553" spans="1:15" x14ac:dyDescent="0.3">
      <c r="A553" s="106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90"/>
      <c r="M553" s="90"/>
      <c r="N553" s="90">
        <f t="shared" si="33"/>
        <v>0</v>
      </c>
      <c r="O553" s="91">
        <f t="shared" si="34"/>
        <v>0</v>
      </c>
    </row>
    <row r="554" spans="1:15" x14ac:dyDescent="0.3">
      <c r="A554" s="106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90"/>
      <c r="M554" s="90"/>
      <c r="N554" s="90">
        <f t="shared" si="33"/>
        <v>0</v>
      </c>
      <c r="O554" s="91">
        <f t="shared" si="34"/>
        <v>0</v>
      </c>
    </row>
    <row r="555" spans="1:15" x14ac:dyDescent="0.3">
      <c r="A555" s="106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90"/>
      <c r="M555" s="90"/>
      <c r="N555" s="90">
        <f t="shared" si="33"/>
        <v>0</v>
      </c>
      <c r="O555" s="91">
        <f t="shared" si="34"/>
        <v>0</v>
      </c>
    </row>
    <row r="556" spans="1:15" x14ac:dyDescent="0.3">
      <c r="A556" s="106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95"/>
      <c r="M556" s="95"/>
      <c r="N556" s="90">
        <f t="shared" si="33"/>
        <v>0</v>
      </c>
      <c r="O556" s="91">
        <f t="shared" si="34"/>
        <v>0</v>
      </c>
    </row>
    <row r="557" spans="1:15" x14ac:dyDescent="0.3">
      <c r="A557" s="106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90"/>
      <c r="M557" s="90"/>
      <c r="N557" s="90">
        <f t="shared" si="33"/>
        <v>0</v>
      </c>
      <c r="O557" s="91">
        <f t="shared" si="34"/>
        <v>0</v>
      </c>
    </row>
    <row r="558" spans="1:15" x14ac:dyDescent="0.3">
      <c r="A558" s="106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90"/>
      <c r="M558" s="90"/>
      <c r="N558" s="90">
        <f t="shared" si="33"/>
        <v>0</v>
      </c>
      <c r="O558" s="91">
        <f t="shared" si="34"/>
        <v>0</v>
      </c>
    </row>
    <row r="559" spans="1:15" x14ac:dyDescent="0.3">
      <c r="A559" s="106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90"/>
      <c r="M559" s="90"/>
      <c r="N559" s="90">
        <f t="shared" si="33"/>
        <v>0</v>
      </c>
      <c r="O559" s="91">
        <f t="shared" si="34"/>
        <v>0</v>
      </c>
    </row>
    <row r="560" spans="1:15" x14ac:dyDescent="0.3">
      <c r="A560" s="106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90"/>
      <c r="M560" s="90"/>
      <c r="N560" s="90">
        <f t="shared" si="33"/>
        <v>0</v>
      </c>
      <c r="O560" s="91">
        <f t="shared" si="34"/>
        <v>0</v>
      </c>
    </row>
    <row r="561" spans="1:15" x14ac:dyDescent="0.3">
      <c r="A561" s="106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90"/>
      <c r="M561" s="90"/>
      <c r="N561" s="90">
        <f t="shared" si="33"/>
        <v>0</v>
      </c>
      <c r="O561" s="91">
        <f t="shared" si="34"/>
        <v>0</v>
      </c>
    </row>
    <row r="562" spans="1:15" x14ac:dyDescent="0.3">
      <c r="A562" s="106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90"/>
      <c r="M562" s="90"/>
      <c r="N562" s="90">
        <f t="shared" si="33"/>
        <v>0</v>
      </c>
      <c r="O562" s="91">
        <f t="shared" si="34"/>
        <v>0</v>
      </c>
    </row>
    <row r="563" spans="1:15" x14ac:dyDescent="0.3">
      <c r="A563" s="106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90"/>
      <c r="M563" s="90"/>
      <c r="N563" s="90">
        <f t="shared" si="33"/>
        <v>0</v>
      </c>
      <c r="O563" s="91">
        <f t="shared" si="34"/>
        <v>0</v>
      </c>
    </row>
    <row r="564" spans="1:15" x14ac:dyDescent="0.3">
      <c r="A564" s="107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2"/>
      <c r="M564" s="92"/>
      <c r="N564" s="92">
        <f t="shared" si="33"/>
        <v>0</v>
      </c>
      <c r="O564" s="94">
        <f t="shared" si="34"/>
        <v>0</v>
      </c>
    </row>
    <row r="565" spans="1:15" x14ac:dyDescent="0.3">
      <c r="A565" s="106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90"/>
      <c r="M565" s="90"/>
      <c r="N565" s="90">
        <f t="shared" si="33"/>
        <v>0</v>
      </c>
      <c r="O565" s="91">
        <f t="shared" si="34"/>
        <v>0</v>
      </c>
    </row>
    <row r="566" spans="1:15" x14ac:dyDescent="0.3">
      <c r="A566" s="106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90"/>
      <c r="M566" s="90"/>
      <c r="N566" s="90">
        <f t="shared" si="33"/>
        <v>0</v>
      </c>
      <c r="O566" s="91">
        <f t="shared" si="34"/>
        <v>0</v>
      </c>
    </row>
    <row r="567" spans="1:15" x14ac:dyDescent="0.3">
      <c r="A567" s="106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90"/>
      <c r="M567" s="90"/>
      <c r="N567" s="90">
        <f t="shared" si="33"/>
        <v>0</v>
      </c>
      <c r="O567" s="91">
        <f t="shared" si="34"/>
        <v>0</v>
      </c>
    </row>
    <row r="568" spans="1:15" x14ac:dyDescent="0.3">
      <c r="A568" s="106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90"/>
      <c r="M568" s="90"/>
      <c r="N568" s="90">
        <f t="shared" si="33"/>
        <v>0</v>
      </c>
      <c r="O568" s="91">
        <f t="shared" si="34"/>
        <v>0</v>
      </c>
    </row>
    <row r="569" spans="1:15" x14ac:dyDescent="0.3">
      <c r="A569" s="106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90"/>
      <c r="M569" s="90"/>
      <c r="N569" s="90">
        <f t="shared" si="33"/>
        <v>0</v>
      </c>
      <c r="O569" s="91">
        <f t="shared" si="34"/>
        <v>0</v>
      </c>
    </row>
    <row r="570" spans="1:15" x14ac:dyDescent="0.3">
      <c r="A570" s="106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90"/>
      <c r="M570" s="90"/>
      <c r="N570" s="90">
        <f t="shared" si="33"/>
        <v>0</v>
      </c>
      <c r="O570" s="91">
        <f t="shared" si="34"/>
        <v>0</v>
      </c>
    </row>
    <row r="571" spans="1:15" x14ac:dyDescent="0.3">
      <c r="A571" s="106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90"/>
      <c r="M571" s="90"/>
      <c r="N571" s="90">
        <f t="shared" si="33"/>
        <v>0</v>
      </c>
      <c r="O571" s="91">
        <f t="shared" si="34"/>
        <v>0</v>
      </c>
    </row>
    <row r="572" spans="1:15" x14ac:dyDescent="0.3">
      <c r="A572" s="106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90"/>
      <c r="M572" s="90"/>
      <c r="N572" s="90">
        <f t="shared" si="33"/>
        <v>0</v>
      </c>
      <c r="O572" s="91">
        <f t="shared" si="34"/>
        <v>0</v>
      </c>
    </row>
    <row r="573" spans="1:15" x14ac:dyDescent="0.3">
      <c r="A573" s="106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90"/>
      <c r="M573" s="90"/>
      <c r="N573" s="90">
        <f t="shared" si="33"/>
        <v>0</v>
      </c>
      <c r="O573" s="91">
        <f t="shared" si="34"/>
        <v>0</v>
      </c>
    </row>
    <row r="574" spans="1:15" x14ac:dyDescent="0.3">
      <c r="A574" s="107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2"/>
      <c r="M574" s="92"/>
      <c r="N574" s="92">
        <f t="shared" si="33"/>
        <v>0</v>
      </c>
      <c r="O574" s="94">
        <f t="shared" si="34"/>
        <v>0</v>
      </c>
    </row>
    <row r="575" spans="1:15" x14ac:dyDescent="0.3">
      <c r="A575" s="106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90"/>
      <c r="M575" s="90"/>
      <c r="N575" s="90">
        <f t="shared" si="33"/>
        <v>0</v>
      </c>
      <c r="O575" s="91">
        <f t="shared" si="34"/>
        <v>0</v>
      </c>
    </row>
    <row r="576" spans="1:15" x14ac:dyDescent="0.3">
      <c r="A576" s="106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90"/>
      <c r="M576" s="90"/>
      <c r="N576" s="90">
        <f t="shared" si="33"/>
        <v>0</v>
      </c>
      <c r="O576" s="91">
        <f t="shared" si="34"/>
        <v>0</v>
      </c>
    </row>
    <row r="577" spans="1:15" x14ac:dyDescent="0.3">
      <c r="A577" s="106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90"/>
      <c r="M577" s="90"/>
      <c r="N577" s="90">
        <f t="shared" si="33"/>
        <v>0</v>
      </c>
      <c r="O577" s="91">
        <f t="shared" si="34"/>
        <v>0</v>
      </c>
    </row>
    <row r="578" spans="1:15" x14ac:dyDescent="0.3">
      <c r="A578" s="106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90"/>
      <c r="M578" s="90"/>
      <c r="N578" s="90">
        <f t="shared" si="33"/>
        <v>0</v>
      </c>
      <c r="O578" s="91">
        <f t="shared" si="34"/>
        <v>0</v>
      </c>
    </row>
    <row r="579" spans="1:15" x14ac:dyDescent="0.3">
      <c r="A579" s="106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90"/>
      <c r="M579" s="90"/>
      <c r="N579" s="90">
        <f t="shared" si="33"/>
        <v>0</v>
      </c>
      <c r="O579" s="91">
        <f t="shared" si="34"/>
        <v>0</v>
      </c>
    </row>
    <row r="580" spans="1:15" x14ac:dyDescent="0.3">
      <c r="A580" s="106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90"/>
      <c r="M580" s="90"/>
      <c r="N580" s="90">
        <f t="shared" si="33"/>
        <v>0</v>
      </c>
      <c r="O580" s="91">
        <f t="shared" si="34"/>
        <v>0</v>
      </c>
    </row>
    <row r="581" spans="1:15" x14ac:dyDescent="0.3">
      <c r="A581" s="106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90"/>
      <c r="M581" s="90"/>
      <c r="N581" s="90">
        <f t="shared" si="33"/>
        <v>0</v>
      </c>
      <c r="O581" s="91">
        <f t="shared" si="34"/>
        <v>0</v>
      </c>
    </row>
    <row r="582" spans="1:15" x14ac:dyDescent="0.3">
      <c r="A582" s="106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90"/>
      <c r="M582" s="90"/>
      <c r="N582" s="90">
        <f t="shared" si="33"/>
        <v>0</v>
      </c>
      <c r="O582" s="91">
        <f t="shared" si="34"/>
        <v>0</v>
      </c>
    </row>
    <row r="583" spans="1:15" x14ac:dyDescent="0.3">
      <c r="A583" s="106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90"/>
      <c r="M583" s="90"/>
      <c r="N583" s="90">
        <f t="shared" si="33"/>
        <v>0</v>
      </c>
      <c r="O583" s="91">
        <f t="shared" si="34"/>
        <v>0</v>
      </c>
    </row>
    <row r="584" spans="1:15" x14ac:dyDescent="0.3">
      <c r="A584" s="106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90"/>
      <c r="M584" s="90"/>
      <c r="N584" s="90">
        <f t="shared" si="33"/>
        <v>0</v>
      </c>
      <c r="O584" s="91">
        <f t="shared" si="34"/>
        <v>0</v>
      </c>
    </row>
    <row r="585" spans="1:15" x14ac:dyDescent="0.3">
      <c r="A585" s="106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90"/>
      <c r="M585" s="90"/>
      <c r="N585" s="90">
        <f t="shared" si="33"/>
        <v>0</v>
      </c>
      <c r="O585" s="91">
        <f t="shared" si="34"/>
        <v>0</v>
      </c>
    </row>
    <row r="586" spans="1:15" x14ac:dyDescent="0.3">
      <c r="A586" s="106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90"/>
      <c r="M586" s="90"/>
      <c r="N586" s="90">
        <f t="shared" si="33"/>
        <v>0</v>
      </c>
      <c r="O586" s="91">
        <f t="shared" si="34"/>
        <v>0</v>
      </c>
    </row>
    <row r="587" spans="1:15" x14ac:dyDescent="0.3">
      <c r="A587" s="106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90"/>
      <c r="M587" s="90"/>
      <c r="N587" s="90">
        <f t="shared" si="33"/>
        <v>0</v>
      </c>
      <c r="O587" s="91">
        <f t="shared" si="34"/>
        <v>0</v>
      </c>
    </row>
    <row r="588" spans="1:15" x14ac:dyDescent="0.3">
      <c r="A588" s="106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90"/>
      <c r="M588" s="90"/>
      <c r="N588" s="90">
        <f t="shared" si="33"/>
        <v>0</v>
      </c>
      <c r="O588" s="91">
        <f t="shared" si="34"/>
        <v>0</v>
      </c>
    </row>
    <row r="589" spans="1:15" x14ac:dyDescent="0.3">
      <c r="A589" s="106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90"/>
      <c r="M589" s="90"/>
      <c r="N589" s="90">
        <f t="shared" si="33"/>
        <v>0</v>
      </c>
      <c r="O589" s="91">
        <f t="shared" si="34"/>
        <v>0</v>
      </c>
    </row>
    <row r="590" spans="1:15" x14ac:dyDescent="0.3">
      <c r="A590" s="106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90"/>
      <c r="M590" s="90"/>
      <c r="N590" s="90">
        <f t="shared" si="33"/>
        <v>0</v>
      </c>
      <c r="O590" s="91">
        <f t="shared" si="34"/>
        <v>0</v>
      </c>
    </row>
    <row r="591" spans="1:15" x14ac:dyDescent="0.3">
      <c r="A591" s="106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90"/>
      <c r="M591" s="90"/>
      <c r="N591" s="90">
        <f t="shared" si="33"/>
        <v>0</v>
      </c>
      <c r="O591" s="91">
        <f t="shared" si="34"/>
        <v>0</v>
      </c>
    </row>
    <row r="592" spans="1:15" x14ac:dyDescent="0.3">
      <c r="A592" s="106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90"/>
      <c r="M592" s="90"/>
      <c r="N592" s="90">
        <f t="shared" si="33"/>
        <v>0</v>
      </c>
      <c r="O592" s="91">
        <f t="shared" si="34"/>
        <v>0</v>
      </c>
    </row>
    <row r="593" spans="1:15" x14ac:dyDescent="0.3">
      <c r="A593" s="106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90"/>
      <c r="M593" s="90"/>
      <c r="N593" s="90">
        <f t="shared" si="33"/>
        <v>0</v>
      </c>
      <c r="O593" s="91">
        <f t="shared" si="34"/>
        <v>0</v>
      </c>
    </row>
    <row r="594" spans="1:15" x14ac:dyDescent="0.3">
      <c r="A594" s="106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90"/>
      <c r="M594" s="90"/>
      <c r="N594" s="90">
        <f t="shared" si="33"/>
        <v>0</v>
      </c>
      <c r="O594" s="91">
        <f t="shared" si="34"/>
        <v>0</v>
      </c>
    </row>
    <row r="595" spans="1:15" x14ac:dyDescent="0.3">
      <c r="A595" s="106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90"/>
      <c r="M595" s="90"/>
      <c r="N595" s="90">
        <f t="shared" si="33"/>
        <v>0</v>
      </c>
      <c r="O595" s="91">
        <f t="shared" si="34"/>
        <v>0</v>
      </c>
    </row>
    <row r="596" spans="1:15" x14ac:dyDescent="0.3">
      <c r="A596" s="106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90"/>
      <c r="M596" s="90"/>
      <c r="N596" s="90">
        <f t="shared" si="33"/>
        <v>0</v>
      </c>
      <c r="O596" s="91">
        <f t="shared" si="34"/>
        <v>0</v>
      </c>
    </row>
    <row r="597" spans="1:15" x14ac:dyDescent="0.3">
      <c r="A597" s="108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90">
        <f t="shared" si="33"/>
        <v>0</v>
      </c>
      <c r="O597" s="91">
        <f t="shared" si="34"/>
        <v>0</v>
      </c>
    </row>
    <row r="598" spans="1:15" x14ac:dyDescent="0.3">
      <c r="A598" s="106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90"/>
      <c r="M598" s="90"/>
      <c r="N598" s="90">
        <f t="shared" si="33"/>
        <v>0</v>
      </c>
      <c r="O598" s="91">
        <f t="shared" si="34"/>
        <v>0</v>
      </c>
    </row>
    <row r="599" spans="1:15" x14ac:dyDescent="0.3">
      <c r="A599" s="106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90"/>
      <c r="M599" s="90"/>
      <c r="N599" s="90">
        <f t="shared" si="33"/>
        <v>0</v>
      </c>
      <c r="O599" s="91">
        <f t="shared" si="34"/>
        <v>0</v>
      </c>
    </row>
    <row r="600" spans="1:15" x14ac:dyDescent="0.3">
      <c r="A600" s="106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90"/>
      <c r="M600" s="90"/>
      <c r="N600" s="90">
        <f t="shared" si="33"/>
        <v>0</v>
      </c>
      <c r="O600" s="91">
        <f t="shared" si="34"/>
        <v>0</v>
      </c>
    </row>
    <row r="601" spans="1:15" x14ac:dyDescent="0.3">
      <c r="A601" s="106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90"/>
      <c r="M601" s="90"/>
      <c r="N601" s="90">
        <f t="shared" ref="N601:N664" si="35">+L601-M601</f>
        <v>0</v>
      </c>
      <c r="O601" s="91">
        <f t="shared" si="34"/>
        <v>0</v>
      </c>
    </row>
    <row r="602" spans="1:15" x14ac:dyDescent="0.3">
      <c r="A602" s="106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90"/>
      <c r="M602" s="90"/>
      <c r="N602" s="90">
        <f t="shared" si="35"/>
        <v>0</v>
      </c>
      <c r="O602" s="91">
        <f t="shared" ref="O602:O665" si="36">IFERROR(IF(7&lt;&gt;0, M602*100/L602, IF(L602=M602, M602*100/L602, 0)), 0)</f>
        <v>0</v>
      </c>
    </row>
    <row r="603" spans="1:15" x14ac:dyDescent="0.3">
      <c r="A603" s="106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90"/>
      <c r="M603" s="90"/>
      <c r="N603" s="90">
        <f t="shared" si="35"/>
        <v>0</v>
      </c>
      <c r="O603" s="91">
        <f t="shared" si="36"/>
        <v>0</v>
      </c>
    </row>
    <row r="604" spans="1:15" x14ac:dyDescent="0.3">
      <c r="A604" s="106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95"/>
      <c r="M604" s="95"/>
      <c r="N604" s="90">
        <f t="shared" si="35"/>
        <v>0</v>
      </c>
      <c r="O604" s="91">
        <f t="shared" si="36"/>
        <v>0</v>
      </c>
    </row>
    <row r="605" spans="1:15" x14ac:dyDescent="0.3">
      <c r="A605" s="106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90"/>
      <c r="M605" s="90"/>
      <c r="N605" s="90">
        <f t="shared" si="35"/>
        <v>0</v>
      </c>
      <c r="O605" s="91">
        <f t="shared" si="36"/>
        <v>0</v>
      </c>
    </row>
    <row r="606" spans="1:15" x14ac:dyDescent="0.3">
      <c r="A606" s="106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90"/>
      <c r="M606" s="90"/>
      <c r="N606" s="90">
        <f t="shared" si="35"/>
        <v>0</v>
      </c>
      <c r="O606" s="91">
        <f t="shared" si="36"/>
        <v>0</v>
      </c>
    </row>
    <row r="607" spans="1:15" x14ac:dyDescent="0.3">
      <c r="A607" s="106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90"/>
      <c r="M607" s="90"/>
      <c r="N607" s="90">
        <f t="shared" si="35"/>
        <v>0</v>
      </c>
      <c r="O607" s="91">
        <f t="shared" si="36"/>
        <v>0</v>
      </c>
    </row>
    <row r="608" spans="1:15" x14ac:dyDescent="0.3">
      <c r="A608" s="106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90"/>
      <c r="M608" s="90"/>
      <c r="N608" s="90">
        <f t="shared" si="35"/>
        <v>0</v>
      </c>
      <c r="O608" s="91">
        <f t="shared" si="36"/>
        <v>0</v>
      </c>
    </row>
    <row r="609" spans="1:15" x14ac:dyDescent="0.3">
      <c r="A609" s="106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90"/>
      <c r="M609" s="90"/>
      <c r="N609" s="90">
        <f t="shared" si="35"/>
        <v>0</v>
      </c>
      <c r="O609" s="91">
        <f t="shared" si="36"/>
        <v>0</v>
      </c>
    </row>
    <row r="610" spans="1:15" x14ac:dyDescent="0.3">
      <c r="A610" s="106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90"/>
      <c r="M610" s="90"/>
      <c r="N610" s="90">
        <f t="shared" si="35"/>
        <v>0</v>
      </c>
      <c r="O610" s="91">
        <f t="shared" si="36"/>
        <v>0</v>
      </c>
    </row>
    <row r="611" spans="1:15" x14ac:dyDescent="0.3">
      <c r="A611" s="106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90"/>
      <c r="M611" s="90"/>
      <c r="N611" s="90">
        <f t="shared" si="35"/>
        <v>0</v>
      </c>
      <c r="O611" s="91">
        <f t="shared" si="36"/>
        <v>0</v>
      </c>
    </row>
    <row r="612" spans="1:15" x14ac:dyDescent="0.3">
      <c r="A612" s="107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2"/>
      <c r="M612" s="92"/>
      <c r="N612" s="92">
        <f t="shared" si="35"/>
        <v>0</v>
      </c>
      <c r="O612" s="94">
        <f t="shared" si="36"/>
        <v>0</v>
      </c>
    </row>
    <row r="613" spans="1:15" x14ac:dyDescent="0.3">
      <c r="A613" s="106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90"/>
      <c r="M613" s="90"/>
      <c r="N613" s="90">
        <f t="shared" si="35"/>
        <v>0</v>
      </c>
      <c r="O613" s="91">
        <f t="shared" si="36"/>
        <v>0</v>
      </c>
    </row>
    <row r="614" spans="1:15" x14ac:dyDescent="0.3">
      <c r="A614" s="106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90"/>
      <c r="M614" s="90"/>
      <c r="N614" s="90">
        <f t="shared" si="35"/>
        <v>0</v>
      </c>
      <c r="O614" s="91">
        <f t="shared" si="36"/>
        <v>0</v>
      </c>
    </row>
    <row r="615" spans="1:15" x14ac:dyDescent="0.3">
      <c r="A615" s="106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90"/>
      <c r="M615" s="90"/>
      <c r="N615" s="90">
        <f t="shared" si="35"/>
        <v>0</v>
      </c>
      <c r="O615" s="91">
        <f t="shared" si="36"/>
        <v>0</v>
      </c>
    </row>
    <row r="616" spans="1:15" x14ac:dyDescent="0.3">
      <c r="A616" s="106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90"/>
      <c r="M616" s="90"/>
      <c r="N616" s="90">
        <f t="shared" si="35"/>
        <v>0</v>
      </c>
      <c r="O616" s="91">
        <f t="shared" si="36"/>
        <v>0</v>
      </c>
    </row>
    <row r="617" spans="1:15" x14ac:dyDescent="0.3">
      <c r="A617" s="106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90"/>
      <c r="M617" s="90"/>
      <c r="N617" s="90">
        <f t="shared" si="35"/>
        <v>0</v>
      </c>
      <c r="O617" s="91">
        <f t="shared" si="36"/>
        <v>0</v>
      </c>
    </row>
    <row r="618" spans="1:15" x14ac:dyDescent="0.3">
      <c r="A618" s="106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90"/>
      <c r="M618" s="90"/>
      <c r="N618" s="90">
        <f t="shared" si="35"/>
        <v>0</v>
      </c>
      <c r="O618" s="91">
        <f t="shared" si="36"/>
        <v>0</v>
      </c>
    </row>
    <row r="619" spans="1:15" x14ac:dyDescent="0.3">
      <c r="A619" s="106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90"/>
      <c r="M619" s="90"/>
      <c r="N619" s="90">
        <f t="shared" si="35"/>
        <v>0</v>
      </c>
      <c r="O619" s="91">
        <f t="shared" si="36"/>
        <v>0</v>
      </c>
    </row>
    <row r="620" spans="1:15" x14ac:dyDescent="0.3">
      <c r="A620" s="106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90"/>
      <c r="M620" s="90"/>
      <c r="N620" s="90">
        <f t="shared" si="35"/>
        <v>0</v>
      </c>
      <c r="O620" s="91">
        <f t="shared" si="36"/>
        <v>0</v>
      </c>
    </row>
    <row r="621" spans="1:15" x14ac:dyDescent="0.3">
      <c r="A621" s="106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90"/>
      <c r="M621" s="90"/>
      <c r="N621" s="90">
        <f t="shared" si="35"/>
        <v>0</v>
      </c>
      <c r="O621" s="91">
        <f t="shared" si="36"/>
        <v>0</v>
      </c>
    </row>
    <row r="622" spans="1:15" x14ac:dyDescent="0.3">
      <c r="A622" s="107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2"/>
      <c r="M622" s="92"/>
      <c r="N622" s="92">
        <f t="shared" si="35"/>
        <v>0</v>
      </c>
      <c r="O622" s="94">
        <f t="shared" si="36"/>
        <v>0</v>
      </c>
    </row>
    <row r="623" spans="1:15" x14ac:dyDescent="0.3">
      <c r="A623" s="106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90"/>
      <c r="M623" s="90"/>
      <c r="N623" s="90">
        <f t="shared" si="35"/>
        <v>0</v>
      </c>
      <c r="O623" s="91">
        <f t="shared" si="36"/>
        <v>0</v>
      </c>
    </row>
    <row r="624" spans="1:15" x14ac:dyDescent="0.3">
      <c r="A624" s="106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90"/>
      <c r="M624" s="90"/>
      <c r="N624" s="90">
        <f t="shared" si="35"/>
        <v>0</v>
      </c>
      <c r="O624" s="91">
        <f t="shared" si="36"/>
        <v>0</v>
      </c>
    </row>
    <row r="625" spans="1:15" x14ac:dyDescent="0.3">
      <c r="A625" s="106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90"/>
      <c r="M625" s="90"/>
      <c r="N625" s="90">
        <f t="shared" si="35"/>
        <v>0</v>
      </c>
      <c r="O625" s="91">
        <f t="shared" si="36"/>
        <v>0</v>
      </c>
    </row>
    <row r="626" spans="1:15" x14ac:dyDescent="0.3">
      <c r="A626" s="106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90"/>
      <c r="M626" s="90"/>
      <c r="N626" s="90">
        <f t="shared" si="35"/>
        <v>0</v>
      </c>
      <c r="O626" s="91">
        <f t="shared" si="36"/>
        <v>0</v>
      </c>
    </row>
    <row r="627" spans="1:15" x14ac:dyDescent="0.3">
      <c r="A627" s="106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90"/>
      <c r="M627" s="90"/>
      <c r="N627" s="90">
        <f t="shared" si="35"/>
        <v>0</v>
      </c>
      <c r="O627" s="91">
        <f t="shared" si="36"/>
        <v>0</v>
      </c>
    </row>
    <row r="628" spans="1:15" x14ac:dyDescent="0.3">
      <c r="A628" s="106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90"/>
      <c r="M628" s="90"/>
      <c r="N628" s="90">
        <f t="shared" si="35"/>
        <v>0</v>
      </c>
      <c r="O628" s="91">
        <f t="shared" si="36"/>
        <v>0</v>
      </c>
    </row>
    <row r="629" spans="1:15" x14ac:dyDescent="0.3">
      <c r="A629" s="106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90"/>
      <c r="M629" s="90"/>
      <c r="N629" s="90">
        <f t="shared" si="35"/>
        <v>0</v>
      </c>
      <c r="O629" s="91">
        <f t="shared" si="36"/>
        <v>0</v>
      </c>
    </row>
    <row r="630" spans="1:15" x14ac:dyDescent="0.3">
      <c r="A630" s="106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90"/>
      <c r="M630" s="90"/>
      <c r="N630" s="90">
        <f t="shared" si="35"/>
        <v>0</v>
      </c>
      <c r="O630" s="91">
        <f t="shared" si="36"/>
        <v>0</v>
      </c>
    </row>
    <row r="631" spans="1:15" x14ac:dyDescent="0.3">
      <c r="A631" s="106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90"/>
      <c r="M631" s="90"/>
      <c r="N631" s="90">
        <f t="shared" si="35"/>
        <v>0</v>
      </c>
      <c r="O631" s="91">
        <f t="shared" si="36"/>
        <v>0</v>
      </c>
    </row>
    <row r="632" spans="1:15" x14ac:dyDescent="0.3">
      <c r="A632" s="106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90"/>
      <c r="M632" s="90"/>
      <c r="N632" s="90">
        <f t="shared" si="35"/>
        <v>0</v>
      </c>
      <c r="O632" s="91">
        <f t="shared" si="36"/>
        <v>0</v>
      </c>
    </row>
    <row r="633" spans="1:15" x14ac:dyDescent="0.3">
      <c r="A633" s="106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90"/>
      <c r="M633" s="90"/>
      <c r="N633" s="90">
        <f t="shared" si="35"/>
        <v>0</v>
      </c>
      <c r="O633" s="91">
        <f t="shared" si="36"/>
        <v>0</v>
      </c>
    </row>
    <row r="634" spans="1:15" x14ac:dyDescent="0.3">
      <c r="A634" s="106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90"/>
      <c r="M634" s="90"/>
      <c r="N634" s="90">
        <f t="shared" si="35"/>
        <v>0</v>
      </c>
      <c r="O634" s="91">
        <f t="shared" si="36"/>
        <v>0</v>
      </c>
    </row>
    <row r="635" spans="1:15" x14ac:dyDescent="0.3">
      <c r="A635" s="106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90"/>
      <c r="M635" s="90"/>
      <c r="N635" s="90">
        <f t="shared" si="35"/>
        <v>0</v>
      </c>
      <c r="O635" s="91">
        <f t="shared" si="36"/>
        <v>0</v>
      </c>
    </row>
    <row r="636" spans="1:15" x14ac:dyDescent="0.3">
      <c r="A636" s="106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90"/>
      <c r="M636" s="90"/>
      <c r="N636" s="90">
        <f t="shared" si="35"/>
        <v>0</v>
      </c>
      <c r="O636" s="91">
        <f t="shared" si="36"/>
        <v>0</v>
      </c>
    </row>
    <row r="637" spans="1:15" x14ac:dyDescent="0.3">
      <c r="A637" s="106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90"/>
      <c r="M637" s="90"/>
      <c r="N637" s="90">
        <f t="shared" si="35"/>
        <v>0</v>
      </c>
      <c r="O637" s="91">
        <f t="shared" si="36"/>
        <v>0</v>
      </c>
    </row>
    <row r="638" spans="1:15" x14ac:dyDescent="0.3">
      <c r="A638" s="106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90"/>
      <c r="M638" s="90"/>
      <c r="N638" s="90">
        <f t="shared" si="35"/>
        <v>0</v>
      </c>
      <c r="O638" s="91">
        <f t="shared" si="36"/>
        <v>0</v>
      </c>
    </row>
    <row r="639" spans="1:15" x14ac:dyDescent="0.3">
      <c r="A639" s="106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90"/>
      <c r="M639" s="90"/>
      <c r="N639" s="90">
        <f t="shared" si="35"/>
        <v>0</v>
      </c>
      <c r="O639" s="91">
        <f t="shared" si="36"/>
        <v>0</v>
      </c>
    </row>
    <row r="640" spans="1:15" x14ac:dyDescent="0.3">
      <c r="A640" s="106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90"/>
      <c r="M640" s="90"/>
      <c r="N640" s="90">
        <f t="shared" si="35"/>
        <v>0</v>
      </c>
      <c r="O640" s="91">
        <f t="shared" si="36"/>
        <v>0</v>
      </c>
    </row>
    <row r="641" spans="1:15" x14ac:dyDescent="0.3">
      <c r="A641" s="106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90"/>
      <c r="M641" s="90"/>
      <c r="N641" s="90">
        <f t="shared" si="35"/>
        <v>0</v>
      </c>
      <c r="O641" s="91">
        <f t="shared" si="36"/>
        <v>0</v>
      </c>
    </row>
    <row r="642" spans="1:15" x14ac:dyDescent="0.3">
      <c r="A642" s="106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90"/>
      <c r="M642" s="90"/>
      <c r="N642" s="90">
        <f t="shared" si="35"/>
        <v>0</v>
      </c>
      <c r="O642" s="91">
        <f t="shared" si="36"/>
        <v>0</v>
      </c>
    </row>
    <row r="643" spans="1:15" x14ac:dyDescent="0.3">
      <c r="A643" s="106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90"/>
      <c r="M643" s="90"/>
      <c r="N643" s="90">
        <f t="shared" si="35"/>
        <v>0</v>
      </c>
      <c r="O643" s="91">
        <f t="shared" si="36"/>
        <v>0</v>
      </c>
    </row>
    <row r="644" spans="1:15" x14ac:dyDescent="0.3">
      <c r="A644" s="106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90"/>
      <c r="M644" s="90"/>
      <c r="N644" s="90">
        <f t="shared" si="35"/>
        <v>0</v>
      </c>
      <c r="O644" s="91">
        <f t="shared" si="36"/>
        <v>0</v>
      </c>
    </row>
    <row r="645" spans="1:15" x14ac:dyDescent="0.3">
      <c r="A645" s="108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90">
        <f t="shared" si="35"/>
        <v>0</v>
      </c>
      <c r="O645" s="91">
        <f t="shared" si="36"/>
        <v>0</v>
      </c>
    </row>
    <row r="646" spans="1:15" x14ac:dyDescent="0.3">
      <c r="A646" s="106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90"/>
      <c r="M646" s="90"/>
      <c r="N646" s="90">
        <f t="shared" si="35"/>
        <v>0</v>
      </c>
      <c r="O646" s="91">
        <f t="shared" si="36"/>
        <v>0</v>
      </c>
    </row>
    <row r="647" spans="1:15" x14ac:dyDescent="0.3">
      <c r="A647" s="106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90"/>
      <c r="M647" s="90"/>
      <c r="N647" s="90">
        <f t="shared" si="35"/>
        <v>0</v>
      </c>
      <c r="O647" s="91">
        <f t="shared" si="36"/>
        <v>0</v>
      </c>
    </row>
    <row r="648" spans="1:15" x14ac:dyDescent="0.3">
      <c r="A648" s="106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90"/>
      <c r="M648" s="90"/>
      <c r="N648" s="90">
        <f t="shared" si="35"/>
        <v>0</v>
      </c>
      <c r="O648" s="91">
        <f t="shared" si="36"/>
        <v>0</v>
      </c>
    </row>
    <row r="649" spans="1:15" x14ac:dyDescent="0.3">
      <c r="A649" s="106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90"/>
      <c r="M649" s="90"/>
      <c r="N649" s="90">
        <f t="shared" si="35"/>
        <v>0</v>
      </c>
      <c r="O649" s="91">
        <f t="shared" si="36"/>
        <v>0</v>
      </c>
    </row>
    <row r="650" spans="1:15" x14ac:dyDescent="0.3">
      <c r="A650" s="106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90"/>
      <c r="M650" s="90"/>
      <c r="N650" s="90">
        <f t="shared" si="35"/>
        <v>0</v>
      </c>
      <c r="O650" s="91">
        <f t="shared" si="36"/>
        <v>0</v>
      </c>
    </row>
    <row r="651" spans="1:15" x14ac:dyDescent="0.3">
      <c r="A651" s="106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90"/>
      <c r="M651" s="90"/>
      <c r="N651" s="90">
        <f t="shared" si="35"/>
        <v>0</v>
      </c>
      <c r="O651" s="91">
        <f t="shared" si="36"/>
        <v>0</v>
      </c>
    </row>
    <row r="652" spans="1:15" x14ac:dyDescent="0.3">
      <c r="A652" s="106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95"/>
      <c r="M652" s="95"/>
      <c r="N652" s="90">
        <f t="shared" si="35"/>
        <v>0</v>
      </c>
      <c r="O652" s="91">
        <f t="shared" si="36"/>
        <v>0</v>
      </c>
    </row>
    <row r="653" spans="1:15" x14ac:dyDescent="0.3">
      <c r="A653" s="106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90"/>
      <c r="M653" s="90"/>
      <c r="N653" s="90">
        <f t="shared" si="35"/>
        <v>0</v>
      </c>
      <c r="O653" s="91">
        <f t="shared" si="36"/>
        <v>0</v>
      </c>
    </row>
    <row r="654" spans="1:15" x14ac:dyDescent="0.3">
      <c r="A654" s="106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90"/>
      <c r="M654" s="90"/>
      <c r="N654" s="90">
        <f t="shared" si="35"/>
        <v>0</v>
      </c>
      <c r="O654" s="91">
        <f t="shared" si="36"/>
        <v>0</v>
      </c>
    </row>
    <row r="655" spans="1:15" x14ac:dyDescent="0.3">
      <c r="A655" s="106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90"/>
      <c r="M655" s="90"/>
      <c r="N655" s="90">
        <f t="shared" si="35"/>
        <v>0</v>
      </c>
      <c r="O655" s="91">
        <f t="shared" si="36"/>
        <v>0</v>
      </c>
    </row>
    <row r="656" spans="1:15" x14ac:dyDescent="0.3">
      <c r="A656" s="106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90"/>
      <c r="M656" s="90"/>
      <c r="N656" s="90">
        <f t="shared" si="35"/>
        <v>0</v>
      </c>
      <c r="O656" s="91">
        <f t="shared" si="36"/>
        <v>0</v>
      </c>
    </row>
    <row r="657" spans="1:15" x14ac:dyDescent="0.3">
      <c r="A657" s="106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90"/>
      <c r="M657" s="90"/>
      <c r="N657" s="90">
        <f t="shared" si="35"/>
        <v>0</v>
      </c>
      <c r="O657" s="91">
        <f t="shared" si="36"/>
        <v>0</v>
      </c>
    </row>
    <row r="658" spans="1:15" x14ac:dyDescent="0.3">
      <c r="A658" s="106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90"/>
      <c r="M658" s="90"/>
      <c r="N658" s="90">
        <f t="shared" si="35"/>
        <v>0</v>
      </c>
      <c r="O658" s="91">
        <f t="shared" si="36"/>
        <v>0</v>
      </c>
    </row>
    <row r="659" spans="1:15" x14ac:dyDescent="0.3">
      <c r="A659" s="106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90"/>
      <c r="M659" s="90"/>
      <c r="N659" s="90">
        <f t="shared" si="35"/>
        <v>0</v>
      </c>
      <c r="O659" s="91">
        <f t="shared" si="36"/>
        <v>0</v>
      </c>
    </row>
    <row r="660" spans="1:15" x14ac:dyDescent="0.3">
      <c r="A660" s="107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2"/>
      <c r="M660" s="92"/>
      <c r="N660" s="92">
        <f t="shared" si="35"/>
        <v>0</v>
      </c>
      <c r="O660" s="94">
        <f t="shared" si="36"/>
        <v>0</v>
      </c>
    </row>
    <row r="661" spans="1:15" x14ac:dyDescent="0.3">
      <c r="A661" s="106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90"/>
      <c r="M661" s="90"/>
      <c r="N661" s="90">
        <f t="shared" si="35"/>
        <v>0</v>
      </c>
      <c r="O661" s="91">
        <f t="shared" si="36"/>
        <v>0</v>
      </c>
    </row>
    <row r="662" spans="1:15" x14ac:dyDescent="0.3">
      <c r="A662" s="106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90"/>
      <c r="M662" s="90"/>
      <c r="N662" s="90">
        <f t="shared" si="35"/>
        <v>0</v>
      </c>
      <c r="O662" s="91">
        <f t="shared" si="36"/>
        <v>0</v>
      </c>
    </row>
    <row r="663" spans="1:15" x14ac:dyDescent="0.3">
      <c r="A663" s="106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90"/>
      <c r="M663" s="90"/>
      <c r="N663" s="90">
        <f t="shared" si="35"/>
        <v>0</v>
      </c>
      <c r="O663" s="91">
        <f t="shared" si="36"/>
        <v>0</v>
      </c>
    </row>
    <row r="664" spans="1:15" x14ac:dyDescent="0.3">
      <c r="A664" s="106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90"/>
      <c r="M664" s="90"/>
      <c r="N664" s="90">
        <f t="shared" si="35"/>
        <v>0</v>
      </c>
      <c r="O664" s="91">
        <f t="shared" si="36"/>
        <v>0</v>
      </c>
    </row>
    <row r="665" spans="1:15" x14ac:dyDescent="0.3">
      <c r="A665" s="106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90"/>
      <c r="M665" s="90"/>
      <c r="N665" s="90">
        <f t="shared" ref="N665:N728" si="37">+L665-M665</f>
        <v>0</v>
      </c>
      <c r="O665" s="91">
        <f t="shared" si="36"/>
        <v>0</v>
      </c>
    </row>
    <row r="666" spans="1:15" x14ac:dyDescent="0.3">
      <c r="A666" s="106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90"/>
      <c r="M666" s="90"/>
      <c r="N666" s="90">
        <f t="shared" si="37"/>
        <v>0</v>
      </c>
      <c r="O666" s="91">
        <f t="shared" ref="O666:O729" si="38">IFERROR(IF(7&lt;&gt;0, M666*100/L666, IF(L666=M666, M666*100/L666, 0)), 0)</f>
        <v>0</v>
      </c>
    </row>
    <row r="667" spans="1:15" x14ac:dyDescent="0.3">
      <c r="A667" s="106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90"/>
      <c r="M667" s="90"/>
      <c r="N667" s="90">
        <f t="shared" si="37"/>
        <v>0</v>
      </c>
      <c r="O667" s="91">
        <f t="shared" si="38"/>
        <v>0</v>
      </c>
    </row>
    <row r="668" spans="1:15" x14ac:dyDescent="0.3">
      <c r="A668" s="106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90"/>
      <c r="M668" s="90"/>
      <c r="N668" s="90">
        <f t="shared" si="37"/>
        <v>0</v>
      </c>
      <c r="O668" s="91">
        <f t="shared" si="38"/>
        <v>0</v>
      </c>
    </row>
    <row r="669" spans="1:15" x14ac:dyDescent="0.3">
      <c r="A669" s="106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90"/>
      <c r="M669" s="90"/>
      <c r="N669" s="90">
        <f t="shared" si="37"/>
        <v>0</v>
      </c>
      <c r="O669" s="91">
        <f t="shared" si="38"/>
        <v>0</v>
      </c>
    </row>
    <row r="670" spans="1:15" x14ac:dyDescent="0.3">
      <c r="A670" s="107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2"/>
      <c r="M670" s="92"/>
      <c r="N670" s="92">
        <f t="shared" si="37"/>
        <v>0</v>
      </c>
      <c r="O670" s="94">
        <f t="shared" si="38"/>
        <v>0</v>
      </c>
    </row>
    <row r="671" spans="1:15" x14ac:dyDescent="0.3">
      <c r="A671" s="106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90"/>
      <c r="M671" s="90"/>
      <c r="N671" s="90">
        <f t="shared" si="37"/>
        <v>0</v>
      </c>
      <c r="O671" s="91">
        <f t="shared" si="38"/>
        <v>0</v>
      </c>
    </row>
    <row r="672" spans="1:15" x14ac:dyDescent="0.3">
      <c r="A672" s="106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90"/>
      <c r="M672" s="90"/>
      <c r="N672" s="90">
        <f t="shared" si="37"/>
        <v>0</v>
      </c>
      <c r="O672" s="91">
        <f t="shared" si="38"/>
        <v>0</v>
      </c>
    </row>
    <row r="673" spans="1:15" x14ac:dyDescent="0.3">
      <c r="A673" s="106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90"/>
      <c r="M673" s="90"/>
      <c r="N673" s="90">
        <f t="shared" si="37"/>
        <v>0</v>
      </c>
      <c r="O673" s="91">
        <f t="shared" si="38"/>
        <v>0</v>
      </c>
    </row>
    <row r="674" spans="1:15" x14ac:dyDescent="0.3">
      <c r="A674" s="106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90"/>
      <c r="M674" s="90"/>
      <c r="N674" s="90">
        <f t="shared" si="37"/>
        <v>0</v>
      </c>
      <c r="O674" s="91">
        <f t="shared" si="38"/>
        <v>0</v>
      </c>
    </row>
    <row r="675" spans="1:15" x14ac:dyDescent="0.3">
      <c r="A675" s="106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90"/>
      <c r="M675" s="90"/>
      <c r="N675" s="90">
        <f t="shared" si="37"/>
        <v>0</v>
      </c>
      <c r="O675" s="91">
        <f t="shared" si="38"/>
        <v>0</v>
      </c>
    </row>
    <row r="676" spans="1:15" x14ac:dyDescent="0.3">
      <c r="A676" s="106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90"/>
      <c r="M676" s="90"/>
      <c r="N676" s="90">
        <f t="shared" si="37"/>
        <v>0</v>
      </c>
      <c r="O676" s="91">
        <f t="shared" si="38"/>
        <v>0</v>
      </c>
    </row>
    <row r="677" spans="1:15" x14ac:dyDescent="0.3">
      <c r="A677" s="106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90"/>
      <c r="M677" s="90"/>
      <c r="N677" s="90">
        <f t="shared" si="37"/>
        <v>0</v>
      </c>
      <c r="O677" s="91">
        <f t="shared" si="38"/>
        <v>0</v>
      </c>
    </row>
    <row r="678" spans="1:15" x14ac:dyDescent="0.3">
      <c r="A678" s="106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90"/>
      <c r="M678" s="90"/>
      <c r="N678" s="90">
        <f t="shared" si="37"/>
        <v>0</v>
      </c>
      <c r="O678" s="91">
        <f t="shared" si="38"/>
        <v>0</v>
      </c>
    </row>
    <row r="679" spans="1:15" x14ac:dyDescent="0.3">
      <c r="A679" s="106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90"/>
      <c r="M679" s="90"/>
      <c r="N679" s="90">
        <f t="shared" si="37"/>
        <v>0</v>
      </c>
      <c r="O679" s="91">
        <f t="shared" si="38"/>
        <v>0</v>
      </c>
    </row>
    <row r="680" spans="1:15" x14ac:dyDescent="0.3">
      <c r="A680" s="106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90"/>
      <c r="M680" s="90"/>
      <c r="N680" s="90">
        <f t="shared" si="37"/>
        <v>0</v>
      </c>
      <c r="O680" s="91">
        <f t="shared" si="38"/>
        <v>0</v>
      </c>
    </row>
    <row r="681" spans="1:15" x14ac:dyDescent="0.3">
      <c r="A681" s="106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90"/>
      <c r="M681" s="90"/>
      <c r="N681" s="90">
        <f t="shared" si="37"/>
        <v>0</v>
      </c>
      <c r="O681" s="91">
        <f t="shared" si="38"/>
        <v>0</v>
      </c>
    </row>
    <row r="682" spans="1:15" x14ac:dyDescent="0.3">
      <c r="A682" s="106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90"/>
      <c r="M682" s="90"/>
      <c r="N682" s="90">
        <f t="shared" si="37"/>
        <v>0</v>
      </c>
      <c r="O682" s="91">
        <f t="shared" si="38"/>
        <v>0</v>
      </c>
    </row>
    <row r="683" spans="1:15" x14ac:dyDescent="0.3">
      <c r="A683" s="106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90"/>
      <c r="M683" s="90"/>
      <c r="N683" s="90">
        <f t="shared" si="37"/>
        <v>0</v>
      </c>
      <c r="O683" s="91">
        <f t="shared" si="38"/>
        <v>0</v>
      </c>
    </row>
    <row r="684" spans="1:15" x14ac:dyDescent="0.3">
      <c r="A684" s="106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90"/>
      <c r="M684" s="90"/>
      <c r="N684" s="90">
        <f t="shared" si="37"/>
        <v>0</v>
      </c>
      <c r="O684" s="91">
        <f t="shared" si="38"/>
        <v>0</v>
      </c>
    </row>
    <row r="685" spans="1:15" x14ac:dyDescent="0.3">
      <c r="A685" s="106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90"/>
      <c r="M685" s="90"/>
      <c r="N685" s="90">
        <f t="shared" si="37"/>
        <v>0</v>
      </c>
      <c r="O685" s="91">
        <f t="shared" si="38"/>
        <v>0</v>
      </c>
    </row>
    <row r="686" spans="1:15" x14ac:dyDescent="0.3">
      <c r="A686" s="106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90"/>
      <c r="M686" s="90"/>
      <c r="N686" s="90">
        <f t="shared" si="37"/>
        <v>0</v>
      </c>
      <c r="O686" s="91">
        <f t="shared" si="38"/>
        <v>0</v>
      </c>
    </row>
    <row r="687" spans="1:15" x14ac:dyDescent="0.3">
      <c r="A687" s="106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90"/>
      <c r="M687" s="90"/>
      <c r="N687" s="90">
        <f t="shared" si="37"/>
        <v>0</v>
      </c>
      <c r="O687" s="91">
        <f t="shared" si="38"/>
        <v>0</v>
      </c>
    </row>
    <row r="688" spans="1:15" x14ac:dyDescent="0.3">
      <c r="A688" s="106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90"/>
      <c r="M688" s="90"/>
      <c r="N688" s="90">
        <f t="shared" si="37"/>
        <v>0</v>
      </c>
      <c r="O688" s="91">
        <f t="shared" si="38"/>
        <v>0</v>
      </c>
    </row>
    <row r="689" spans="1:15" x14ac:dyDescent="0.3">
      <c r="A689" s="106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90"/>
      <c r="M689" s="90"/>
      <c r="N689" s="90">
        <f t="shared" si="37"/>
        <v>0</v>
      </c>
      <c r="O689" s="91">
        <f t="shared" si="38"/>
        <v>0</v>
      </c>
    </row>
    <row r="690" spans="1:15" x14ac:dyDescent="0.3">
      <c r="A690" s="106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90"/>
      <c r="M690" s="90"/>
      <c r="N690" s="90">
        <f t="shared" si="37"/>
        <v>0</v>
      </c>
      <c r="O690" s="91">
        <f t="shared" si="38"/>
        <v>0</v>
      </c>
    </row>
    <row r="691" spans="1:15" x14ac:dyDescent="0.3">
      <c r="A691" s="106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90"/>
      <c r="M691" s="90"/>
      <c r="N691" s="90">
        <f t="shared" si="37"/>
        <v>0</v>
      </c>
      <c r="O691" s="91">
        <f t="shared" si="38"/>
        <v>0</v>
      </c>
    </row>
    <row r="692" spans="1:15" x14ac:dyDescent="0.3">
      <c r="A692" s="106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90"/>
      <c r="M692" s="90"/>
      <c r="N692" s="90">
        <f t="shared" si="37"/>
        <v>0</v>
      </c>
      <c r="O692" s="91">
        <f t="shared" si="38"/>
        <v>0</v>
      </c>
    </row>
    <row r="693" spans="1:15" x14ac:dyDescent="0.3">
      <c r="A693" s="108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90">
        <f t="shared" si="37"/>
        <v>0</v>
      </c>
      <c r="O693" s="91">
        <f t="shared" si="38"/>
        <v>0</v>
      </c>
    </row>
    <row r="694" spans="1:15" x14ac:dyDescent="0.3">
      <c r="A694" s="106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90"/>
      <c r="M694" s="90"/>
      <c r="N694" s="90">
        <f t="shared" si="37"/>
        <v>0</v>
      </c>
      <c r="O694" s="91">
        <f t="shared" si="38"/>
        <v>0</v>
      </c>
    </row>
    <row r="695" spans="1:15" x14ac:dyDescent="0.3">
      <c r="A695" s="106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90"/>
      <c r="M695" s="90"/>
      <c r="N695" s="90">
        <f t="shared" si="37"/>
        <v>0</v>
      </c>
      <c r="O695" s="91">
        <f t="shared" si="38"/>
        <v>0</v>
      </c>
    </row>
    <row r="696" spans="1:15" x14ac:dyDescent="0.3">
      <c r="A696" s="106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90"/>
      <c r="M696" s="90"/>
      <c r="N696" s="90">
        <f t="shared" si="37"/>
        <v>0</v>
      </c>
      <c r="O696" s="91">
        <f t="shared" si="38"/>
        <v>0</v>
      </c>
    </row>
    <row r="697" spans="1:15" x14ac:dyDescent="0.3">
      <c r="A697" s="106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90"/>
      <c r="M697" s="90"/>
      <c r="N697" s="90">
        <f t="shared" si="37"/>
        <v>0</v>
      </c>
      <c r="O697" s="91">
        <f t="shared" si="38"/>
        <v>0</v>
      </c>
    </row>
    <row r="698" spans="1:15" x14ac:dyDescent="0.3">
      <c r="A698" s="106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90"/>
      <c r="M698" s="90"/>
      <c r="N698" s="90">
        <f t="shared" si="37"/>
        <v>0</v>
      </c>
      <c r="O698" s="91">
        <f t="shared" si="38"/>
        <v>0</v>
      </c>
    </row>
    <row r="699" spans="1:15" x14ac:dyDescent="0.3">
      <c r="A699" s="106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90"/>
      <c r="M699" s="90"/>
      <c r="N699" s="90">
        <f t="shared" si="37"/>
        <v>0</v>
      </c>
      <c r="O699" s="91">
        <f t="shared" si="38"/>
        <v>0</v>
      </c>
    </row>
    <row r="700" spans="1:15" x14ac:dyDescent="0.3">
      <c r="A700" s="106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95"/>
      <c r="M700" s="95"/>
      <c r="N700" s="90">
        <f t="shared" si="37"/>
        <v>0</v>
      </c>
      <c r="O700" s="91">
        <f t="shared" si="38"/>
        <v>0</v>
      </c>
    </row>
    <row r="701" spans="1:15" x14ac:dyDescent="0.3">
      <c r="A701" s="106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90"/>
      <c r="M701" s="90"/>
      <c r="N701" s="90">
        <f t="shared" si="37"/>
        <v>0</v>
      </c>
      <c r="O701" s="91">
        <f t="shared" si="38"/>
        <v>0</v>
      </c>
    </row>
    <row r="702" spans="1:15" x14ac:dyDescent="0.3">
      <c r="A702" s="106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90"/>
      <c r="M702" s="90"/>
      <c r="N702" s="90">
        <f t="shared" si="37"/>
        <v>0</v>
      </c>
      <c r="O702" s="91">
        <f t="shared" si="38"/>
        <v>0</v>
      </c>
    </row>
    <row r="703" spans="1:15" x14ac:dyDescent="0.3">
      <c r="A703" s="106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90"/>
      <c r="M703" s="90"/>
      <c r="N703" s="90">
        <f t="shared" si="37"/>
        <v>0</v>
      </c>
      <c r="O703" s="91">
        <f t="shared" si="38"/>
        <v>0</v>
      </c>
    </row>
    <row r="704" spans="1:15" x14ac:dyDescent="0.3">
      <c r="A704" s="106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90"/>
      <c r="M704" s="90"/>
      <c r="N704" s="90">
        <f t="shared" si="37"/>
        <v>0</v>
      </c>
      <c r="O704" s="91">
        <f t="shared" si="38"/>
        <v>0</v>
      </c>
    </row>
    <row r="705" spans="1:15" x14ac:dyDescent="0.3">
      <c r="A705" s="106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90"/>
      <c r="M705" s="90"/>
      <c r="N705" s="90">
        <f t="shared" si="37"/>
        <v>0</v>
      </c>
      <c r="O705" s="91">
        <f t="shared" si="38"/>
        <v>0</v>
      </c>
    </row>
    <row r="706" spans="1:15" x14ac:dyDescent="0.3">
      <c r="A706" s="106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90"/>
      <c r="M706" s="90"/>
      <c r="N706" s="90">
        <f t="shared" si="37"/>
        <v>0</v>
      </c>
      <c r="O706" s="91">
        <f t="shared" si="38"/>
        <v>0</v>
      </c>
    </row>
    <row r="707" spans="1:15" x14ac:dyDescent="0.3">
      <c r="A707" s="106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90"/>
      <c r="M707" s="90"/>
      <c r="N707" s="90">
        <f t="shared" si="37"/>
        <v>0</v>
      </c>
      <c r="O707" s="91">
        <f t="shared" si="38"/>
        <v>0</v>
      </c>
    </row>
    <row r="708" spans="1:15" x14ac:dyDescent="0.3">
      <c r="A708" s="107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2"/>
      <c r="M708" s="92"/>
      <c r="N708" s="92">
        <f t="shared" si="37"/>
        <v>0</v>
      </c>
      <c r="O708" s="94">
        <f t="shared" si="38"/>
        <v>0</v>
      </c>
    </row>
    <row r="709" spans="1:15" x14ac:dyDescent="0.3">
      <c r="A709" s="106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90"/>
      <c r="M709" s="90"/>
      <c r="N709" s="90">
        <f t="shared" si="37"/>
        <v>0</v>
      </c>
      <c r="O709" s="91">
        <f t="shared" si="38"/>
        <v>0</v>
      </c>
    </row>
    <row r="710" spans="1:15" x14ac:dyDescent="0.3">
      <c r="A710" s="106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90"/>
      <c r="M710" s="90"/>
      <c r="N710" s="90">
        <f t="shared" si="37"/>
        <v>0</v>
      </c>
      <c r="O710" s="91">
        <f t="shared" si="38"/>
        <v>0</v>
      </c>
    </row>
    <row r="711" spans="1:15" x14ac:dyDescent="0.3">
      <c r="A711" s="106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90"/>
      <c r="M711" s="90"/>
      <c r="N711" s="90">
        <f t="shared" si="37"/>
        <v>0</v>
      </c>
      <c r="O711" s="91">
        <f t="shared" si="38"/>
        <v>0</v>
      </c>
    </row>
    <row r="712" spans="1:15" x14ac:dyDescent="0.3">
      <c r="A712" s="106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90"/>
      <c r="M712" s="90"/>
      <c r="N712" s="90">
        <f t="shared" si="37"/>
        <v>0</v>
      </c>
      <c r="O712" s="91">
        <f t="shared" si="38"/>
        <v>0</v>
      </c>
    </row>
    <row r="713" spans="1:15" x14ac:dyDescent="0.3">
      <c r="A713" s="106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90"/>
      <c r="M713" s="90"/>
      <c r="N713" s="90">
        <f t="shared" si="37"/>
        <v>0</v>
      </c>
      <c r="O713" s="91">
        <f t="shared" si="38"/>
        <v>0</v>
      </c>
    </row>
    <row r="714" spans="1:15" x14ac:dyDescent="0.3">
      <c r="A714" s="106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90"/>
      <c r="M714" s="90"/>
      <c r="N714" s="90">
        <f t="shared" si="37"/>
        <v>0</v>
      </c>
      <c r="O714" s="91">
        <f t="shared" si="38"/>
        <v>0</v>
      </c>
    </row>
    <row r="715" spans="1:15" x14ac:dyDescent="0.3">
      <c r="A715" s="106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90"/>
      <c r="M715" s="90"/>
      <c r="N715" s="90">
        <f t="shared" si="37"/>
        <v>0</v>
      </c>
      <c r="O715" s="91">
        <f t="shared" si="38"/>
        <v>0</v>
      </c>
    </row>
    <row r="716" spans="1:15" x14ac:dyDescent="0.3">
      <c r="A716" s="106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90"/>
      <c r="M716" s="90"/>
      <c r="N716" s="90">
        <f t="shared" si="37"/>
        <v>0</v>
      </c>
      <c r="O716" s="91">
        <f t="shared" si="38"/>
        <v>0</v>
      </c>
    </row>
    <row r="717" spans="1:15" x14ac:dyDescent="0.3">
      <c r="A717" s="106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90"/>
      <c r="M717" s="90"/>
      <c r="N717" s="90">
        <f t="shared" si="37"/>
        <v>0</v>
      </c>
      <c r="O717" s="91">
        <f t="shared" si="38"/>
        <v>0</v>
      </c>
    </row>
    <row r="718" spans="1:15" x14ac:dyDescent="0.3">
      <c r="A718" s="107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2"/>
      <c r="M718" s="92"/>
      <c r="N718" s="92">
        <f t="shared" si="37"/>
        <v>0</v>
      </c>
      <c r="O718" s="94">
        <f t="shared" si="38"/>
        <v>0</v>
      </c>
    </row>
    <row r="719" spans="1:15" x14ac:dyDescent="0.3">
      <c r="A719" s="106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90"/>
      <c r="M719" s="90"/>
      <c r="N719" s="90">
        <f t="shared" si="37"/>
        <v>0</v>
      </c>
      <c r="O719" s="91">
        <f t="shared" si="38"/>
        <v>0</v>
      </c>
    </row>
    <row r="720" spans="1:15" x14ac:dyDescent="0.3">
      <c r="A720" s="106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90"/>
      <c r="M720" s="90"/>
      <c r="N720" s="90">
        <f t="shared" si="37"/>
        <v>0</v>
      </c>
      <c r="O720" s="91">
        <f t="shared" si="38"/>
        <v>0</v>
      </c>
    </row>
    <row r="721" spans="1:15" x14ac:dyDescent="0.3">
      <c r="A721" s="106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90"/>
      <c r="M721" s="90"/>
      <c r="N721" s="90">
        <f t="shared" si="37"/>
        <v>0</v>
      </c>
      <c r="O721" s="91">
        <f t="shared" si="38"/>
        <v>0</v>
      </c>
    </row>
    <row r="722" spans="1:15" x14ac:dyDescent="0.3">
      <c r="A722" s="106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90"/>
      <c r="M722" s="90"/>
      <c r="N722" s="90">
        <f t="shared" si="37"/>
        <v>0</v>
      </c>
      <c r="O722" s="91">
        <f t="shared" si="38"/>
        <v>0</v>
      </c>
    </row>
    <row r="723" spans="1:15" x14ac:dyDescent="0.3">
      <c r="A723" s="106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90"/>
      <c r="M723" s="90"/>
      <c r="N723" s="90">
        <f t="shared" si="37"/>
        <v>0</v>
      </c>
      <c r="O723" s="91">
        <f t="shared" si="38"/>
        <v>0</v>
      </c>
    </row>
    <row r="724" spans="1:15" x14ac:dyDescent="0.3">
      <c r="A724" s="106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90"/>
      <c r="M724" s="90"/>
      <c r="N724" s="90">
        <f t="shared" si="37"/>
        <v>0</v>
      </c>
      <c r="O724" s="91">
        <f t="shared" si="38"/>
        <v>0</v>
      </c>
    </row>
    <row r="725" spans="1:15" x14ac:dyDescent="0.3">
      <c r="A725" s="106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90"/>
      <c r="M725" s="90"/>
      <c r="N725" s="90">
        <f t="shared" si="37"/>
        <v>0</v>
      </c>
      <c r="O725" s="91">
        <f t="shared" si="38"/>
        <v>0</v>
      </c>
    </row>
    <row r="726" spans="1:15" x14ac:dyDescent="0.3">
      <c r="A726" s="106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90"/>
      <c r="M726" s="90"/>
      <c r="N726" s="90">
        <f t="shared" si="37"/>
        <v>0</v>
      </c>
      <c r="O726" s="91">
        <f t="shared" si="38"/>
        <v>0</v>
      </c>
    </row>
    <row r="727" spans="1:15" x14ac:dyDescent="0.3">
      <c r="A727" s="106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90"/>
      <c r="M727" s="90"/>
      <c r="N727" s="90">
        <f t="shared" si="37"/>
        <v>0</v>
      </c>
      <c r="O727" s="91">
        <f t="shared" si="38"/>
        <v>0</v>
      </c>
    </row>
    <row r="728" spans="1:15" x14ac:dyDescent="0.3">
      <c r="A728" s="106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90"/>
      <c r="M728" s="90"/>
      <c r="N728" s="90">
        <f t="shared" si="37"/>
        <v>0</v>
      </c>
      <c r="O728" s="91">
        <f t="shared" si="38"/>
        <v>0</v>
      </c>
    </row>
    <row r="729" spans="1:15" x14ac:dyDescent="0.3">
      <c r="A729" s="106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90"/>
      <c r="M729" s="90"/>
      <c r="N729" s="90">
        <f t="shared" ref="N729:N770" si="39">+L729-M729</f>
        <v>0</v>
      </c>
      <c r="O729" s="91">
        <f t="shared" si="38"/>
        <v>0</v>
      </c>
    </row>
    <row r="730" spans="1:15" x14ac:dyDescent="0.3">
      <c r="A730" s="106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90"/>
      <c r="M730" s="90"/>
      <c r="N730" s="90">
        <f t="shared" si="39"/>
        <v>0</v>
      </c>
      <c r="O730" s="91">
        <f t="shared" ref="O730:O770" si="40">IFERROR(IF(7&lt;&gt;0, M730*100/L730, IF(L730=M730, M730*100/L730, 0)), 0)</f>
        <v>0</v>
      </c>
    </row>
    <row r="731" spans="1:15" x14ac:dyDescent="0.3">
      <c r="A731" s="106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90"/>
      <c r="M731" s="90"/>
      <c r="N731" s="90">
        <f t="shared" si="39"/>
        <v>0</v>
      </c>
      <c r="O731" s="91">
        <f t="shared" si="40"/>
        <v>0</v>
      </c>
    </row>
    <row r="732" spans="1:15" x14ac:dyDescent="0.3">
      <c r="A732" s="106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90"/>
      <c r="M732" s="90"/>
      <c r="N732" s="90">
        <f t="shared" si="39"/>
        <v>0</v>
      </c>
      <c r="O732" s="91">
        <f t="shared" si="40"/>
        <v>0</v>
      </c>
    </row>
    <row r="733" spans="1:15" x14ac:dyDescent="0.3">
      <c r="A733" s="106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90"/>
      <c r="M733" s="90"/>
      <c r="N733" s="90">
        <f t="shared" si="39"/>
        <v>0</v>
      </c>
      <c r="O733" s="91">
        <f t="shared" si="40"/>
        <v>0</v>
      </c>
    </row>
    <row r="734" spans="1:15" x14ac:dyDescent="0.3">
      <c r="A734" s="106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90"/>
      <c r="M734" s="90"/>
      <c r="N734" s="90">
        <f t="shared" si="39"/>
        <v>0</v>
      </c>
      <c r="O734" s="91">
        <f t="shared" si="40"/>
        <v>0</v>
      </c>
    </row>
    <row r="735" spans="1:15" x14ac:dyDescent="0.3">
      <c r="A735" s="106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90"/>
      <c r="M735" s="90"/>
      <c r="N735" s="90">
        <f t="shared" si="39"/>
        <v>0</v>
      </c>
      <c r="O735" s="91">
        <f t="shared" si="40"/>
        <v>0</v>
      </c>
    </row>
    <row r="736" spans="1:15" x14ac:dyDescent="0.3">
      <c r="A736" s="106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90"/>
      <c r="M736" s="90"/>
      <c r="N736" s="90">
        <f t="shared" si="39"/>
        <v>0</v>
      </c>
      <c r="O736" s="91">
        <f t="shared" si="40"/>
        <v>0</v>
      </c>
    </row>
    <row r="737" spans="1:15" x14ac:dyDescent="0.3">
      <c r="A737" s="106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90"/>
      <c r="M737" s="90"/>
      <c r="N737" s="90">
        <f t="shared" si="39"/>
        <v>0</v>
      </c>
      <c r="O737" s="91">
        <f t="shared" si="40"/>
        <v>0</v>
      </c>
    </row>
    <row r="738" spans="1:15" x14ac:dyDescent="0.3">
      <c r="A738" s="106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90"/>
      <c r="M738" s="90"/>
      <c r="N738" s="90">
        <f t="shared" si="39"/>
        <v>0</v>
      </c>
      <c r="O738" s="91">
        <f t="shared" si="40"/>
        <v>0</v>
      </c>
    </row>
    <row r="739" spans="1:15" x14ac:dyDescent="0.3">
      <c r="A739" s="106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90"/>
      <c r="M739" s="90"/>
      <c r="N739" s="90">
        <f t="shared" si="39"/>
        <v>0</v>
      </c>
      <c r="O739" s="91">
        <f t="shared" si="40"/>
        <v>0</v>
      </c>
    </row>
    <row r="740" spans="1:15" x14ac:dyDescent="0.3">
      <c r="A740" s="106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90"/>
      <c r="M740" s="90"/>
      <c r="N740" s="90">
        <f t="shared" si="39"/>
        <v>0</v>
      </c>
      <c r="O740" s="91">
        <f t="shared" si="40"/>
        <v>0</v>
      </c>
    </row>
    <row r="741" spans="1:15" x14ac:dyDescent="0.3">
      <c r="A741" s="108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90">
        <f t="shared" si="39"/>
        <v>0</v>
      </c>
      <c r="O741" s="91">
        <f t="shared" si="40"/>
        <v>0</v>
      </c>
    </row>
    <row r="742" spans="1:15" x14ac:dyDescent="0.3">
      <c r="A742" s="108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90">
        <f t="shared" si="39"/>
        <v>0</v>
      </c>
      <c r="O742" s="91">
        <f t="shared" si="40"/>
        <v>0</v>
      </c>
    </row>
    <row r="743" spans="1:15" x14ac:dyDescent="0.3">
      <c r="A743" s="106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90"/>
      <c r="M743" s="90"/>
      <c r="N743" s="90">
        <f t="shared" si="39"/>
        <v>0</v>
      </c>
      <c r="O743" s="91">
        <f t="shared" si="40"/>
        <v>0</v>
      </c>
    </row>
    <row r="744" spans="1:15" x14ac:dyDescent="0.3">
      <c r="A744" s="106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90"/>
      <c r="M744" s="90"/>
      <c r="N744" s="90">
        <f t="shared" si="39"/>
        <v>0</v>
      </c>
      <c r="O744" s="91">
        <f t="shared" si="40"/>
        <v>0</v>
      </c>
    </row>
    <row r="745" spans="1:15" x14ac:dyDescent="0.3">
      <c r="A745" s="106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90"/>
      <c r="M745" s="90"/>
      <c r="N745" s="90">
        <f t="shared" si="39"/>
        <v>0</v>
      </c>
      <c r="O745" s="91">
        <f t="shared" si="40"/>
        <v>0</v>
      </c>
    </row>
    <row r="746" spans="1:15" x14ac:dyDescent="0.3">
      <c r="A746" s="106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90"/>
      <c r="M746" s="90"/>
      <c r="N746" s="90">
        <f t="shared" si="39"/>
        <v>0</v>
      </c>
      <c r="O746" s="91">
        <f t="shared" si="40"/>
        <v>0</v>
      </c>
    </row>
    <row r="747" spans="1:15" x14ac:dyDescent="0.3">
      <c r="A747" s="106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90"/>
      <c r="M747" s="90"/>
      <c r="N747" s="90">
        <f t="shared" si="39"/>
        <v>0</v>
      </c>
      <c r="O747" s="91">
        <f t="shared" si="40"/>
        <v>0</v>
      </c>
    </row>
    <row r="748" spans="1:15" x14ac:dyDescent="0.3">
      <c r="A748" s="106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90"/>
      <c r="M748" s="90"/>
      <c r="N748" s="90">
        <f t="shared" si="39"/>
        <v>0</v>
      </c>
      <c r="O748" s="91">
        <f t="shared" si="40"/>
        <v>0</v>
      </c>
    </row>
    <row r="749" spans="1:15" x14ac:dyDescent="0.3">
      <c r="A749" s="106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90"/>
      <c r="M749" s="90"/>
      <c r="N749" s="90">
        <f t="shared" si="39"/>
        <v>0</v>
      </c>
      <c r="O749" s="91">
        <f t="shared" si="40"/>
        <v>0</v>
      </c>
    </row>
    <row r="750" spans="1:15" x14ac:dyDescent="0.3">
      <c r="A750" s="106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90"/>
      <c r="M750" s="90"/>
      <c r="N750" s="90">
        <f t="shared" si="39"/>
        <v>0</v>
      </c>
      <c r="O750" s="91">
        <f t="shared" si="40"/>
        <v>0</v>
      </c>
    </row>
    <row r="751" spans="1:15" x14ac:dyDescent="0.3">
      <c r="A751" s="106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90"/>
      <c r="M751" s="90"/>
      <c r="N751" s="90">
        <f t="shared" si="39"/>
        <v>0</v>
      </c>
      <c r="O751" s="91">
        <f t="shared" si="40"/>
        <v>0</v>
      </c>
    </row>
    <row r="752" spans="1:15" x14ac:dyDescent="0.3">
      <c r="A752" s="106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90"/>
      <c r="M752" s="90"/>
      <c r="N752" s="90">
        <f t="shared" si="39"/>
        <v>0</v>
      </c>
      <c r="O752" s="91">
        <f t="shared" si="40"/>
        <v>0</v>
      </c>
    </row>
    <row r="753" spans="1:15" x14ac:dyDescent="0.3">
      <c r="A753" s="106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90"/>
      <c r="M753" s="90"/>
      <c r="N753" s="90">
        <f t="shared" si="39"/>
        <v>0</v>
      </c>
      <c r="O753" s="91">
        <f t="shared" si="40"/>
        <v>0</v>
      </c>
    </row>
    <row r="754" spans="1:15" x14ac:dyDescent="0.3">
      <c r="A754" s="106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90"/>
      <c r="M754" s="90"/>
      <c r="N754" s="90">
        <f t="shared" si="39"/>
        <v>0</v>
      </c>
      <c r="O754" s="91">
        <f t="shared" si="40"/>
        <v>0</v>
      </c>
    </row>
    <row r="755" spans="1:15" x14ac:dyDescent="0.3">
      <c r="A755" s="106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90"/>
      <c r="M755" s="90"/>
      <c r="N755" s="90">
        <f t="shared" si="39"/>
        <v>0</v>
      </c>
      <c r="O755" s="91">
        <f t="shared" si="40"/>
        <v>0</v>
      </c>
    </row>
    <row r="756" spans="1:15" x14ac:dyDescent="0.3">
      <c r="A756" s="106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90"/>
      <c r="M756" s="90"/>
      <c r="N756" s="90">
        <f t="shared" si="39"/>
        <v>0</v>
      </c>
      <c r="O756" s="91">
        <f t="shared" si="40"/>
        <v>0</v>
      </c>
    </row>
    <row r="757" spans="1:15" x14ac:dyDescent="0.3">
      <c r="A757" s="106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90"/>
      <c r="M757" s="90"/>
      <c r="N757" s="90">
        <f t="shared" si="39"/>
        <v>0</v>
      </c>
      <c r="O757" s="91">
        <f t="shared" si="40"/>
        <v>0</v>
      </c>
    </row>
    <row r="758" spans="1:15" x14ac:dyDescent="0.3">
      <c r="A758" s="106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90"/>
      <c r="M758" s="90"/>
      <c r="N758" s="90">
        <f t="shared" si="39"/>
        <v>0</v>
      </c>
      <c r="O758" s="91">
        <f t="shared" si="40"/>
        <v>0</v>
      </c>
    </row>
    <row r="759" spans="1:15" x14ac:dyDescent="0.3">
      <c r="A759" s="106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90"/>
      <c r="M759" s="90"/>
      <c r="N759" s="90">
        <f t="shared" si="39"/>
        <v>0</v>
      </c>
      <c r="O759" s="91">
        <f t="shared" si="40"/>
        <v>0</v>
      </c>
    </row>
    <row r="760" spans="1:15" x14ac:dyDescent="0.3">
      <c r="A760" s="106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90"/>
      <c r="M760" s="90"/>
      <c r="N760" s="90">
        <f t="shared" si="39"/>
        <v>0</v>
      </c>
      <c r="O760" s="91">
        <f t="shared" si="40"/>
        <v>0</v>
      </c>
    </row>
    <row r="761" spans="1:15" x14ac:dyDescent="0.3">
      <c r="A761" s="106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90"/>
      <c r="M761" s="90"/>
      <c r="N761" s="90">
        <f t="shared" si="39"/>
        <v>0</v>
      </c>
      <c r="O761" s="91">
        <f t="shared" si="40"/>
        <v>0</v>
      </c>
    </row>
    <row r="762" spans="1:15" x14ac:dyDescent="0.3">
      <c r="A762" s="106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90"/>
      <c r="M762" s="90"/>
      <c r="N762" s="90">
        <f t="shared" si="39"/>
        <v>0</v>
      </c>
      <c r="O762" s="91">
        <f t="shared" si="40"/>
        <v>0</v>
      </c>
    </row>
    <row r="763" spans="1:15" x14ac:dyDescent="0.3">
      <c r="A763" s="106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90"/>
      <c r="M763" s="90"/>
      <c r="N763" s="90">
        <f t="shared" si="39"/>
        <v>0</v>
      </c>
      <c r="O763" s="91">
        <f t="shared" si="40"/>
        <v>0</v>
      </c>
    </row>
    <row r="764" spans="1:15" x14ac:dyDescent="0.3">
      <c r="A764" s="106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90"/>
      <c r="M764" s="90"/>
      <c r="N764" s="90">
        <f t="shared" si="39"/>
        <v>0</v>
      </c>
      <c r="O764" s="91">
        <f t="shared" si="40"/>
        <v>0</v>
      </c>
    </row>
    <row r="765" spans="1:15" x14ac:dyDescent="0.3">
      <c r="A765" s="106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90"/>
      <c r="M765" s="90"/>
      <c r="N765" s="90">
        <f t="shared" si="39"/>
        <v>0</v>
      </c>
      <c r="O765" s="91">
        <f t="shared" si="40"/>
        <v>0</v>
      </c>
    </row>
    <row r="766" spans="1:15" x14ac:dyDescent="0.3">
      <c r="A766" s="106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90"/>
      <c r="M766" s="90"/>
      <c r="N766" s="90">
        <f t="shared" si="39"/>
        <v>0</v>
      </c>
      <c r="O766" s="91">
        <f t="shared" si="40"/>
        <v>0</v>
      </c>
    </row>
    <row r="767" spans="1:15" x14ac:dyDescent="0.3">
      <c r="A767" s="106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90"/>
      <c r="M767" s="90"/>
      <c r="N767" s="90">
        <f t="shared" si="39"/>
        <v>0</v>
      </c>
      <c r="O767" s="91">
        <f t="shared" si="40"/>
        <v>0</v>
      </c>
    </row>
    <row r="768" spans="1:15" x14ac:dyDescent="0.3">
      <c r="A768" s="106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90"/>
      <c r="M768" s="90"/>
      <c r="N768" s="90">
        <f t="shared" si="39"/>
        <v>0</v>
      </c>
      <c r="O768" s="91">
        <f t="shared" si="40"/>
        <v>0</v>
      </c>
    </row>
    <row r="769" spans="1:15" x14ac:dyDescent="0.3">
      <c r="A769" s="106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90"/>
      <c r="M769" s="90"/>
      <c r="N769" s="90">
        <f t="shared" si="39"/>
        <v>0</v>
      </c>
      <c r="O769" s="91">
        <f t="shared" si="40"/>
        <v>0</v>
      </c>
    </row>
    <row r="770" spans="1:15" x14ac:dyDescent="0.3">
      <c r="A770" s="106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90"/>
      <c r="M770" s="90"/>
      <c r="N770" s="90">
        <f t="shared" si="39"/>
        <v>0</v>
      </c>
      <c r="O770" s="91">
        <f t="shared" si="40"/>
        <v>0</v>
      </c>
    </row>
    <row r="771" spans="1:15" ht="24.9" customHeight="1" x14ac:dyDescent="0.3">
      <c r="A771" s="109" t="s">
        <v>1050</v>
      </c>
      <c r="B771" s="110"/>
      <c r="C771" s="110"/>
      <c r="D771" s="110"/>
      <c r="E771" s="110"/>
      <c r="F771" s="110"/>
      <c r="G771" s="110"/>
      <c r="H771" s="110"/>
      <c r="I771" s="110"/>
      <c r="J771" s="110"/>
      <c r="K771" s="100"/>
      <c r="L771" s="98">
        <f>SUBTOTAL(9,L4:L770)</f>
        <v>22580</v>
      </c>
      <c r="M771" s="98">
        <f>SUBTOTAL(9,M5:M770)</f>
        <v>21528</v>
      </c>
      <c r="N771" s="98">
        <f>+L771-M771</f>
        <v>1052</v>
      </c>
      <c r="O771" s="99">
        <f>IFERROR(IF(7&lt;&gt;0, M771*100/L771, IF(L771=M771, M771*100/L771, 0)), 0)</f>
        <v>95.341009743135515</v>
      </c>
    </row>
  </sheetData>
  <autoFilter ref="A3:O770" xr:uid="{02D5B8AC-A69F-4CCC-9CF5-6E817C1B49DE}"/>
  <mergeCells count="1">
    <mergeCell ref="A771:J771"/>
  </mergeCells>
  <conditionalFormatting sqref="O4:O771">
    <cfRule type="cellIs" dxfId="3" priority="1" operator="between">
      <formula>0</formula>
      <formula>69.9</formula>
    </cfRule>
    <cfRule type="cellIs" dxfId="2" priority="2" operator="between">
      <formula>70</formula>
      <formula>79.9</formula>
    </cfRule>
    <cfRule type="cellIs" dxfId="1" priority="3" operator="between">
      <formula>80</formula>
      <formula>89.9</formula>
    </cfRule>
    <cfRule type="cellIs" dxfId="0" priority="4" operator="between">
      <formula>90</formula>
      <formula>120</formula>
    </cfRule>
  </conditionalFormatting>
  <dataValidations disablePrompts="1" count="1">
    <dataValidation type="whole" allowBlank="1" showInputMessage="1" showErrorMessage="1" sqref="E4:I123" xr:uid="{97834D67-1CDE-453D-AAC1-A2322629A70D}">
      <formula1>1</formula1>
      <formula2>5</formula2>
    </dataValidation>
  </dataValidations>
  <pageMargins left="0.7" right="0.7" top="0.75" bottom="0.75" header="0.3" footer="0.3"/>
  <pageSetup orientation="portrait" horizontalDpi="360" verticalDpi="36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FC4BD-9FA4-4B59-ADBA-E3EB7466CA34}">
  <dimension ref="A1:AC58"/>
  <sheetViews>
    <sheetView showGridLines="0" view="pageBreakPreview" topLeftCell="A3" zoomScale="124" zoomScaleNormal="100" zoomScaleSheetLayoutView="100" workbookViewId="0">
      <pane xSplit="9" ySplit="7" topLeftCell="J10" activePane="bottomRight" state="frozen"/>
      <selection pane="topRight" activeCell="J3" sqref="J3"/>
      <selection pane="bottomLeft" activeCell="A10" sqref="A10"/>
      <selection pane="bottomRight" activeCell="K12" sqref="K12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4.55468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49"/>
    </row>
    <row r="2" spans="1:29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283</v>
      </c>
      <c r="J4" s="142"/>
      <c r="K4" s="142"/>
      <c r="L4" s="39"/>
      <c r="M4" s="39"/>
      <c r="N4" s="39"/>
      <c r="O4" s="39"/>
      <c r="P4" s="134" t="s">
        <v>5</v>
      </c>
      <c r="Q4" s="134"/>
      <c r="R4" s="135" t="s">
        <v>284</v>
      </c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46"/>
    </row>
    <row r="5" spans="1:29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39"/>
      <c r="N5" s="39"/>
      <c r="O5" s="39"/>
      <c r="P5" s="134" t="s">
        <v>7</v>
      </c>
      <c r="Q5" s="134"/>
      <c r="R5" s="135" t="s">
        <v>8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46"/>
    </row>
    <row r="7" spans="1:29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29"/>
      <c r="O7" s="129"/>
      <c r="P7" s="129"/>
      <c r="Q7" s="130" t="s">
        <v>14</v>
      </c>
      <c r="R7" s="130"/>
      <c r="S7" s="130"/>
      <c r="T7" s="130"/>
      <c r="U7" s="114" t="s">
        <v>15</v>
      </c>
      <c r="V7" s="115"/>
      <c r="W7" s="115"/>
      <c r="X7" s="115"/>
      <c r="Y7" s="115"/>
      <c r="Z7" s="115"/>
      <c r="AA7" s="116"/>
      <c r="AB7" s="117" t="s">
        <v>16</v>
      </c>
      <c r="AC7" s="143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18"/>
      <c r="AC8" s="143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62"/>
    </row>
    <row r="10" spans="1:29" ht="33" customHeight="1" x14ac:dyDescent="0.3">
      <c r="A10" s="24" t="s">
        <v>35</v>
      </c>
      <c r="B10" s="24" t="s">
        <v>36</v>
      </c>
      <c r="C10" s="24" t="s">
        <v>831</v>
      </c>
      <c r="D10" s="23"/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/>
      <c r="K10" s="9"/>
      <c r="L10" s="10">
        <f t="shared" ref="L10:L57" si="0">+J10-K10</f>
        <v>0</v>
      </c>
      <c r="M10" s="10"/>
      <c r="N10" s="10"/>
      <c r="O10" s="10"/>
      <c r="P10" s="38">
        <f t="shared" ref="P10:P57" si="1">IFERROR(IF(7&lt;&gt;0, K10*100/J10, IF(J10=K10, K10*100/J10, 0)), 0)</f>
        <v>0</v>
      </c>
      <c r="Q10" s="45"/>
      <c r="R10" s="11"/>
      <c r="S10" s="12">
        <f t="shared" ref="S10:S57" si="2">+Q10-R10</f>
        <v>0</v>
      </c>
      <c r="T10" s="28">
        <f t="shared" ref="T10:T57" si="3">IFERROR(IF(S10&lt;&gt;0, Q10*100/R10, IF(Q10=R10, Q10*100/R10, 0)), 0)</f>
        <v>0</v>
      </c>
      <c r="U10" s="9"/>
      <c r="V10" s="9"/>
      <c r="W10" s="9"/>
      <c r="X10" s="9"/>
      <c r="Y10" s="9"/>
      <c r="Z10" s="10">
        <f t="shared" ref="Z10:Z57" si="4">SUM(U10:Y10)</f>
        <v>0</v>
      </c>
      <c r="AA10" s="30">
        <f t="shared" ref="AA10" si="5">+Z10*100/20</f>
        <v>0</v>
      </c>
      <c r="AB10" s="32">
        <f t="shared" ref="AB10:AB57" si="6">+(T10+P10+AA10)/3</f>
        <v>0</v>
      </c>
      <c r="AC10" s="63"/>
    </row>
    <row r="11" spans="1:29" ht="27.6" x14ac:dyDescent="0.3">
      <c r="A11" s="24" t="s">
        <v>35</v>
      </c>
      <c r="B11" s="24" t="s">
        <v>36</v>
      </c>
      <c r="C11" s="24" t="s">
        <v>843</v>
      </c>
      <c r="D11" s="23" t="s">
        <v>862</v>
      </c>
      <c r="E11" s="20"/>
      <c r="F11" s="21"/>
      <c r="G11" s="22"/>
      <c r="H11" s="22"/>
      <c r="I11" s="3" t="s">
        <v>49</v>
      </c>
      <c r="J11" s="9">
        <v>28</v>
      </c>
      <c r="K11" s="9">
        <v>26</v>
      </c>
      <c r="L11" s="10">
        <f t="shared" si="0"/>
        <v>2</v>
      </c>
      <c r="M11" s="10"/>
      <c r="N11" s="10"/>
      <c r="O11" s="10"/>
      <c r="P11" s="38">
        <f t="shared" si="1"/>
        <v>92.857142857142861</v>
      </c>
      <c r="Q11" s="11"/>
      <c r="R11" s="11"/>
      <c r="S11" s="12">
        <f t="shared" si="2"/>
        <v>0</v>
      </c>
      <c r="T11" s="28">
        <f t="shared" si="3"/>
        <v>0</v>
      </c>
      <c r="U11" s="9">
        <v>9</v>
      </c>
      <c r="V11" s="9"/>
      <c r="W11" s="9"/>
      <c r="X11" s="9"/>
      <c r="Y11" s="9">
        <v>10</v>
      </c>
      <c r="Z11" s="10">
        <f>+U11+Y11</f>
        <v>19</v>
      </c>
      <c r="AA11" s="30">
        <f>+Z11*100/20</f>
        <v>95</v>
      </c>
      <c r="AB11" s="32">
        <f>+(P11+AA11)/2</f>
        <v>93.928571428571431</v>
      </c>
      <c r="AC11" s="64"/>
    </row>
    <row r="12" spans="1:29" ht="24" x14ac:dyDescent="0.3">
      <c r="A12" s="24" t="s">
        <v>35</v>
      </c>
      <c r="B12" s="24" t="s">
        <v>35</v>
      </c>
      <c r="C12" s="24" t="s">
        <v>843</v>
      </c>
      <c r="D12" s="23" t="s">
        <v>862</v>
      </c>
      <c r="E12" s="20"/>
      <c r="F12" s="21"/>
      <c r="G12" s="22"/>
      <c r="H12" s="22"/>
      <c r="I12" s="3" t="s">
        <v>1009</v>
      </c>
      <c r="J12" s="9">
        <v>74</v>
      </c>
      <c r="K12" s="9">
        <v>74</v>
      </c>
      <c r="L12" s="10">
        <f t="shared" ref="L12" si="7">+J12-K12</f>
        <v>0</v>
      </c>
      <c r="M12" s="10"/>
      <c r="N12" s="10"/>
      <c r="O12" s="10"/>
      <c r="P12" s="38">
        <f t="shared" ref="P12" si="8">IFERROR(IF(7&lt;&gt;0, K12*100/J12, IF(J12=K12, K12*100/J12, 0)), 0)</f>
        <v>100</v>
      </c>
      <c r="Q12" s="11"/>
      <c r="R12" s="11"/>
      <c r="S12" s="12">
        <f t="shared" ref="S12" si="9">+Q12-R12</f>
        <v>0</v>
      </c>
      <c r="T12" s="28">
        <f t="shared" ref="T12" si="10">IFERROR(IF(S12&lt;&gt;0, Q12*100/R12, IF(Q12=R12, Q12*100/R12, 0)), 0)</f>
        <v>0</v>
      </c>
      <c r="U12" s="9">
        <v>10</v>
      </c>
      <c r="V12" s="9"/>
      <c r="W12" s="9"/>
      <c r="X12" s="9"/>
      <c r="Y12" s="9">
        <v>10</v>
      </c>
      <c r="Z12" s="10">
        <f t="shared" ref="Z12:Z14" si="11">+U12+Y12</f>
        <v>20</v>
      </c>
      <c r="AA12" s="30">
        <f t="shared" ref="AA12:AA57" si="12">+Z12*100/20</f>
        <v>100</v>
      </c>
      <c r="AB12" s="32">
        <f t="shared" ref="AB12:AB14" si="13">+(P12+AA12)/2</f>
        <v>100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f>23+19</f>
        <v>42</v>
      </c>
      <c r="K13" s="9">
        <v>36</v>
      </c>
      <c r="L13" s="10">
        <f t="shared" si="0"/>
        <v>6</v>
      </c>
      <c r="M13" s="10"/>
      <c r="N13" s="10"/>
      <c r="O13" s="10"/>
      <c r="P13" s="38">
        <f t="shared" si="1"/>
        <v>85.714285714285708</v>
      </c>
      <c r="Q13" s="11"/>
      <c r="R13" s="11"/>
      <c r="S13" s="12">
        <f t="shared" si="2"/>
        <v>0</v>
      </c>
      <c r="T13" s="28">
        <f t="shared" si="3"/>
        <v>0</v>
      </c>
      <c r="U13" s="9">
        <v>8</v>
      </c>
      <c r="V13" s="9"/>
      <c r="W13" s="9"/>
      <c r="X13" s="9"/>
      <c r="Y13" s="9">
        <v>10</v>
      </c>
      <c r="Z13" s="10">
        <f t="shared" si="11"/>
        <v>18</v>
      </c>
      <c r="AA13" s="30">
        <f t="shared" si="12"/>
        <v>90</v>
      </c>
      <c r="AB13" s="32">
        <f t="shared" si="13"/>
        <v>87.857142857142861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/>
      <c r="E14" s="20"/>
      <c r="F14" s="21"/>
      <c r="G14" s="22"/>
      <c r="H14" s="22"/>
      <c r="I14" s="3" t="s">
        <v>55</v>
      </c>
      <c r="J14" s="9"/>
      <c r="K14" s="9"/>
      <c r="L14" s="10">
        <f t="shared" si="0"/>
        <v>0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/>
      <c r="V14" s="9"/>
      <c r="W14" s="9"/>
      <c r="X14" s="9"/>
      <c r="Y14" s="9"/>
      <c r="Z14" s="10">
        <f t="shared" si="11"/>
        <v>0</v>
      </c>
      <c r="AA14" s="30">
        <f t="shared" si="12"/>
        <v>0</v>
      </c>
      <c r="AB14" s="32">
        <f t="shared" si="13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843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12"/>
        <v>0</v>
      </c>
      <c r="AB15" s="32">
        <f t="shared" si="6"/>
        <v>0</v>
      </c>
      <c r="AC15" s="63" t="s">
        <v>1051</v>
      </c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12"/>
        <v>0</v>
      </c>
      <c r="AB16" s="32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/>
      <c r="E17" s="20"/>
      <c r="F17" s="21"/>
      <c r="G17" s="23"/>
      <c r="H17" s="23"/>
      <c r="I17" s="3" t="s">
        <v>75</v>
      </c>
      <c r="J17" s="9"/>
      <c r="K17" s="9"/>
      <c r="L17" s="10">
        <f t="shared" si="0"/>
        <v>0</v>
      </c>
      <c r="M17" s="10"/>
      <c r="N17" s="10"/>
      <c r="O17" s="10"/>
      <c r="P17" s="38">
        <f t="shared" si="1"/>
        <v>0</v>
      </c>
      <c r="Q17" s="11"/>
      <c r="R17" s="11"/>
      <c r="S17" s="12">
        <f t="shared" si="2"/>
        <v>0</v>
      </c>
      <c r="T17" s="28">
        <f t="shared" si="3"/>
        <v>0</v>
      </c>
      <c r="U17" s="9"/>
      <c r="V17" s="9"/>
      <c r="W17" s="9"/>
      <c r="X17" s="9"/>
      <c r="Y17" s="9"/>
      <c r="Z17" s="10">
        <f>+U17+Y17</f>
        <v>0</v>
      </c>
      <c r="AA17" s="30">
        <f t="shared" si="12"/>
        <v>0</v>
      </c>
      <c r="AB17" s="32">
        <f>+(P17+AA17)/2</f>
        <v>0</v>
      </c>
      <c r="AC17" s="63"/>
    </row>
    <row r="18" spans="1:29" ht="27" customHeight="1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12"/>
        <v>0</v>
      </c>
      <c r="AB18" s="32">
        <f t="shared" si="6"/>
        <v>0</v>
      </c>
      <c r="AC18" s="64"/>
    </row>
    <row r="19" spans="1:29" ht="41.4" x14ac:dyDescent="0.3">
      <c r="A19" s="24" t="s">
        <v>35</v>
      </c>
      <c r="B19" s="24"/>
      <c r="C19" s="24" t="s">
        <v>843</v>
      </c>
      <c r="D19" s="23" t="s">
        <v>862</v>
      </c>
      <c r="E19" s="20"/>
      <c r="F19" s="21"/>
      <c r="G19" s="23"/>
      <c r="H19" s="23"/>
      <c r="I19" s="3" t="s">
        <v>77</v>
      </c>
      <c r="J19" s="9">
        <v>28</v>
      </c>
      <c r="K19" s="9">
        <v>12</v>
      </c>
      <c r="L19" s="10">
        <v>0</v>
      </c>
      <c r="M19" s="10"/>
      <c r="N19" s="10"/>
      <c r="O19" s="10"/>
      <c r="P19" s="38">
        <f t="shared" si="1"/>
        <v>42.857142857142854</v>
      </c>
      <c r="Q19" s="11"/>
      <c r="R19" s="11"/>
      <c r="S19" s="12">
        <f t="shared" si="2"/>
        <v>0</v>
      </c>
      <c r="T19" s="28">
        <f t="shared" si="3"/>
        <v>0</v>
      </c>
      <c r="U19" s="9">
        <v>4</v>
      </c>
      <c r="V19" s="9"/>
      <c r="W19" s="9"/>
      <c r="X19" s="9"/>
      <c r="Y19" s="9">
        <v>10</v>
      </c>
      <c r="Z19" s="10">
        <f t="shared" ref="Z19:Z20" si="14">+U19+Y19</f>
        <v>14</v>
      </c>
      <c r="AA19" s="30">
        <f t="shared" si="12"/>
        <v>70</v>
      </c>
      <c r="AB19" s="32">
        <f t="shared" ref="AB19:AB20" si="15">+(P19+AA19)/2</f>
        <v>56.428571428571431</v>
      </c>
      <c r="AC19" s="63" t="s">
        <v>1052</v>
      </c>
    </row>
    <row r="20" spans="1:29" ht="27.6" x14ac:dyDescent="0.3">
      <c r="A20" s="24" t="s">
        <v>35</v>
      </c>
      <c r="B20" s="24"/>
      <c r="C20" s="24" t="s">
        <v>853</v>
      </c>
      <c r="D20" s="23" t="s">
        <v>862</v>
      </c>
      <c r="E20" s="20"/>
      <c r="F20" s="21"/>
      <c r="G20" s="23"/>
      <c r="H20" s="23"/>
      <c r="I20" s="3" t="s">
        <v>78</v>
      </c>
      <c r="J20" s="9">
        <v>2</v>
      </c>
      <c r="K20" s="9">
        <v>2</v>
      </c>
      <c r="L20" s="10">
        <f t="shared" si="0"/>
        <v>0</v>
      </c>
      <c r="M20" s="10"/>
      <c r="N20" s="10"/>
      <c r="O20" s="10"/>
      <c r="P20" s="38">
        <f t="shared" si="1"/>
        <v>100</v>
      </c>
      <c r="Q20" s="11"/>
      <c r="R20" s="11"/>
      <c r="S20" s="12">
        <f t="shared" si="2"/>
        <v>0</v>
      </c>
      <c r="T20" s="28">
        <f t="shared" si="3"/>
        <v>0</v>
      </c>
      <c r="U20" s="9">
        <v>5</v>
      </c>
      <c r="V20" s="9"/>
      <c r="W20" s="9"/>
      <c r="X20" s="9"/>
      <c r="Y20" s="9">
        <v>10</v>
      </c>
      <c r="Z20" s="10">
        <f t="shared" si="14"/>
        <v>15</v>
      </c>
      <c r="AA20" s="30">
        <f t="shared" si="12"/>
        <v>75</v>
      </c>
      <c r="AB20" s="32">
        <f t="shared" si="15"/>
        <v>87.5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12"/>
        <v>0</v>
      </c>
      <c r="AB21" s="32">
        <f t="shared" si="6"/>
        <v>0</v>
      </c>
      <c r="AC21" s="64"/>
    </row>
    <row r="22" spans="1:29" ht="27.6" x14ac:dyDescent="0.3">
      <c r="A22" s="24" t="s">
        <v>79</v>
      </c>
      <c r="B22" s="24" t="s">
        <v>35</v>
      </c>
      <c r="C22" s="24" t="s">
        <v>843</v>
      </c>
      <c r="D22" s="23" t="s">
        <v>862</v>
      </c>
      <c r="E22" s="20"/>
      <c r="F22" s="21"/>
      <c r="G22" s="23"/>
      <c r="H22" s="23"/>
      <c r="I22" s="3" t="s">
        <v>88</v>
      </c>
      <c r="J22" s="9">
        <v>1</v>
      </c>
      <c r="K22" s="9">
        <v>1</v>
      </c>
      <c r="L22" s="10">
        <f t="shared" si="0"/>
        <v>0</v>
      </c>
      <c r="M22" s="10"/>
      <c r="N22" s="10"/>
      <c r="O22" s="10"/>
      <c r="P22" s="38">
        <f t="shared" si="1"/>
        <v>100</v>
      </c>
      <c r="Q22" s="11"/>
      <c r="R22" s="11"/>
      <c r="S22" s="12">
        <f t="shared" si="2"/>
        <v>0</v>
      </c>
      <c r="T22" s="28">
        <f t="shared" si="3"/>
        <v>0</v>
      </c>
      <c r="U22" s="9">
        <v>10</v>
      </c>
      <c r="V22" s="9"/>
      <c r="W22" s="9"/>
      <c r="X22" s="9"/>
      <c r="Y22" s="9">
        <v>10</v>
      </c>
      <c r="Z22" s="10">
        <f>+U22+Y22</f>
        <v>20</v>
      </c>
      <c r="AA22" s="30">
        <f t="shared" si="12"/>
        <v>100</v>
      </c>
      <c r="AB22" s="32">
        <f>+(P22+AA22)/2</f>
        <v>100</v>
      </c>
      <c r="AC22" s="64"/>
    </row>
    <row r="23" spans="1:29" ht="1.35" customHeight="1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12"/>
        <v>0</v>
      </c>
      <c r="AB23" s="32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>+U24+Y24</f>
        <v>20</v>
      </c>
      <c r="AA24" s="30">
        <f t="shared" si="12"/>
        <v>100</v>
      </c>
      <c r="AB24" s="32">
        <f>+(P24+AA24)/2</f>
        <v>100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12"/>
        <v>0</v>
      </c>
      <c r="AB25" s="32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843</v>
      </c>
      <c r="D26" s="23" t="s">
        <v>862</v>
      </c>
      <c r="E26" s="20"/>
      <c r="F26" s="21"/>
      <c r="G26" s="23"/>
      <c r="H26" s="23"/>
      <c r="I26" s="3" t="s">
        <v>108</v>
      </c>
      <c r="J26" s="9">
        <v>2121</v>
      </c>
      <c r="K26" s="9">
        <v>2051</v>
      </c>
      <c r="L26" s="10">
        <f t="shared" si="0"/>
        <v>70</v>
      </c>
      <c r="M26" s="10"/>
      <c r="N26" s="10"/>
      <c r="O26" s="10"/>
      <c r="P26" s="38">
        <f t="shared" si="1"/>
        <v>96.699669966996694</v>
      </c>
      <c r="Q26" s="11"/>
      <c r="R26" s="11"/>
      <c r="S26" s="12">
        <f t="shared" si="2"/>
        <v>0</v>
      </c>
      <c r="T26" s="28">
        <f t="shared" si="3"/>
        <v>0</v>
      </c>
      <c r="U26" s="9">
        <v>9</v>
      </c>
      <c r="V26" s="9"/>
      <c r="W26" s="9"/>
      <c r="X26" s="9"/>
      <c r="Y26" s="9">
        <v>10</v>
      </c>
      <c r="Z26" s="10">
        <f>+U26+Y26</f>
        <v>19</v>
      </c>
      <c r="AA26" s="30">
        <f t="shared" si="12"/>
        <v>95</v>
      </c>
      <c r="AB26" s="32">
        <f>+(P26+AA26)/2</f>
        <v>95.84983498349834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12"/>
        <v>0</v>
      </c>
      <c r="AB27" s="32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/>
      <c r="E28" s="20"/>
      <c r="F28" s="21"/>
      <c r="G28" s="23"/>
      <c r="H28" s="23"/>
      <c r="I28" s="3" t="s">
        <v>113</v>
      </c>
      <c r="J28" s="9"/>
      <c r="K28" s="9"/>
      <c r="L28" s="10">
        <f t="shared" si="0"/>
        <v>0</v>
      </c>
      <c r="M28" s="10"/>
      <c r="N28" s="10"/>
      <c r="O28" s="10"/>
      <c r="P28" s="38">
        <f t="shared" si="1"/>
        <v>0</v>
      </c>
      <c r="Q28" s="11"/>
      <c r="R28" s="11"/>
      <c r="S28" s="12">
        <f t="shared" si="2"/>
        <v>0</v>
      </c>
      <c r="T28" s="28">
        <f t="shared" si="3"/>
        <v>0</v>
      </c>
      <c r="U28" s="9"/>
      <c r="V28" s="9"/>
      <c r="W28" s="9"/>
      <c r="X28" s="9"/>
      <c r="Y28" s="9"/>
      <c r="Z28" s="10">
        <f t="shared" ref="Z28:Z30" si="16">+U28+Y28</f>
        <v>0</v>
      </c>
      <c r="AA28" s="30">
        <f t="shared" si="12"/>
        <v>0</v>
      </c>
      <c r="AB28" s="32">
        <f t="shared" ref="AB28:AB30" si="17">+(P28+AA28)/2</f>
        <v>0</v>
      </c>
      <c r="AC28" s="63"/>
    </row>
    <row r="29" spans="1:29" ht="27.6" x14ac:dyDescent="0.3">
      <c r="A29" s="24" t="s">
        <v>35</v>
      </c>
      <c r="B29" s="24" t="s">
        <v>64</v>
      </c>
      <c r="C29" s="24" t="s">
        <v>843</v>
      </c>
      <c r="D29" s="23" t="s">
        <v>862</v>
      </c>
      <c r="E29" s="20"/>
      <c r="F29" s="21"/>
      <c r="G29" s="23"/>
      <c r="H29" s="23"/>
      <c r="I29" s="3" t="s">
        <v>114</v>
      </c>
      <c r="J29" s="9">
        <f>2121+94</f>
        <v>2215</v>
      </c>
      <c r="K29" s="9">
        <v>2124</v>
      </c>
      <c r="L29" s="10">
        <f t="shared" si="0"/>
        <v>91</v>
      </c>
      <c r="M29" s="10"/>
      <c r="N29" s="10"/>
      <c r="O29" s="10"/>
      <c r="P29" s="38">
        <f t="shared" si="1"/>
        <v>95.891647855530479</v>
      </c>
      <c r="Q29" s="11"/>
      <c r="R29" s="11"/>
      <c r="S29" s="12">
        <f t="shared" si="2"/>
        <v>0</v>
      </c>
      <c r="T29" s="28">
        <f t="shared" si="3"/>
        <v>0</v>
      </c>
      <c r="U29" s="9">
        <v>9</v>
      </c>
      <c r="V29" s="9"/>
      <c r="W29" s="9"/>
      <c r="X29" s="9"/>
      <c r="Y29" s="9">
        <v>10</v>
      </c>
      <c r="Z29" s="10">
        <f t="shared" si="16"/>
        <v>19</v>
      </c>
      <c r="AA29" s="30">
        <f t="shared" si="12"/>
        <v>95</v>
      </c>
      <c r="AB29" s="32">
        <f t="shared" si="17"/>
        <v>95.445823927765247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 t="s">
        <v>862</v>
      </c>
      <c r="E30" s="20"/>
      <c r="F30" s="21"/>
      <c r="G30" s="23"/>
      <c r="H30" s="23"/>
      <c r="I30" s="3" t="s">
        <v>115</v>
      </c>
      <c r="J30" s="9">
        <v>2</v>
      </c>
      <c r="K30" s="9">
        <v>2</v>
      </c>
      <c r="L30" s="10">
        <f t="shared" si="0"/>
        <v>0</v>
      </c>
      <c r="M30" s="10"/>
      <c r="N30" s="10"/>
      <c r="O30" s="10"/>
      <c r="P30" s="38">
        <f t="shared" si="1"/>
        <v>100</v>
      </c>
      <c r="Q30" s="11"/>
      <c r="R30" s="11"/>
      <c r="S30" s="12">
        <f t="shared" si="2"/>
        <v>0</v>
      </c>
      <c r="T30" s="28">
        <f t="shared" si="3"/>
        <v>0</v>
      </c>
      <c r="U30" s="9">
        <v>10</v>
      </c>
      <c r="V30" s="9"/>
      <c r="W30" s="9"/>
      <c r="X30" s="9"/>
      <c r="Y30" s="9">
        <v>10</v>
      </c>
      <c r="Z30" s="10">
        <f t="shared" si="16"/>
        <v>20</v>
      </c>
      <c r="AA30" s="30">
        <f t="shared" si="12"/>
        <v>100</v>
      </c>
      <c r="AB30" s="32">
        <f t="shared" si="17"/>
        <v>100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12"/>
        <v>0</v>
      </c>
      <c r="AB31" s="32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/>
      <c r="E32" s="20"/>
      <c r="F32" s="21"/>
      <c r="G32" s="23"/>
      <c r="H32" s="23"/>
      <c r="I32" s="3" t="s">
        <v>126</v>
      </c>
      <c r="J32" s="9"/>
      <c r="K32" s="9"/>
      <c r="L32" s="10">
        <f t="shared" si="0"/>
        <v>0</v>
      </c>
      <c r="M32" s="10"/>
      <c r="N32" s="10"/>
      <c r="O32" s="10"/>
      <c r="P32" s="38">
        <f t="shared" si="1"/>
        <v>0</v>
      </c>
      <c r="Q32" s="11"/>
      <c r="R32" s="11"/>
      <c r="S32" s="12">
        <f t="shared" si="2"/>
        <v>0</v>
      </c>
      <c r="T32" s="28">
        <f t="shared" si="3"/>
        <v>0</v>
      </c>
      <c r="U32" s="9"/>
      <c r="V32" s="9"/>
      <c r="W32" s="9"/>
      <c r="X32" s="9"/>
      <c r="Y32" s="9"/>
      <c r="Z32" s="10">
        <f t="shared" ref="Z32:Z37" si="18">+U32+Y32</f>
        <v>0</v>
      </c>
      <c r="AA32" s="30">
        <f t="shared" si="12"/>
        <v>0</v>
      </c>
      <c r="AB32" s="32">
        <f t="shared" ref="AB32:AB37" si="19">+(P32+AA32)/2</f>
        <v>0</v>
      </c>
      <c r="AC32" s="63"/>
    </row>
    <row r="33" spans="1:29" ht="27.6" x14ac:dyDescent="0.3">
      <c r="A33" s="24" t="s">
        <v>36</v>
      </c>
      <c r="B33" s="24" t="s">
        <v>35</v>
      </c>
      <c r="C33" s="24" t="s">
        <v>843</v>
      </c>
      <c r="D33" s="23" t="s">
        <v>862</v>
      </c>
      <c r="E33" s="20"/>
      <c r="F33" s="21"/>
      <c r="G33" s="23"/>
      <c r="H33" s="23"/>
      <c r="I33" s="3" t="s">
        <v>127</v>
      </c>
      <c r="J33" s="9">
        <v>3</v>
      </c>
      <c r="K33" s="9">
        <v>3</v>
      </c>
      <c r="L33" s="10">
        <f t="shared" si="0"/>
        <v>0</v>
      </c>
      <c r="M33" s="10"/>
      <c r="N33" s="10"/>
      <c r="O33" s="10"/>
      <c r="P33" s="38">
        <f t="shared" si="1"/>
        <v>100</v>
      </c>
      <c r="Q33" s="11"/>
      <c r="R33" s="11"/>
      <c r="S33" s="12">
        <f t="shared" si="2"/>
        <v>0</v>
      </c>
      <c r="T33" s="28">
        <f t="shared" si="3"/>
        <v>0</v>
      </c>
      <c r="U33" s="9">
        <v>10</v>
      </c>
      <c r="V33" s="9"/>
      <c r="W33" s="9"/>
      <c r="X33" s="9"/>
      <c r="Y33" s="9">
        <v>10</v>
      </c>
      <c r="Z33" s="10">
        <f t="shared" si="18"/>
        <v>20</v>
      </c>
      <c r="AA33" s="30">
        <f t="shared" si="12"/>
        <v>100</v>
      </c>
      <c r="AB33" s="32">
        <f t="shared" si="19"/>
        <v>100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2</v>
      </c>
      <c r="K34" s="9">
        <v>2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si="18"/>
        <v>20</v>
      </c>
      <c r="AA34" s="30">
        <f t="shared" si="12"/>
        <v>100</v>
      </c>
      <c r="AB34" s="32">
        <f t="shared" si="19"/>
        <v>100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/>
      <c r="E35" s="20"/>
      <c r="F35" s="21"/>
      <c r="G35" s="23"/>
      <c r="H35" s="23"/>
      <c r="I35" s="3" t="s">
        <v>129</v>
      </c>
      <c r="J35" s="9"/>
      <c r="K35" s="9"/>
      <c r="L35" s="10">
        <f t="shared" si="0"/>
        <v>0</v>
      </c>
      <c r="M35" s="10"/>
      <c r="N35" s="10"/>
      <c r="O35" s="10"/>
      <c r="P35" s="38">
        <f t="shared" si="1"/>
        <v>0</v>
      </c>
      <c r="Q35" s="11"/>
      <c r="R35" s="11"/>
      <c r="S35" s="12">
        <f t="shared" si="2"/>
        <v>0</v>
      </c>
      <c r="T35" s="28">
        <f t="shared" si="3"/>
        <v>0</v>
      </c>
      <c r="U35" s="9"/>
      <c r="V35" s="9"/>
      <c r="W35" s="9"/>
      <c r="X35" s="9"/>
      <c r="Y35" s="9"/>
      <c r="Z35" s="10">
        <f t="shared" si="18"/>
        <v>0</v>
      </c>
      <c r="AA35" s="30">
        <f t="shared" si="12"/>
        <v>0</v>
      </c>
      <c r="AB35" s="32">
        <f t="shared" si="19"/>
        <v>0</v>
      </c>
      <c r="AC35" s="63"/>
    </row>
    <row r="36" spans="1:29" ht="41.4" x14ac:dyDescent="0.3">
      <c r="A36" s="24" t="s">
        <v>36</v>
      </c>
      <c r="B36" s="24" t="s">
        <v>35</v>
      </c>
      <c r="C36" s="24" t="s">
        <v>843</v>
      </c>
      <c r="D36" s="23" t="s">
        <v>862</v>
      </c>
      <c r="E36" s="20"/>
      <c r="F36" s="21"/>
      <c r="G36" s="23"/>
      <c r="H36" s="23"/>
      <c r="I36" s="3" t="s">
        <v>130</v>
      </c>
      <c r="J36" s="9">
        <v>3</v>
      </c>
      <c r="K36" s="9">
        <v>3</v>
      </c>
      <c r="L36" s="10">
        <f t="shared" si="0"/>
        <v>0</v>
      </c>
      <c r="M36" s="10"/>
      <c r="N36" s="10"/>
      <c r="O36" s="10"/>
      <c r="P36" s="38">
        <f t="shared" si="1"/>
        <v>100</v>
      </c>
      <c r="Q36" s="11"/>
      <c r="R36" s="11"/>
      <c r="S36" s="12">
        <f t="shared" si="2"/>
        <v>0</v>
      </c>
      <c r="T36" s="28">
        <f t="shared" si="3"/>
        <v>0</v>
      </c>
      <c r="U36" s="9">
        <v>10</v>
      </c>
      <c r="V36" s="9"/>
      <c r="W36" s="9"/>
      <c r="X36" s="9"/>
      <c r="Y36" s="9">
        <v>10</v>
      </c>
      <c r="Z36" s="10">
        <f t="shared" si="18"/>
        <v>20</v>
      </c>
      <c r="AA36" s="30">
        <f t="shared" si="12"/>
        <v>100</v>
      </c>
      <c r="AB36" s="32">
        <f t="shared" si="19"/>
        <v>100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2</v>
      </c>
      <c r="K37" s="9">
        <v>2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 t="shared" si="18"/>
        <v>20</v>
      </c>
      <c r="AA37" s="30">
        <f t="shared" si="12"/>
        <v>100</v>
      </c>
      <c r="AB37" s="32">
        <f t="shared" si="19"/>
        <v>100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12"/>
        <v>0</v>
      </c>
      <c r="AB38" s="32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/>
      <c r="E39" s="20"/>
      <c r="F39" s="21"/>
      <c r="G39" s="23"/>
      <c r="H39" s="23"/>
      <c r="I39" s="3" t="s">
        <v>155</v>
      </c>
      <c r="J39" s="9"/>
      <c r="K39" s="9"/>
      <c r="L39" s="10">
        <f t="shared" si="0"/>
        <v>0</v>
      </c>
      <c r="M39" s="10"/>
      <c r="N39" s="10"/>
      <c r="O39" s="10"/>
      <c r="P39" s="38">
        <f t="shared" si="1"/>
        <v>0</v>
      </c>
      <c r="Q39" s="11"/>
      <c r="R39" s="11"/>
      <c r="S39" s="12">
        <f t="shared" si="2"/>
        <v>0</v>
      </c>
      <c r="T39" s="28">
        <f t="shared" si="3"/>
        <v>0</v>
      </c>
      <c r="U39" s="9"/>
      <c r="V39" s="9"/>
      <c r="W39" s="9"/>
      <c r="X39" s="9"/>
      <c r="Y39" s="9"/>
      <c r="Z39" s="10">
        <f>+U39+Y39</f>
        <v>0</v>
      </c>
      <c r="AA39" s="30">
        <f t="shared" si="12"/>
        <v>0</v>
      </c>
      <c r="AB39" s="32">
        <f>+(P39+AA39)/2</f>
        <v>0</v>
      </c>
      <c r="AC39" s="63"/>
    </row>
    <row r="40" spans="1:29" ht="27.6" x14ac:dyDescent="0.3">
      <c r="A40" s="24" t="s">
        <v>84</v>
      </c>
      <c r="B40" s="24" t="s">
        <v>35</v>
      </c>
      <c r="C40" s="24" t="s">
        <v>843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12"/>
        <v>0</v>
      </c>
      <c r="AB40" s="32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12"/>
        <v>0</v>
      </c>
      <c r="AB41" s="32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>+U42+Y42</f>
        <v>0</v>
      </c>
      <c r="AA42" s="30">
        <f t="shared" si="12"/>
        <v>0</v>
      </c>
      <c r="AB42" s="32">
        <f>+(P42+AA42)/2</f>
        <v>0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12"/>
        <v>0</v>
      </c>
      <c r="AB43" s="32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ref="Z44:Z50" si="20">+U44+Y44</f>
        <v>0</v>
      </c>
      <c r="AA44" s="30">
        <f t="shared" si="12"/>
        <v>0</v>
      </c>
      <c r="AB44" s="32">
        <f t="shared" ref="AB44:AB50" si="21">+(P44+AA44)/2</f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20"/>
        <v>0</v>
      </c>
      <c r="AA45" s="30">
        <f t="shared" si="12"/>
        <v>0</v>
      </c>
      <c r="AB45" s="32">
        <f t="shared" si="21"/>
        <v>0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20"/>
        <v>0</v>
      </c>
      <c r="AA46" s="30">
        <f t="shared" si="12"/>
        <v>0</v>
      </c>
      <c r="AB46" s="32">
        <f t="shared" si="21"/>
        <v>0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20"/>
        <v>0</v>
      </c>
      <c r="AA47" s="30">
        <f t="shared" si="12"/>
        <v>0</v>
      </c>
      <c r="AB47" s="32">
        <f t="shared" si="21"/>
        <v>0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20"/>
        <v>0</v>
      </c>
      <c r="AA48" s="30">
        <f t="shared" si="12"/>
        <v>0</v>
      </c>
      <c r="AB48" s="32">
        <f t="shared" si="21"/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 t="shared" si="20"/>
        <v>0</v>
      </c>
      <c r="AA49" s="30">
        <f t="shared" si="12"/>
        <v>0</v>
      </c>
      <c r="AB49" s="32">
        <f t="shared" si="21"/>
        <v>0</v>
      </c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>
        <v>119</v>
      </c>
      <c r="K50" s="9">
        <v>0</v>
      </c>
      <c r="L50" s="10">
        <f t="shared" si="0"/>
        <v>119</v>
      </c>
      <c r="M50" s="10"/>
      <c r="N50" s="10"/>
      <c r="O50" s="10"/>
      <c r="P50" s="38">
        <f t="shared" si="1"/>
        <v>0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 t="shared" si="20"/>
        <v>0</v>
      </c>
      <c r="AA50" s="30">
        <f t="shared" si="12"/>
        <v>0</v>
      </c>
      <c r="AB50" s="32">
        <f t="shared" si="21"/>
        <v>0</v>
      </c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12"/>
        <v>0</v>
      </c>
      <c r="AB51" s="32">
        <f t="shared" si="6"/>
        <v>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12"/>
        <v>0</v>
      </c>
      <c r="AB52" s="32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/>
      <c r="E53" s="20"/>
      <c r="F53" s="21"/>
      <c r="G53" s="23"/>
      <c r="H53" s="23"/>
      <c r="I53" s="3" t="s">
        <v>189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 t="shared" ref="Z53:Z56" si="22">+U53+Y53</f>
        <v>0</v>
      </c>
      <c r="AA53" s="30">
        <f t="shared" si="12"/>
        <v>0</v>
      </c>
      <c r="AB53" s="32">
        <f t="shared" ref="AB53:AB56" si="23">+(P53+AA53)/2</f>
        <v>0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843</v>
      </c>
      <c r="D54" s="23" t="s">
        <v>862</v>
      </c>
      <c r="E54" s="20"/>
      <c r="F54" s="21"/>
      <c r="G54" s="23"/>
      <c r="H54" s="23"/>
      <c r="I54" s="3" t="s">
        <v>190</v>
      </c>
      <c r="J54" s="9">
        <f>74+27</f>
        <v>101</v>
      </c>
      <c r="K54" s="9">
        <v>101</v>
      </c>
      <c r="L54" s="10">
        <f t="shared" si="0"/>
        <v>0</v>
      </c>
      <c r="M54" s="10"/>
      <c r="N54" s="10"/>
      <c r="O54" s="10"/>
      <c r="P54" s="38">
        <f t="shared" si="1"/>
        <v>100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si="22"/>
        <v>0</v>
      </c>
      <c r="AA54" s="30">
        <f t="shared" si="12"/>
        <v>0</v>
      </c>
      <c r="AB54" s="32">
        <f t="shared" si="23"/>
        <v>50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>
        <v>2</v>
      </c>
      <c r="K55" s="9">
        <v>2</v>
      </c>
      <c r="L55" s="10">
        <f t="shared" si="0"/>
        <v>0</v>
      </c>
      <c r="M55" s="10"/>
      <c r="N55" s="10"/>
      <c r="O55" s="10"/>
      <c r="P55" s="38">
        <f t="shared" si="1"/>
        <v>100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si="22"/>
        <v>0</v>
      </c>
      <c r="AA55" s="30">
        <f t="shared" si="12"/>
        <v>0</v>
      </c>
      <c r="AB55" s="32">
        <f t="shared" si="23"/>
        <v>50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22"/>
        <v>0</v>
      </c>
      <c r="AA56" s="30">
        <f t="shared" si="12"/>
        <v>0</v>
      </c>
      <c r="AB56" s="32">
        <f t="shared" si="23"/>
        <v>0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12"/>
        <v>0</v>
      </c>
      <c r="AB57" s="32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4746</v>
      </c>
      <c r="K58" s="67">
        <f>SUM(K10:K55)</f>
        <v>4442</v>
      </c>
      <c r="L58" s="68">
        <f>+J58-K58</f>
        <v>304</v>
      </c>
      <c r="M58" s="43"/>
      <c r="N58" s="43"/>
      <c r="O58" s="43"/>
      <c r="P58" s="33">
        <f>(K58*100)/J58</f>
        <v>93.594605983986511</v>
      </c>
      <c r="Q58" s="122"/>
      <c r="R58" s="123"/>
      <c r="S58" s="124"/>
      <c r="T58" s="33">
        <f t="shared" ref="T58" si="24">AVERAGEIF(T10:T57,"&gt;0")</f>
        <v>150</v>
      </c>
      <c r="U58" s="69">
        <f>AVERAGEIF(U10:U55,"&gt;0")</f>
        <v>8.8571428571428577</v>
      </c>
      <c r="V58" s="69" t="e">
        <f t="shared" ref="V58:X58" si="25">AVERAGEIF(V10:V55,"&gt;0")</f>
        <v>#DIV/0!</v>
      </c>
      <c r="W58" s="69" t="e">
        <f t="shared" si="25"/>
        <v>#DIV/0!</v>
      </c>
      <c r="X58" s="69" t="e">
        <f t="shared" si="25"/>
        <v>#DIV/0!</v>
      </c>
      <c r="Y58" s="69">
        <f>AVERAGEIF(Y10:Y55,"&gt;0")</f>
        <v>10</v>
      </c>
      <c r="Z58" s="70">
        <f>+U58+Y58</f>
        <v>18.857142857142858</v>
      </c>
      <c r="AA58" s="33">
        <f>(Z58*100)/20</f>
        <v>94.285714285714292</v>
      </c>
      <c r="AB58" s="33">
        <f t="shared" ref="AB58" si="26">AVERAGEIF(AB10:AB57,"&gt;0")</f>
        <v>88.563121539096841</v>
      </c>
      <c r="AC58" s="65"/>
    </row>
  </sheetData>
  <autoFilter ref="A9:AC58" xr:uid="{3BFFC4BD-9FA4-4B59-ADBA-E3EB7466CA34}"/>
  <mergeCells count="18">
    <mergeCell ref="U7:AA7"/>
    <mergeCell ref="AB7:AB8"/>
    <mergeCell ref="AC7:AC8"/>
    <mergeCell ref="Q58:S58"/>
    <mergeCell ref="Q7:T7"/>
    <mergeCell ref="A7:C7"/>
    <mergeCell ref="D7:D8"/>
    <mergeCell ref="E7:G7"/>
    <mergeCell ref="I7:I8"/>
    <mergeCell ref="J7:P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F10:G58 H58" xr:uid="{F310E80E-AEED-41A6-9DCA-8763563120BD}">
      <formula1>INDIRECT(E10)</formula1>
    </dataValidation>
  </dataValidations>
  <pageMargins left="0.7" right="0.7" top="0.75" bottom="0.75" header="0.3" footer="0.3"/>
  <pageSetup scale="71" orientation="landscape" horizontalDpi="360" verticalDpi="360" r:id="rId1"/>
  <rowBreaks count="1" manualBreakCount="1">
    <brk id="36" max="16383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9E564C2-5BA3-4214-8C36-20BAC2B1CEB7}">
          <x14:formula1>
            <xm:f>'Lista desplegable'!$O$13:$O$37</xm:f>
          </x14:formula1>
          <xm:sqref>G4:G5 I4</xm:sqref>
        </x14:dataValidation>
        <x14:dataValidation type="list" allowBlank="1" showInputMessage="1" showErrorMessage="1" xr:uid="{14BA3E6A-EC1D-4900-B7FA-7DE0578CE735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BDB045AF-FF1D-4CCF-AB70-D01A7BFC055D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129B340D-DAB0-4B0A-B0A2-7707B201533A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61CE2B3D-82DB-4DD3-8475-09B02C425C90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23EE9569-3084-4951-8E93-5F2A06582D05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B0253966-21DE-4BEC-A106-C9D5950C32BF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3B1A5D74-425B-491F-BB6B-CDD5736DC1CB}">
          <x14:formula1>
            <xm:f>'Lista desplegable'!$A$2:$A$16</xm:f>
          </x14:formula1>
          <xm:sqref>E10:E58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D00E1-C61F-4B51-89EE-F5957576BF60}">
  <dimension ref="A1:AC58"/>
  <sheetViews>
    <sheetView showGridLines="0" view="pageBreakPreview" topLeftCell="A3" zoomScale="124" zoomScaleNormal="100" zoomScaleSheetLayoutView="100" workbookViewId="0">
      <pane xSplit="9" ySplit="7" topLeftCell="J55" activePane="bottomRight" state="frozen"/>
      <selection pane="topRight" activeCell="J3" sqref="J3"/>
      <selection pane="bottomLeft" activeCell="A10" sqref="A10"/>
      <selection pane="bottomRight" activeCell="J10" sqref="J10:K57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4.55468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49"/>
    </row>
    <row r="2" spans="1:29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931</v>
      </c>
      <c r="J4" s="142"/>
      <c r="K4" s="142"/>
      <c r="L4" s="39"/>
      <c r="M4" s="39"/>
      <c r="N4" s="39"/>
      <c r="O4" s="39"/>
      <c r="P4" s="134" t="s">
        <v>5</v>
      </c>
      <c r="Q4" s="134"/>
      <c r="R4" s="135" t="s">
        <v>284</v>
      </c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46"/>
    </row>
    <row r="5" spans="1:29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39"/>
      <c r="N5" s="39"/>
      <c r="O5" s="39"/>
      <c r="P5" s="134" t="s">
        <v>7</v>
      </c>
      <c r="Q5" s="134"/>
      <c r="R5" s="135" t="s">
        <v>8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46"/>
    </row>
    <row r="7" spans="1:29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29"/>
      <c r="O7" s="129"/>
      <c r="P7" s="129"/>
      <c r="Q7" s="130" t="s">
        <v>14</v>
      </c>
      <c r="R7" s="130"/>
      <c r="S7" s="130"/>
      <c r="T7" s="130"/>
      <c r="U7" s="114" t="s">
        <v>15</v>
      </c>
      <c r="V7" s="115"/>
      <c r="W7" s="115"/>
      <c r="X7" s="115"/>
      <c r="Y7" s="115"/>
      <c r="Z7" s="115"/>
      <c r="AA7" s="116"/>
      <c r="AB7" s="117" t="s">
        <v>16</v>
      </c>
      <c r="AC7" s="143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18"/>
      <c r="AC8" s="143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62"/>
    </row>
    <row r="10" spans="1:29" ht="21.6" customHeight="1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/>
      <c r="K10" s="9"/>
      <c r="L10" s="10">
        <f t="shared" ref="L10:L57" si="0">+J10-K10</f>
        <v>0</v>
      </c>
      <c r="M10" s="10"/>
      <c r="N10" s="10"/>
      <c r="O10" s="10"/>
      <c r="P10" s="38">
        <f t="shared" ref="P10:P57" si="1">IFERROR(IF(7&lt;&gt;0, K10*100/J10, IF(J10=K10, K10*100/J10, 0)), 0)</f>
        <v>0</v>
      </c>
      <c r="Q10" s="45"/>
      <c r="R10" s="11"/>
      <c r="S10" s="12">
        <f t="shared" ref="S10:S57" si="2">+Q10-R10</f>
        <v>0</v>
      </c>
      <c r="T10" s="28">
        <f t="shared" ref="T10:T57" si="3">IFERROR(IF(S10&lt;&gt;0, Q10*100/R10, IF(Q10=R10, Q10*100/R10, 0)), 0)</f>
        <v>0</v>
      </c>
      <c r="U10" s="9"/>
      <c r="V10" s="9"/>
      <c r="W10" s="9"/>
      <c r="X10" s="9"/>
      <c r="Y10" s="9"/>
      <c r="Z10" s="10">
        <f t="shared" ref="Z10:Z57" si="4">SUM(U10:Y10)</f>
        <v>0</v>
      </c>
      <c r="AA10" s="30">
        <f t="shared" ref="AA10" si="5">+Z10*100/20</f>
        <v>0</v>
      </c>
      <c r="AB10" s="32">
        <f t="shared" ref="AB10:AB57" si="6">+(T10+P10+AA10)/3</f>
        <v>0</v>
      </c>
      <c r="AC10" s="63"/>
    </row>
    <row r="11" spans="1:29" ht="27.6" x14ac:dyDescent="0.3">
      <c r="A11" s="24" t="s">
        <v>35</v>
      </c>
      <c r="B11" s="24" t="s">
        <v>36</v>
      </c>
      <c r="C11" s="24" t="s">
        <v>843</v>
      </c>
      <c r="D11" s="23" t="s">
        <v>862</v>
      </c>
      <c r="E11" s="20"/>
      <c r="F11" s="21"/>
      <c r="G11" s="22"/>
      <c r="H11" s="22"/>
      <c r="I11" s="3" t="s">
        <v>49</v>
      </c>
      <c r="J11" s="9">
        <v>18</v>
      </c>
      <c r="K11" s="9">
        <v>17</v>
      </c>
      <c r="L11" s="10">
        <f t="shared" si="0"/>
        <v>1</v>
      </c>
      <c r="M11" s="10"/>
      <c r="N11" s="10"/>
      <c r="O11" s="10"/>
      <c r="P11" s="38">
        <f t="shared" si="1"/>
        <v>94.444444444444443</v>
      </c>
      <c r="Q11" s="11"/>
      <c r="R11" s="11"/>
      <c r="S11" s="12">
        <f t="shared" si="2"/>
        <v>0</v>
      </c>
      <c r="T11" s="28">
        <f t="shared" si="3"/>
        <v>0</v>
      </c>
      <c r="U11" s="9">
        <v>9</v>
      </c>
      <c r="V11" s="9"/>
      <c r="W11" s="9"/>
      <c r="X11" s="9"/>
      <c r="Y11" s="9">
        <v>10</v>
      </c>
      <c r="Z11" s="10">
        <f>+U11+Y11</f>
        <v>19</v>
      </c>
      <c r="AA11" s="30">
        <f>+Z11*100/20</f>
        <v>95</v>
      </c>
      <c r="AB11" s="32">
        <f>+(P11+AA11)/2</f>
        <v>94.722222222222229</v>
      </c>
      <c r="AC11" s="64"/>
    </row>
    <row r="12" spans="1:29" ht="24" x14ac:dyDescent="0.3">
      <c r="A12" s="24" t="s">
        <v>35</v>
      </c>
      <c r="B12" s="24" t="s">
        <v>35</v>
      </c>
      <c r="C12" s="24" t="s">
        <v>843</v>
      </c>
      <c r="D12" s="23" t="s">
        <v>862</v>
      </c>
      <c r="E12" s="20"/>
      <c r="F12" s="21"/>
      <c r="G12" s="22"/>
      <c r="H12" s="22"/>
      <c r="I12" s="3" t="s">
        <v>1009</v>
      </c>
      <c r="J12" s="9">
        <v>38</v>
      </c>
      <c r="K12" s="9">
        <v>38</v>
      </c>
      <c r="L12" s="10">
        <f t="shared" si="0"/>
        <v>0</v>
      </c>
      <c r="M12" s="10"/>
      <c r="N12" s="10"/>
      <c r="O12" s="10"/>
      <c r="P12" s="38">
        <f t="shared" si="1"/>
        <v>100</v>
      </c>
      <c r="Q12" s="11"/>
      <c r="R12" s="11"/>
      <c r="S12" s="12">
        <f t="shared" si="2"/>
        <v>0</v>
      </c>
      <c r="T12" s="28">
        <f t="shared" si="3"/>
        <v>0</v>
      </c>
      <c r="U12" s="9">
        <v>9</v>
      </c>
      <c r="V12" s="9"/>
      <c r="W12" s="9"/>
      <c r="X12" s="9"/>
      <c r="Y12" s="9">
        <v>10</v>
      </c>
      <c r="Z12" s="10">
        <f t="shared" ref="Z12:Z13" si="7">+U12+Y12</f>
        <v>19</v>
      </c>
      <c r="AA12" s="30">
        <f t="shared" ref="AA12:AA57" si="8">+Z12*100/20</f>
        <v>95</v>
      </c>
      <c r="AB12" s="32">
        <f t="shared" ref="AB12:AB13" si="9">+(P12+AA12)/2</f>
        <v>97.5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v>19</v>
      </c>
      <c r="K13" s="9">
        <v>20</v>
      </c>
      <c r="L13" s="10">
        <f t="shared" si="0"/>
        <v>-1</v>
      </c>
      <c r="M13" s="10"/>
      <c r="N13" s="10"/>
      <c r="O13" s="10"/>
      <c r="P13" s="38">
        <f t="shared" si="1"/>
        <v>105.26315789473684</v>
      </c>
      <c r="Q13" s="11"/>
      <c r="R13" s="11"/>
      <c r="S13" s="12">
        <f t="shared" si="2"/>
        <v>0</v>
      </c>
      <c r="T13" s="28">
        <f t="shared" si="3"/>
        <v>0</v>
      </c>
      <c r="U13" s="9">
        <v>10</v>
      </c>
      <c r="V13" s="9"/>
      <c r="W13" s="9"/>
      <c r="X13" s="9"/>
      <c r="Y13" s="9">
        <v>10</v>
      </c>
      <c r="Z13" s="10">
        <f t="shared" si="7"/>
        <v>20</v>
      </c>
      <c r="AA13" s="30">
        <f t="shared" si="8"/>
        <v>100</v>
      </c>
      <c r="AB13" s="32">
        <f t="shared" si="9"/>
        <v>102.63157894736841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/>
      <c r="K14" s="9"/>
      <c r="L14" s="10">
        <f t="shared" si="0"/>
        <v>0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/>
      <c r="V14" s="9"/>
      <c r="W14" s="9"/>
      <c r="X14" s="9"/>
      <c r="Y14" s="9"/>
      <c r="Z14" s="10">
        <f t="shared" si="4"/>
        <v>0</v>
      </c>
      <c r="AA14" s="30">
        <f t="shared" si="8"/>
        <v>0</v>
      </c>
      <c r="AB14" s="32">
        <f t="shared" si="6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843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8"/>
        <v>0</v>
      </c>
      <c r="AB15" s="32">
        <f t="shared" si="6"/>
        <v>0</v>
      </c>
      <c r="AC15" s="63" t="s">
        <v>1051</v>
      </c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8"/>
        <v>0</v>
      </c>
      <c r="AB16" s="32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/>
      <c r="K17" s="9"/>
      <c r="L17" s="10">
        <f t="shared" si="0"/>
        <v>0</v>
      </c>
      <c r="M17" s="10"/>
      <c r="N17" s="10"/>
      <c r="O17" s="10"/>
      <c r="P17" s="38">
        <f t="shared" si="1"/>
        <v>0</v>
      </c>
      <c r="Q17" s="11"/>
      <c r="R17" s="11"/>
      <c r="S17" s="12">
        <f t="shared" si="2"/>
        <v>0</v>
      </c>
      <c r="T17" s="28">
        <f t="shared" si="3"/>
        <v>0</v>
      </c>
      <c r="U17" s="9"/>
      <c r="V17" s="9"/>
      <c r="W17" s="9"/>
      <c r="X17" s="9"/>
      <c r="Y17" s="9"/>
      <c r="Z17" s="10">
        <f t="shared" si="4"/>
        <v>0</v>
      </c>
      <c r="AA17" s="30">
        <f t="shared" si="8"/>
        <v>0</v>
      </c>
      <c r="AB17" s="32">
        <f t="shared" si="6"/>
        <v>0</v>
      </c>
      <c r="AC17" s="63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8"/>
        <v>0</v>
      </c>
      <c r="AB18" s="32">
        <f t="shared" si="6"/>
        <v>0</v>
      </c>
      <c r="AC18" s="64"/>
    </row>
    <row r="19" spans="1:29" ht="41.4" x14ac:dyDescent="0.3">
      <c r="A19" s="24" t="s">
        <v>35</v>
      </c>
      <c r="B19" s="24"/>
      <c r="C19" s="24" t="s">
        <v>843</v>
      </c>
      <c r="D19" s="23" t="s">
        <v>862</v>
      </c>
      <c r="E19" s="20"/>
      <c r="F19" s="21"/>
      <c r="G19" s="23"/>
      <c r="H19" s="23"/>
      <c r="I19" s="3" t="s">
        <v>77</v>
      </c>
      <c r="J19" s="9">
        <v>18</v>
      </c>
      <c r="K19" s="9">
        <v>2</v>
      </c>
      <c r="L19" s="10">
        <v>0</v>
      </c>
      <c r="M19" s="10"/>
      <c r="N19" s="10"/>
      <c r="O19" s="10"/>
      <c r="P19" s="38">
        <f t="shared" si="1"/>
        <v>11.111111111111111</v>
      </c>
      <c r="Q19" s="11"/>
      <c r="R19" s="11"/>
      <c r="S19" s="12">
        <f t="shared" si="2"/>
        <v>0</v>
      </c>
      <c r="T19" s="28">
        <f t="shared" si="3"/>
        <v>0</v>
      </c>
      <c r="U19" s="9">
        <v>1</v>
      </c>
      <c r="V19" s="9"/>
      <c r="W19" s="9"/>
      <c r="X19" s="9"/>
      <c r="Y19" s="9">
        <v>10</v>
      </c>
      <c r="Z19" s="10">
        <f t="shared" ref="Z19:Z20" si="10">+U19+Y19</f>
        <v>11</v>
      </c>
      <c r="AA19" s="30">
        <f t="shared" si="8"/>
        <v>55</v>
      </c>
      <c r="AB19" s="32">
        <f t="shared" ref="AB19:AB20" si="11">+(P19+AA19)/2</f>
        <v>33.055555555555557</v>
      </c>
      <c r="AC19" s="63" t="s">
        <v>1052</v>
      </c>
    </row>
    <row r="20" spans="1:29" ht="27.6" x14ac:dyDescent="0.3">
      <c r="A20" s="24" t="s">
        <v>35</v>
      </c>
      <c r="B20" s="24"/>
      <c r="C20" s="24" t="s">
        <v>853</v>
      </c>
      <c r="D20" s="23" t="s">
        <v>862</v>
      </c>
      <c r="E20" s="20"/>
      <c r="F20" s="21"/>
      <c r="G20" s="23"/>
      <c r="H20" s="23"/>
      <c r="I20" s="3" t="s">
        <v>78</v>
      </c>
      <c r="J20" s="9">
        <v>1</v>
      </c>
      <c r="K20" s="9">
        <v>1</v>
      </c>
      <c r="L20" s="10">
        <f t="shared" si="0"/>
        <v>0</v>
      </c>
      <c r="M20" s="10"/>
      <c r="N20" s="10"/>
      <c r="O20" s="10"/>
      <c r="P20" s="38">
        <f t="shared" si="1"/>
        <v>100</v>
      </c>
      <c r="Q20" s="11"/>
      <c r="R20" s="11"/>
      <c r="S20" s="12">
        <f t="shared" si="2"/>
        <v>0</v>
      </c>
      <c r="T20" s="28">
        <f t="shared" si="3"/>
        <v>0</v>
      </c>
      <c r="U20" s="9">
        <v>10</v>
      </c>
      <c r="V20" s="9"/>
      <c r="W20" s="9"/>
      <c r="X20" s="9"/>
      <c r="Y20" s="9">
        <v>10</v>
      </c>
      <c r="Z20" s="10">
        <f t="shared" si="10"/>
        <v>20</v>
      </c>
      <c r="AA20" s="30">
        <f t="shared" si="8"/>
        <v>100</v>
      </c>
      <c r="AB20" s="32">
        <f t="shared" si="11"/>
        <v>100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8"/>
        <v>0</v>
      </c>
      <c r="AB21" s="32">
        <f t="shared" si="6"/>
        <v>0</v>
      </c>
      <c r="AC21" s="64"/>
    </row>
    <row r="22" spans="1:29" ht="27.6" x14ac:dyDescent="0.3">
      <c r="A22" s="24" t="s">
        <v>79</v>
      </c>
      <c r="B22" s="24" t="s">
        <v>35</v>
      </c>
      <c r="C22" s="24" t="s">
        <v>843</v>
      </c>
      <c r="D22" s="23" t="s">
        <v>862</v>
      </c>
      <c r="E22" s="20"/>
      <c r="F22" s="21"/>
      <c r="G22" s="23"/>
      <c r="H22" s="23"/>
      <c r="I22" s="3" t="s">
        <v>88</v>
      </c>
      <c r="J22" s="9">
        <v>1</v>
      </c>
      <c r="K22" s="9">
        <v>1</v>
      </c>
      <c r="L22" s="10">
        <f t="shared" si="0"/>
        <v>0</v>
      </c>
      <c r="M22" s="10"/>
      <c r="N22" s="10"/>
      <c r="O22" s="10"/>
      <c r="P22" s="38">
        <f t="shared" si="1"/>
        <v>100</v>
      </c>
      <c r="Q22" s="11"/>
      <c r="R22" s="11"/>
      <c r="S22" s="12">
        <f t="shared" si="2"/>
        <v>0</v>
      </c>
      <c r="T22" s="28">
        <f t="shared" si="3"/>
        <v>0</v>
      </c>
      <c r="U22" s="9">
        <v>10</v>
      </c>
      <c r="V22" s="9"/>
      <c r="W22" s="9"/>
      <c r="X22" s="9"/>
      <c r="Y22" s="9">
        <v>10</v>
      </c>
      <c r="Z22" s="10">
        <f>+U22+Y22</f>
        <v>20</v>
      </c>
      <c r="AA22" s="30">
        <f t="shared" si="8"/>
        <v>100</v>
      </c>
      <c r="AB22" s="32">
        <f>+(P22+AA22)/2</f>
        <v>100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8"/>
        <v>0</v>
      </c>
      <c r="AB23" s="32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>+U24+Y24</f>
        <v>20</v>
      </c>
      <c r="AA24" s="30">
        <f t="shared" si="8"/>
        <v>100</v>
      </c>
      <c r="AB24" s="32">
        <f>+(P24+AA24)/2</f>
        <v>100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8"/>
        <v>0</v>
      </c>
      <c r="AB25" s="32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843</v>
      </c>
      <c r="D26" s="23" t="s">
        <v>862</v>
      </c>
      <c r="E26" s="20"/>
      <c r="F26" s="21"/>
      <c r="G26" s="23"/>
      <c r="H26" s="23"/>
      <c r="I26" s="3" t="s">
        <v>108</v>
      </c>
      <c r="J26" s="9">
        <v>911</v>
      </c>
      <c r="K26" s="9">
        <v>894</v>
      </c>
      <c r="L26" s="10">
        <f t="shared" si="0"/>
        <v>17</v>
      </c>
      <c r="M26" s="10"/>
      <c r="N26" s="10"/>
      <c r="O26" s="10"/>
      <c r="P26" s="38">
        <f t="shared" si="1"/>
        <v>98.133918770581772</v>
      </c>
      <c r="Q26" s="11"/>
      <c r="R26" s="11"/>
      <c r="S26" s="12">
        <f t="shared" si="2"/>
        <v>0</v>
      </c>
      <c r="T26" s="28">
        <f t="shared" si="3"/>
        <v>0</v>
      </c>
      <c r="U26" s="9">
        <v>10</v>
      </c>
      <c r="V26" s="9"/>
      <c r="W26" s="9"/>
      <c r="X26" s="9"/>
      <c r="Y26" s="9">
        <v>10</v>
      </c>
      <c r="Z26" s="10">
        <f>+U26+Y26</f>
        <v>20</v>
      </c>
      <c r="AA26" s="30">
        <f t="shared" si="8"/>
        <v>100</v>
      </c>
      <c r="AB26" s="32">
        <f>+(P26+AA26)/2</f>
        <v>99.066959385290886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8"/>
        <v>0</v>
      </c>
      <c r="AB27" s="32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/>
      <c r="K28" s="9"/>
      <c r="L28" s="10">
        <f t="shared" si="0"/>
        <v>0</v>
      </c>
      <c r="M28" s="10"/>
      <c r="N28" s="10"/>
      <c r="O28" s="10"/>
      <c r="P28" s="38">
        <f t="shared" si="1"/>
        <v>0</v>
      </c>
      <c r="Q28" s="11"/>
      <c r="R28" s="11"/>
      <c r="S28" s="12">
        <f t="shared" si="2"/>
        <v>0</v>
      </c>
      <c r="T28" s="28">
        <f t="shared" si="3"/>
        <v>0</v>
      </c>
      <c r="U28" s="9"/>
      <c r="V28" s="9"/>
      <c r="W28" s="9"/>
      <c r="X28" s="9"/>
      <c r="Y28" s="9"/>
      <c r="Z28" s="10">
        <f t="shared" si="4"/>
        <v>0</v>
      </c>
      <c r="AA28" s="30">
        <f t="shared" si="8"/>
        <v>0</v>
      </c>
      <c r="AB28" s="32">
        <f t="shared" si="6"/>
        <v>0</v>
      </c>
      <c r="AC28" s="63"/>
    </row>
    <row r="29" spans="1:29" ht="27.6" x14ac:dyDescent="0.3">
      <c r="A29" s="24" t="s">
        <v>35</v>
      </c>
      <c r="B29" s="24" t="s">
        <v>64</v>
      </c>
      <c r="C29" s="24" t="s">
        <v>843</v>
      </c>
      <c r="D29" s="23" t="s">
        <v>862</v>
      </c>
      <c r="E29" s="20"/>
      <c r="F29" s="21"/>
      <c r="G29" s="23"/>
      <c r="H29" s="23"/>
      <c r="I29" s="3" t="s">
        <v>114</v>
      </c>
      <c r="J29" s="9">
        <f>912+50</f>
        <v>962</v>
      </c>
      <c r="K29" s="9">
        <v>989</v>
      </c>
      <c r="L29" s="10">
        <f t="shared" si="0"/>
        <v>-27</v>
      </c>
      <c r="M29" s="10"/>
      <c r="N29" s="10"/>
      <c r="O29" s="10"/>
      <c r="P29" s="38">
        <f t="shared" si="1"/>
        <v>102.80665280665281</v>
      </c>
      <c r="Q29" s="11"/>
      <c r="R29" s="11"/>
      <c r="S29" s="12">
        <f t="shared" si="2"/>
        <v>0</v>
      </c>
      <c r="T29" s="28">
        <f t="shared" si="3"/>
        <v>0</v>
      </c>
      <c r="U29" s="9">
        <v>10</v>
      </c>
      <c r="V29" s="9"/>
      <c r="W29" s="9"/>
      <c r="X29" s="9"/>
      <c r="Y29" s="9">
        <v>10</v>
      </c>
      <c r="Z29" s="10">
        <f t="shared" ref="Z29:Z30" si="12">+U29+Y29</f>
        <v>20</v>
      </c>
      <c r="AA29" s="30">
        <f t="shared" si="8"/>
        <v>100</v>
      </c>
      <c r="AB29" s="32">
        <f t="shared" ref="AB29:AB30" si="13">+(P29+AA29)/2</f>
        <v>101.4033264033264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 t="s">
        <v>862</v>
      </c>
      <c r="E30" s="20"/>
      <c r="F30" s="21"/>
      <c r="G30" s="23"/>
      <c r="H30" s="23"/>
      <c r="I30" s="3" t="s">
        <v>115</v>
      </c>
      <c r="J30" s="9">
        <v>1</v>
      </c>
      <c r="K30" s="9">
        <v>1</v>
      </c>
      <c r="L30" s="10">
        <f t="shared" si="0"/>
        <v>0</v>
      </c>
      <c r="M30" s="10"/>
      <c r="N30" s="10"/>
      <c r="O30" s="10"/>
      <c r="P30" s="38">
        <f t="shared" si="1"/>
        <v>100</v>
      </c>
      <c r="Q30" s="11"/>
      <c r="R30" s="11"/>
      <c r="S30" s="12">
        <f t="shared" si="2"/>
        <v>0</v>
      </c>
      <c r="T30" s="28">
        <f t="shared" si="3"/>
        <v>0</v>
      </c>
      <c r="U30" s="9">
        <v>10</v>
      </c>
      <c r="V30" s="9"/>
      <c r="W30" s="9"/>
      <c r="X30" s="9"/>
      <c r="Y30" s="9">
        <v>10</v>
      </c>
      <c r="Z30" s="10">
        <f t="shared" si="12"/>
        <v>20</v>
      </c>
      <c r="AA30" s="30">
        <f t="shared" si="8"/>
        <v>100</v>
      </c>
      <c r="AB30" s="32">
        <f t="shared" si="13"/>
        <v>100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8"/>
        <v>0</v>
      </c>
      <c r="AB31" s="32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/>
      <c r="K32" s="9"/>
      <c r="L32" s="10">
        <f t="shared" si="0"/>
        <v>0</v>
      </c>
      <c r="M32" s="10"/>
      <c r="N32" s="10"/>
      <c r="O32" s="10"/>
      <c r="P32" s="38">
        <f t="shared" si="1"/>
        <v>0</v>
      </c>
      <c r="Q32" s="11"/>
      <c r="R32" s="11"/>
      <c r="S32" s="12">
        <f t="shared" si="2"/>
        <v>0</v>
      </c>
      <c r="T32" s="28">
        <f t="shared" si="3"/>
        <v>0</v>
      </c>
      <c r="U32" s="9"/>
      <c r="V32" s="9"/>
      <c r="W32" s="9"/>
      <c r="X32" s="9"/>
      <c r="Y32" s="9"/>
      <c r="Z32" s="10">
        <f t="shared" si="4"/>
        <v>0</v>
      </c>
      <c r="AA32" s="30">
        <f t="shared" si="8"/>
        <v>0</v>
      </c>
      <c r="AB32" s="32">
        <f t="shared" si="6"/>
        <v>0</v>
      </c>
      <c r="AC32" s="63"/>
    </row>
    <row r="33" spans="1:29" ht="27.6" x14ac:dyDescent="0.3">
      <c r="A33" s="24" t="s">
        <v>36</v>
      </c>
      <c r="B33" s="24" t="s">
        <v>35</v>
      </c>
      <c r="C33" s="24" t="s">
        <v>843</v>
      </c>
      <c r="D33" s="23" t="s">
        <v>862</v>
      </c>
      <c r="E33" s="20"/>
      <c r="F33" s="21"/>
      <c r="G33" s="23"/>
      <c r="H33" s="23"/>
      <c r="I33" s="3" t="s">
        <v>127</v>
      </c>
      <c r="J33" s="9">
        <v>3</v>
      </c>
      <c r="K33" s="9">
        <v>3</v>
      </c>
      <c r="L33" s="10">
        <f t="shared" si="0"/>
        <v>0</v>
      </c>
      <c r="M33" s="10"/>
      <c r="N33" s="10"/>
      <c r="O33" s="10"/>
      <c r="P33" s="38">
        <f t="shared" si="1"/>
        <v>100</v>
      </c>
      <c r="Q33" s="11"/>
      <c r="R33" s="11"/>
      <c r="S33" s="12">
        <f t="shared" si="2"/>
        <v>0</v>
      </c>
      <c r="T33" s="28">
        <f t="shared" si="3"/>
        <v>0</v>
      </c>
      <c r="U33" s="9">
        <v>10</v>
      </c>
      <c r="V33" s="9"/>
      <c r="W33" s="9"/>
      <c r="X33" s="9"/>
      <c r="Y33" s="9">
        <v>10</v>
      </c>
      <c r="Z33" s="10">
        <f t="shared" ref="Z33:Z34" si="14">+U33+Y33</f>
        <v>20</v>
      </c>
      <c r="AA33" s="30">
        <f t="shared" si="8"/>
        <v>100</v>
      </c>
      <c r="AB33" s="32">
        <f t="shared" ref="AB33:AB34" si="15">+(P33+AA33)/2</f>
        <v>100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1</v>
      </c>
      <c r="K34" s="9">
        <v>1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si="14"/>
        <v>20</v>
      </c>
      <c r="AA34" s="30">
        <f t="shared" si="8"/>
        <v>100</v>
      </c>
      <c r="AB34" s="32">
        <f t="shared" si="15"/>
        <v>100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/>
      <c r="K35" s="9"/>
      <c r="L35" s="10">
        <f t="shared" si="0"/>
        <v>0</v>
      </c>
      <c r="M35" s="10"/>
      <c r="N35" s="10"/>
      <c r="O35" s="10"/>
      <c r="P35" s="38">
        <f t="shared" si="1"/>
        <v>0</v>
      </c>
      <c r="Q35" s="11"/>
      <c r="R35" s="11"/>
      <c r="S35" s="12">
        <f t="shared" si="2"/>
        <v>0</v>
      </c>
      <c r="T35" s="28">
        <f t="shared" si="3"/>
        <v>0</v>
      </c>
      <c r="U35" s="9"/>
      <c r="V35" s="9"/>
      <c r="W35" s="9"/>
      <c r="X35" s="9"/>
      <c r="Y35" s="9"/>
      <c r="Z35" s="10">
        <f t="shared" si="4"/>
        <v>0</v>
      </c>
      <c r="AA35" s="30">
        <f t="shared" si="8"/>
        <v>0</v>
      </c>
      <c r="AB35" s="32">
        <f t="shared" si="6"/>
        <v>0</v>
      </c>
      <c r="AC35" s="63"/>
    </row>
    <row r="36" spans="1:29" ht="41.4" x14ac:dyDescent="0.3">
      <c r="A36" s="24" t="s">
        <v>36</v>
      </c>
      <c r="B36" s="24" t="s">
        <v>35</v>
      </c>
      <c r="C36" s="24" t="s">
        <v>843</v>
      </c>
      <c r="D36" s="23" t="s">
        <v>862</v>
      </c>
      <c r="E36" s="20"/>
      <c r="F36" s="21"/>
      <c r="G36" s="23"/>
      <c r="H36" s="23"/>
      <c r="I36" s="3" t="s">
        <v>130</v>
      </c>
      <c r="J36" s="9">
        <v>3</v>
      </c>
      <c r="K36" s="9">
        <v>3</v>
      </c>
      <c r="L36" s="10">
        <f t="shared" si="0"/>
        <v>0</v>
      </c>
      <c r="M36" s="10"/>
      <c r="N36" s="10"/>
      <c r="O36" s="10"/>
      <c r="P36" s="38">
        <f t="shared" si="1"/>
        <v>100</v>
      </c>
      <c r="Q36" s="11"/>
      <c r="R36" s="11"/>
      <c r="S36" s="12">
        <f t="shared" si="2"/>
        <v>0</v>
      </c>
      <c r="T36" s="28">
        <f t="shared" si="3"/>
        <v>0</v>
      </c>
      <c r="U36" s="9">
        <v>10</v>
      </c>
      <c r="V36" s="9"/>
      <c r="W36" s="9"/>
      <c r="X36" s="9"/>
      <c r="Y36" s="9">
        <v>10</v>
      </c>
      <c r="Z36" s="10">
        <f t="shared" ref="Z36:Z37" si="16">+U36+Y36</f>
        <v>20</v>
      </c>
      <c r="AA36" s="30">
        <f t="shared" si="8"/>
        <v>100</v>
      </c>
      <c r="AB36" s="32">
        <f t="shared" ref="AB36:AB37" si="17">+(P36+AA36)/2</f>
        <v>100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1</v>
      </c>
      <c r="K37" s="9">
        <v>1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 t="shared" si="16"/>
        <v>20</v>
      </c>
      <c r="AA37" s="30">
        <f t="shared" si="8"/>
        <v>100</v>
      </c>
      <c r="AB37" s="32">
        <f t="shared" si="17"/>
        <v>100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8"/>
        <v>0</v>
      </c>
      <c r="AB38" s="32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 t="s">
        <v>862</v>
      </c>
      <c r="E39" s="20"/>
      <c r="F39" s="21"/>
      <c r="G39" s="23"/>
      <c r="H39" s="23"/>
      <c r="I39" s="3" t="s">
        <v>155</v>
      </c>
      <c r="J39" s="9"/>
      <c r="K39" s="9"/>
      <c r="L39" s="10">
        <f t="shared" si="0"/>
        <v>0</v>
      </c>
      <c r="M39" s="10"/>
      <c r="N39" s="10"/>
      <c r="O39" s="10"/>
      <c r="P39" s="38">
        <f t="shared" si="1"/>
        <v>0</v>
      </c>
      <c r="Q39" s="11"/>
      <c r="R39" s="11"/>
      <c r="S39" s="12">
        <f t="shared" si="2"/>
        <v>0</v>
      </c>
      <c r="T39" s="28">
        <f t="shared" si="3"/>
        <v>0</v>
      </c>
      <c r="U39" s="9"/>
      <c r="V39" s="9"/>
      <c r="W39" s="9"/>
      <c r="X39" s="9"/>
      <c r="Y39" s="9"/>
      <c r="Z39" s="10">
        <f t="shared" si="4"/>
        <v>0</v>
      </c>
      <c r="AA39" s="30">
        <f t="shared" si="8"/>
        <v>0</v>
      </c>
      <c r="AB39" s="32">
        <f t="shared" si="6"/>
        <v>0</v>
      </c>
      <c r="AC39" s="63"/>
    </row>
    <row r="40" spans="1:29" ht="27.6" x14ac:dyDescent="0.3">
      <c r="A40" s="24" t="s">
        <v>84</v>
      </c>
      <c r="B40" s="24" t="s">
        <v>35</v>
      </c>
      <c r="C40" s="24" t="s">
        <v>843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8"/>
        <v>0</v>
      </c>
      <c r="AB40" s="32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8"/>
        <v>0</v>
      </c>
      <c r="AB41" s="32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>+U42+Y42</f>
        <v>0</v>
      </c>
      <c r="AA42" s="30">
        <f t="shared" si="8"/>
        <v>0</v>
      </c>
      <c r="AB42" s="32">
        <f>+(P42+AA42)/3</f>
        <v>0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8"/>
        <v>0</v>
      </c>
      <c r="AB43" s="32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ref="Z44:Z50" si="18">+U44+Y44</f>
        <v>0</v>
      </c>
      <c r="AA44" s="30">
        <f t="shared" si="8"/>
        <v>0</v>
      </c>
      <c r="AB44" s="32">
        <f t="shared" ref="AB44:AB50" si="19">+(P44+AA44)/3</f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18"/>
        <v>0</v>
      </c>
      <c r="AA45" s="30">
        <f t="shared" si="8"/>
        <v>0</v>
      </c>
      <c r="AB45" s="32">
        <f t="shared" si="19"/>
        <v>0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18"/>
        <v>0</v>
      </c>
      <c r="AA46" s="30">
        <f t="shared" si="8"/>
        <v>0</v>
      </c>
      <c r="AB46" s="32">
        <f t="shared" si="19"/>
        <v>0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18"/>
        <v>0</v>
      </c>
      <c r="AA47" s="30">
        <f t="shared" si="8"/>
        <v>0</v>
      </c>
      <c r="AB47" s="32">
        <f t="shared" si="19"/>
        <v>0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18"/>
        <v>0</v>
      </c>
      <c r="AA48" s="30">
        <f t="shared" si="8"/>
        <v>0</v>
      </c>
      <c r="AB48" s="32">
        <f t="shared" si="19"/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 t="shared" si="18"/>
        <v>0</v>
      </c>
      <c r="AA49" s="30">
        <f t="shared" si="8"/>
        <v>0</v>
      </c>
      <c r="AB49" s="32">
        <f t="shared" si="19"/>
        <v>0</v>
      </c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>
        <v>60</v>
      </c>
      <c r="K50" s="9"/>
      <c r="L50" s="10">
        <f t="shared" si="0"/>
        <v>60</v>
      </c>
      <c r="M50" s="10"/>
      <c r="N50" s="10"/>
      <c r="O50" s="10"/>
      <c r="P50" s="38">
        <f t="shared" si="1"/>
        <v>0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 t="shared" si="18"/>
        <v>0</v>
      </c>
      <c r="AA50" s="30">
        <f t="shared" si="8"/>
        <v>0</v>
      </c>
      <c r="AB50" s="32">
        <f t="shared" si="19"/>
        <v>0</v>
      </c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8"/>
        <v>0</v>
      </c>
      <c r="AB51" s="32">
        <f t="shared" si="6"/>
        <v>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8"/>
        <v>0</v>
      </c>
      <c r="AB52" s="32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 t="shared" si="4"/>
        <v>0</v>
      </c>
      <c r="AA53" s="30">
        <f t="shared" si="8"/>
        <v>0</v>
      </c>
      <c r="AB53" s="32">
        <f t="shared" si="6"/>
        <v>0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843</v>
      </c>
      <c r="D54" s="23" t="s">
        <v>862</v>
      </c>
      <c r="E54" s="20"/>
      <c r="F54" s="21"/>
      <c r="G54" s="23"/>
      <c r="H54" s="23"/>
      <c r="I54" s="3" t="s">
        <v>190</v>
      </c>
      <c r="J54" s="9">
        <f>38+18</f>
        <v>56</v>
      </c>
      <c r="K54" s="9">
        <v>56</v>
      </c>
      <c r="L54" s="10">
        <f t="shared" si="0"/>
        <v>0</v>
      </c>
      <c r="M54" s="10"/>
      <c r="N54" s="10"/>
      <c r="O54" s="10"/>
      <c r="P54" s="38">
        <f t="shared" si="1"/>
        <v>100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ref="Z54:Z56" si="20">+U54+Y54</f>
        <v>0</v>
      </c>
      <c r="AA54" s="30">
        <f t="shared" si="8"/>
        <v>0</v>
      </c>
      <c r="AB54" s="32">
        <f t="shared" ref="AB54:AB55" si="21">+(P54+AA54)/2</f>
        <v>50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>
        <v>1</v>
      </c>
      <c r="K55" s="9">
        <v>1</v>
      </c>
      <c r="L55" s="10">
        <f t="shared" si="0"/>
        <v>0</v>
      </c>
      <c r="M55" s="10"/>
      <c r="N55" s="10"/>
      <c r="O55" s="10"/>
      <c r="P55" s="38">
        <f t="shared" si="1"/>
        <v>100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si="20"/>
        <v>0</v>
      </c>
      <c r="AA55" s="30"/>
      <c r="AB55" s="32">
        <f t="shared" si="21"/>
        <v>50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20"/>
        <v>0</v>
      </c>
      <c r="AA56" s="30">
        <f t="shared" si="8"/>
        <v>0</v>
      </c>
      <c r="AB56" s="32">
        <f t="shared" ref="AB56" si="22">+(P56+AA56)/3</f>
        <v>0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8"/>
        <v>0</v>
      </c>
      <c r="AB57" s="32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2095</v>
      </c>
      <c r="K58" s="67">
        <f>SUM(K10:K55)</f>
        <v>2029</v>
      </c>
      <c r="L58" s="68">
        <f>+J58-K58</f>
        <v>66</v>
      </c>
      <c r="M58" s="43"/>
      <c r="N58" s="43"/>
      <c r="O58" s="43"/>
      <c r="P58" s="33">
        <f>(K58*100)/J58</f>
        <v>96.849642004773273</v>
      </c>
      <c r="Q58" s="122"/>
      <c r="R58" s="123"/>
      <c r="S58" s="124"/>
      <c r="T58" s="33">
        <f t="shared" ref="T58" si="23">AVERAGEIF(T10:T57,"&gt;0")</f>
        <v>150</v>
      </c>
      <c r="U58" s="69">
        <f>AVERAGEIF(U10:U55,"&gt;0")</f>
        <v>9.2142857142857135</v>
      </c>
      <c r="V58" s="69" t="e">
        <f t="shared" ref="V58:X58" si="24">AVERAGEIF(V10:V55,"&gt;0")</f>
        <v>#DIV/0!</v>
      </c>
      <c r="W58" s="69" t="e">
        <f t="shared" si="24"/>
        <v>#DIV/0!</v>
      </c>
      <c r="X58" s="69" t="e">
        <f t="shared" si="24"/>
        <v>#DIV/0!</v>
      </c>
      <c r="Y58" s="69">
        <f>AVERAGEIF(Y10:Y55,"&gt;0")</f>
        <v>10</v>
      </c>
      <c r="Z58" s="70">
        <f>+U58+Y58</f>
        <v>19.214285714285715</v>
      </c>
      <c r="AA58" s="33">
        <f>(Z58*100)/20</f>
        <v>96.071428571428584</v>
      </c>
      <c r="AB58" s="33">
        <f t="shared" ref="AB58" si="25">AVERAGEIF(AB10:AB57,"&gt;0")</f>
        <v>89.273727657110214</v>
      </c>
      <c r="AC58" s="65"/>
    </row>
  </sheetData>
  <autoFilter ref="A9:AC58" xr:uid="{01AD00E1-C61F-4B51-89EE-F5957576BF60}"/>
  <mergeCells count="18">
    <mergeCell ref="U7:AA7"/>
    <mergeCell ref="AB7:AB8"/>
    <mergeCell ref="AC7:AC8"/>
    <mergeCell ref="Q58:S58"/>
    <mergeCell ref="Q7:T7"/>
    <mergeCell ref="A7:C7"/>
    <mergeCell ref="D7:D8"/>
    <mergeCell ref="E7:G7"/>
    <mergeCell ref="I7:I8"/>
    <mergeCell ref="J7:P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F10:G58 H58" xr:uid="{E956BFEE-C914-4182-8CF3-0A6536C0767C}">
      <formula1>INDIRECT(E10)</formula1>
    </dataValidation>
  </dataValidations>
  <pageMargins left="0.7" right="0.7" top="0.75" bottom="0.75" header="0.3" footer="0.3"/>
  <pageSetup scale="71" orientation="landscape" horizontalDpi="360" verticalDpi="360" r:id="rId1"/>
  <rowBreaks count="1" manualBreakCount="1">
    <brk id="36" max="16383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1D9EC5A7-0E83-45FF-A5AA-3C620C96D72A}">
          <x14:formula1>
            <xm:f>'Lista desplegable'!$A$2:$A$16</xm:f>
          </x14:formula1>
          <xm:sqref>E10:E58</xm:sqref>
        </x14:dataValidation>
        <x14:dataValidation type="list" allowBlank="1" showInputMessage="1" showErrorMessage="1" xr:uid="{657DEEAD-D94F-461B-9202-E245936DCA72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F31D997D-6756-4205-A2CA-677A5013073A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2676A8DB-1102-46C7-8155-A19052304ECE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AC562C4C-7D4D-460F-863E-0E204122DCA1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794C77A0-5CAA-4BB5-9E87-DEC19BF0E33E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612DB257-EF90-4A0C-B4AA-76E36752D5D0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A2CB1B20-9544-4274-8413-98BBF4543159}">
          <x14:formula1>
            <xm:f>'Lista desplegable'!$O$13:$O$37</xm:f>
          </x14:formula1>
          <xm:sqref>G4:G5 I4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52C70-33EE-4AB7-AE58-C11356FADCBC}">
  <dimension ref="A1:AC58"/>
  <sheetViews>
    <sheetView showGridLines="0" view="pageBreakPreview" topLeftCell="A3" zoomScale="124" zoomScaleNormal="100" zoomScaleSheetLayoutView="100" workbookViewId="0">
      <pane xSplit="9" ySplit="7" topLeftCell="J54" activePane="bottomRight" state="frozen"/>
      <selection pane="topRight" activeCell="J3" sqref="J3"/>
      <selection pane="bottomLeft" activeCell="A10" sqref="A10"/>
      <selection pane="bottomRight" activeCell="J10" sqref="J10:K57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5.1093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49"/>
    </row>
    <row r="2" spans="1:29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936</v>
      </c>
      <c r="J4" s="142"/>
      <c r="K4" s="142"/>
      <c r="L4" s="39"/>
      <c r="M4" s="39"/>
      <c r="N4" s="39"/>
      <c r="O4" s="39"/>
      <c r="P4" s="134" t="s">
        <v>5</v>
      </c>
      <c r="Q4" s="134"/>
      <c r="R4" s="135" t="s">
        <v>284</v>
      </c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46"/>
    </row>
    <row r="5" spans="1:29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39"/>
      <c r="N5" s="39"/>
      <c r="O5" s="39"/>
      <c r="P5" s="134" t="s">
        <v>7</v>
      </c>
      <c r="Q5" s="134"/>
      <c r="R5" s="135" t="s">
        <v>8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46"/>
    </row>
    <row r="7" spans="1:29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29"/>
      <c r="O7" s="129"/>
      <c r="P7" s="129"/>
      <c r="Q7" s="130" t="s">
        <v>14</v>
      </c>
      <c r="R7" s="130"/>
      <c r="S7" s="130"/>
      <c r="T7" s="130"/>
      <c r="U7" s="114" t="s">
        <v>15</v>
      </c>
      <c r="V7" s="115"/>
      <c r="W7" s="115"/>
      <c r="X7" s="115"/>
      <c r="Y7" s="115"/>
      <c r="Z7" s="115"/>
      <c r="AA7" s="116"/>
      <c r="AB7" s="117" t="s">
        <v>16</v>
      </c>
      <c r="AC7" s="143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18"/>
      <c r="AC8" s="143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62"/>
    </row>
    <row r="10" spans="1:29" ht="21.6" customHeight="1" x14ac:dyDescent="0.3">
      <c r="A10" s="24" t="s">
        <v>35</v>
      </c>
      <c r="B10" s="24" t="s">
        <v>36</v>
      </c>
      <c r="C10" s="24" t="s">
        <v>831</v>
      </c>
      <c r="D10" s="23"/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/>
      <c r="K10" s="9"/>
      <c r="L10" s="10">
        <f t="shared" ref="L10:L57" si="0">+J10-K10</f>
        <v>0</v>
      </c>
      <c r="M10" s="10"/>
      <c r="N10" s="10"/>
      <c r="O10" s="10"/>
      <c r="P10" s="38">
        <f t="shared" ref="P10:P57" si="1">IFERROR(IF(7&lt;&gt;0, K10*100/J10, IF(J10=K10, K10*100/J10, 0)), 0)</f>
        <v>0</v>
      </c>
      <c r="Q10" s="45"/>
      <c r="R10" s="11"/>
      <c r="S10" s="12">
        <f t="shared" ref="S10:S57" si="2">+Q10-R10</f>
        <v>0</v>
      </c>
      <c r="T10" s="28">
        <f t="shared" ref="T10:T57" si="3">IFERROR(IF(S10&lt;&gt;0, Q10*100/R10, IF(Q10=R10, Q10*100/R10, 0)), 0)</f>
        <v>0</v>
      </c>
      <c r="U10" s="9"/>
      <c r="V10" s="9"/>
      <c r="W10" s="9"/>
      <c r="X10" s="9"/>
      <c r="Y10" s="9"/>
      <c r="Z10" s="10">
        <f t="shared" ref="Z10:Z57" si="4">SUM(U10:Y10)</f>
        <v>0</v>
      </c>
      <c r="AA10" s="30">
        <f t="shared" ref="AA10" si="5">+Z10*100/20</f>
        <v>0</v>
      </c>
      <c r="AB10" s="32">
        <f t="shared" ref="AB10:AB57" si="6">+(T10+P10+AA10)/3</f>
        <v>0</v>
      </c>
      <c r="AC10" s="63"/>
    </row>
    <row r="11" spans="1:29" ht="27.6" x14ac:dyDescent="0.3">
      <c r="A11" s="24" t="s">
        <v>35</v>
      </c>
      <c r="B11" s="24" t="s">
        <v>36</v>
      </c>
      <c r="C11" s="24" t="s">
        <v>843</v>
      </c>
      <c r="D11" s="23" t="s">
        <v>862</v>
      </c>
      <c r="E11" s="20"/>
      <c r="F11" s="21"/>
      <c r="G11" s="22"/>
      <c r="H11" s="22"/>
      <c r="I11" s="3" t="s">
        <v>49</v>
      </c>
      <c r="J11" s="9">
        <v>18</v>
      </c>
      <c r="K11" s="9">
        <v>18</v>
      </c>
      <c r="L11" s="10">
        <f t="shared" si="0"/>
        <v>0</v>
      </c>
      <c r="M11" s="10"/>
      <c r="N11" s="10"/>
      <c r="O11" s="10"/>
      <c r="P11" s="38">
        <f t="shared" si="1"/>
        <v>100</v>
      </c>
      <c r="Q11" s="11"/>
      <c r="R11" s="11"/>
      <c r="S11" s="12">
        <f t="shared" si="2"/>
        <v>0</v>
      </c>
      <c r="T11" s="28">
        <f t="shared" si="3"/>
        <v>0</v>
      </c>
      <c r="U11" s="9">
        <v>10</v>
      </c>
      <c r="V11" s="9"/>
      <c r="W11" s="9"/>
      <c r="X11" s="9"/>
      <c r="Y11" s="9">
        <v>10</v>
      </c>
      <c r="Z11" s="10">
        <f>+U11+Y11</f>
        <v>20</v>
      </c>
      <c r="AA11" s="30">
        <f>+Z11*100/20</f>
        <v>100</v>
      </c>
      <c r="AB11" s="32">
        <f>+(P11+AA11)/2</f>
        <v>100</v>
      </c>
      <c r="AC11" s="64"/>
    </row>
    <row r="12" spans="1:29" ht="24" x14ac:dyDescent="0.3">
      <c r="A12" s="24" t="s">
        <v>35</v>
      </c>
      <c r="B12" s="24" t="s">
        <v>35</v>
      </c>
      <c r="C12" s="24" t="s">
        <v>843</v>
      </c>
      <c r="D12" s="23" t="s">
        <v>862</v>
      </c>
      <c r="E12" s="20"/>
      <c r="F12" s="21"/>
      <c r="G12" s="22"/>
      <c r="H12" s="22"/>
      <c r="I12" s="3" t="s">
        <v>1009</v>
      </c>
      <c r="J12" s="9">
        <v>55</v>
      </c>
      <c r="K12" s="9">
        <v>55</v>
      </c>
      <c r="L12" s="10">
        <f t="shared" si="0"/>
        <v>0</v>
      </c>
      <c r="M12" s="10"/>
      <c r="N12" s="10"/>
      <c r="O12" s="10"/>
      <c r="P12" s="38">
        <f t="shared" si="1"/>
        <v>100</v>
      </c>
      <c r="Q12" s="11"/>
      <c r="R12" s="11"/>
      <c r="S12" s="12">
        <f t="shared" si="2"/>
        <v>0</v>
      </c>
      <c r="T12" s="28">
        <f t="shared" si="3"/>
        <v>0</v>
      </c>
      <c r="U12" s="9">
        <v>10</v>
      </c>
      <c r="V12" s="9"/>
      <c r="W12" s="9"/>
      <c r="X12" s="9"/>
      <c r="Y12" s="9">
        <v>10</v>
      </c>
      <c r="Z12" s="10">
        <f t="shared" ref="Z12:Z13" si="7">+U12+Y12</f>
        <v>20</v>
      </c>
      <c r="AA12" s="30">
        <f t="shared" ref="AA12:AA57" si="8">+Z12*100/20</f>
        <v>100</v>
      </c>
      <c r="AB12" s="32">
        <f t="shared" ref="AB12:AB13" si="9">+(P12+AA12)/2</f>
        <v>100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v>16</v>
      </c>
      <c r="K13" s="9">
        <v>16</v>
      </c>
      <c r="L13" s="10">
        <f t="shared" si="0"/>
        <v>0</v>
      </c>
      <c r="M13" s="10"/>
      <c r="N13" s="10"/>
      <c r="O13" s="10"/>
      <c r="P13" s="38">
        <f t="shared" si="1"/>
        <v>100</v>
      </c>
      <c r="Q13" s="11"/>
      <c r="R13" s="11"/>
      <c r="S13" s="12">
        <f t="shared" si="2"/>
        <v>0</v>
      </c>
      <c r="T13" s="28">
        <f t="shared" si="3"/>
        <v>0</v>
      </c>
      <c r="U13" s="9">
        <v>10</v>
      </c>
      <c r="V13" s="9"/>
      <c r="W13" s="9"/>
      <c r="X13" s="9"/>
      <c r="Y13" s="9">
        <v>10</v>
      </c>
      <c r="Z13" s="10">
        <f t="shared" si="7"/>
        <v>20</v>
      </c>
      <c r="AA13" s="30">
        <f t="shared" si="8"/>
        <v>100</v>
      </c>
      <c r="AB13" s="32">
        <f t="shared" si="9"/>
        <v>100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/>
      <c r="E14" s="20"/>
      <c r="F14" s="21"/>
      <c r="G14" s="22"/>
      <c r="H14" s="22"/>
      <c r="I14" s="3" t="s">
        <v>55</v>
      </c>
      <c r="J14" s="9"/>
      <c r="K14" s="9"/>
      <c r="L14" s="10">
        <f t="shared" si="0"/>
        <v>0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/>
      <c r="V14" s="9"/>
      <c r="W14" s="9"/>
      <c r="X14" s="9"/>
      <c r="Y14" s="9"/>
      <c r="Z14" s="10">
        <f t="shared" si="4"/>
        <v>0</v>
      </c>
      <c r="AA14" s="30">
        <f t="shared" si="8"/>
        <v>0</v>
      </c>
      <c r="AB14" s="32">
        <f t="shared" si="6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843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8"/>
        <v>0</v>
      </c>
      <c r="AB15" s="32">
        <f t="shared" si="6"/>
        <v>0</v>
      </c>
      <c r="AC15" s="63" t="s">
        <v>1051</v>
      </c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8"/>
        <v>0</v>
      </c>
      <c r="AB16" s="32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/>
      <c r="E17" s="20"/>
      <c r="F17" s="21"/>
      <c r="G17" s="23"/>
      <c r="H17" s="23"/>
      <c r="I17" s="3" t="s">
        <v>75</v>
      </c>
      <c r="J17" s="9"/>
      <c r="K17" s="9"/>
      <c r="L17" s="10">
        <f t="shared" si="0"/>
        <v>0</v>
      </c>
      <c r="M17" s="10"/>
      <c r="N17" s="10"/>
      <c r="O17" s="10"/>
      <c r="P17" s="38">
        <f t="shared" si="1"/>
        <v>0</v>
      </c>
      <c r="Q17" s="11"/>
      <c r="R17" s="11"/>
      <c r="S17" s="12">
        <f t="shared" si="2"/>
        <v>0</v>
      </c>
      <c r="T17" s="28">
        <f t="shared" si="3"/>
        <v>0</v>
      </c>
      <c r="U17" s="9"/>
      <c r="V17" s="9"/>
      <c r="W17" s="9"/>
      <c r="X17" s="9"/>
      <c r="Y17" s="9"/>
      <c r="Z17" s="10">
        <f t="shared" si="4"/>
        <v>0</v>
      </c>
      <c r="AA17" s="30">
        <f t="shared" si="8"/>
        <v>0</v>
      </c>
      <c r="AB17" s="32">
        <f t="shared" si="6"/>
        <v>0</v>
      </c>
      <c r="AC17" s="63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8"/>
        <v>0</v>
      </c>
      <c r="AB18" s="32">
        <f t="shared" si="6"/>
        <v>0</v>
      </c>
      <c r="AC18" s="64"/>
    </row>
    <row r="19" spans="1:29" ht="41.4" x14ac:dyDescent="0.3">
      <c r="A19" s="24" t="s">
        <v>35</v>
      </c>
      <c r="B19" s="24"/>
      <c r="C19" s="24" t="s">
        <v>843</v>
      </c>
      <c r="D19" s="23" t="s">
        <v>862</v>
      </c>
      <c r="E19" s="20"/>
      <c r="F19" s="21"/>
      <c r="G19" s="23"/>
      <c r="H19" s="23"/>
      <c r="I19" s="3" t="s">
        <v>77</v>
      </c>
      <c r="J19" s="9">
        <v>18</v>
      </c>
      <c r="K19" s="9">
        <v>5</v>
      </c>
      <c r="L19" s="10">
        <v>0</v>
      </c>
      <c r="M19" s="10"/>
      <c r="N19" s="10"/>
      <c r="O19" s="10"/>
      <c r="P19" s="38">
        <f t="shared" si="1"/>
        <v>27.777777777777779</v>
      </c>
      <c r="Q19" s="11"/>
      <c r="R19" s="11"/>
      <c r="S19" s="12">
        <f t="shared" si="2"/>
        <v>0</v>
      </c>
      <c r="T19" s="28">
        <f t="shared" si="3"/>
        <v>0</v>
      </c>
      <c r="U19" s="9">
        <v>3</v>
      </c>
      <c r="V19" s="9"/>
      <c r="W19" s="9"/>
      <c r="X19" s="9"/>
      <c r="Y19" s="9">
        <v>10</v>
      </c>
      <c r="Z19" s="10">
        <f t="shared" ref="Z19:Z20" si="10">+U19+Y19</f>
        <v>13</v>
      </c>
      <c r="AA19" s="30">
        <f t="shared" si="8"/>
        <v>65</v>
      </c>
      <c r="AB19" s="32">
        <f t="shared" ref="AB19:AB20" si="11">+(P19+AA19)/2</f>
        <v>46.388888888888886</v>
      </c>
      <c r="AC19" s="63" t="s">
        <v>1052</v>
      </c>
    </row>
    <row r="20" spans="1:29" ht="27.6" x14ac:dyDescent="0.3">
      <c r="A20" s="24" t="s">
        <v>35</v>
      </c>
      <c r="B20" s="24"/>
      <c r="C20" s="24" t="s">
        <v>853</v>
      </c>
      <c r="D20" s="23" t="s">
        <v>862</v>
      </c>
      <c r="E20" s="20"/>
      <c r="F20" s="21"/>
      <c r="G20" s="23"/>
      <c r="H20" s="23"/>
      <c r="I20" s="3" t="s">
        <v>78</v>
      </c>
      <c r="J20" s="9">
        <v>1</v>
      </c>
      <c r="K20" s="9">
        <v>1</v>
      </c>
      <c r="L20" s="10">
        <f t="shared" si="0"/>
        <v>0</v>
      </c>
      <c r="M20" s="10"/>
      <c r="N20" s="10"/>
      <c r="O20" s="10"/>
      <c r="P20" s="38">
        <f t="shared" si="1"/>
        <v>100</v>
      </c>
      <c r="Q20" s="11"/>
      <c r="R20" s="11"/>
      <c r="S20" s="12">
        <f t="shared" si="2"/>
        <v>0</v>
      </c>
      <c r="T20" s="28">
        <f t="shared" si="3"/>
        <v>0</v>
      </c>
      <c r="U20" s="9">
        <v>10</v>
      </c>
      <c r="V20" s="9"/>
      <c r="W20" s="9"/>
      <c r="X20" s="9"/>
      <c r="Y20" s="9">
        <v>10</v>
      </c>
      <c r="Z20" s="10">
        <f t="shared" si="10"/>
        <v>20</v>
      </c>
      <c r="AA20" s="30">
        <f t="shared" si="8"/>
        <v>100</v>
      </c>
      <c r="AB20" s="32">
        <f t="shared" si="11"/>
        <v>100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8"/>
        <v>0</v>
      </c>
      <c r="AB21" s="32">
        <f t="shared" si="6"/>
        <v>0</v>
      </c>
      <c r="AC21" s="64"/>
    </row>
    <row r="22" spans="1:29" ht="27.6" x14ac:dyDescent="0.3">
      <c r="A22" s="24" t="s">
        <v>79</v>
      </c>
      <c r="B22" s="24" t="s">
        <v>35</v>
      </c>
      <c r="C22" s="24" t="s">
        <v>843</v>
      </c>
      <c r="D22" s="23" t="s">
        <v>862</v>
      </c>
      <c r="E22" s="20"/>
      <c r="F22" s="21"/>
      <c r="G22" s="23"/>
      <c r="H22" s="23"/>
      <c r="I22" s="3" t="s">
        <v>88</v>
      </c>
      <c r="J22" s="9">
        <v>1</v>
      </c>
      <c r="K22" s="9">
        <v>1</v>
      </c>
      <c r="L22" s="10">
        <f t="shared" si="0"/>
        <v>0</v>
      </c>
      <c r="M22" s="10"/>
      <c r="N22" s="10"/>
      <c r="O22" s="10"/>
      <c r="P22" s="38">
        <f t="shared" si="1"/>
        <v>100</v>
      </c>
      <c r="Q22" s="11"/>
      <c r="R22" s="11"/>
      <c r="S22" s="12">
        <f t="shared" si="2"/>
        <v>0</v>
      </c>
      <c r="T22" s="28">
        <f t="shared" si="3"/>
        <v>0</v>
      </c>
      <c r="U22" s="9">
        <v>10</v>
      </c>
      <c r="V22" s="9"/>
      <c r="W22" s="9"/>
      <c r="X22" s="9"/>
      <c r="Y22" s="9">
        <v>10</v>
      </c>
      <c r="Z22" s="10">
        <f>+U22+Y22</f>
        <v>20</v>
      </c>
      <c r="AA22" s="30">
        <f t="shared" si="8"/>
        <v>100</v>
      </c>
      <c r="AB22" s="32">
        <f>+(P22+AA22)/2</f>
        <v>100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8"/>
        <v>0</v>
      </c>
      <c r="AB23" s="32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>+U24+Y24</f>
        <v>20</v>
      </c>
      <c r="AA24" s="30">
        <f t="shared" si="8"/>
        <v>100</v>
      </c>
      <c r="AB24" s="32">
        <f>+(P24+AA24)/2</f>
        <v>100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8"/>
        <v>0</v>
      </c>
      <c r="AB25" s="32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843</v>
      </c>
      <c r="D26" s="23" t="s">
        <v>862</v>
      </c>
      <c r="E26" s="20"/>
      <c r="F26" s="21"/>
      <c r="G26" s="23"/>
      <c r="H26" s="23"/>
      <c r="I26" s="3" t="s">
        <v>108</v>
      </c>
      <c r="J26" s="9">
        <v>1168</v>
      </c>
      <c r="K26" s="9">
        <v>1100</v>
      </c>
      <c r="L26" s="10">
        <f t="shared" si="0"/>
        <v>68</v>
      </c>
      <c r="M26" s="10"/>
      <c r="N26" s="10"/>
      <c r="O26" s="10"/>
      <c r="P26" s="38">
        <f t="shared" si="1"/>
        <v>94.178082191780817</v>
      </c>
      <c r="Q26" s="11"/>
      <c r="R26" s="11"/>
      <c r="S26" s="12">
        <f t="shared" si="2"/>
        <v>0</v>
      </c>
      <c r="T26" s="28">
        <f t="shared" si="3"/>
        <v>0</v>
      </c>
      <c r="U26" s="9">
        <v>10</v>
      </c>
      <c r="V26" s="9"/>
      <c r="W26" s="9"/>
      <c r="X26" s="9"/>
      <c r="Y26" s="9">
        <v>10</v>
      </c>
      <c r="Z26" s="10">
        <f>+U26+Y26</f>
        <v>20</v>
      </c>
      <c r="AA26" s="30">
        <f t="shared" si="8"/>
        <v>100</v>
      </c>
      <c r="AB26" s="32">
        <f>+(P26+AA26)/2</f>
        <v>97.089041095890408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8"/>
        <v>0</v>
      </c>
      <c r="AB27" s="32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/>
      <c r="E28" s="20"/>
      <c r="F28" s="21"/>
      <c r="G28" s="23"/>
      <c r="H28" s="23"/>
      <c r="I28" s="3" t="s">
        <v>113</v>
      </c>
      <c r="J28" s="9"/>
      <c r="K28" s="9"/>
      <c r="L28" s="10">
        <f t="shared" si="0"/>
        <v>0</v>
      </c>
      <c r="M28" s="10"/>
      <c r="N28" s="10"/>
      <c r="O28" s="10"/>
      <c r="P28" s="38">
        <f t="shared" si="1"/>
        <v>0</v>
      </c>
      <c r="Q28" s="11"/>
      <c r="R28" s="11"/>
      <c r="S28" s="12">
        <f t="shared" si="2"/>
        <v>0</v>
      </c>
      <c r="T28" s="28">
        <f t="shared" si="3"/>
        <v>0</v>
      </c>
      <c r="U28" s="9"/>
      <c r="V28" s="9"/>
      <c r="W28" s="9"/>
      <c r="X28" s="9"/>
      <c r="Y28" s="9"/>
      <c r="Z28" s="10">
        <f t="shared" si="4"/>
        <v>0</v>
      </c>
      <c r="AA28" s="30">
        <f t="shared" si="8"/>
        <v>0</v>
      </c>
      <c r="AB28" s="32">
        <f t="shared" si="6"/>
        <v>0</v>
      </c>
      <c r="AC28" s="63"/>
    </row>
    <row r="29" spans="1:29" ht="27.6" x14ac:dyDescent="0.3">
      <c r="A29" s="24" t="s">
        <v>35</v>
      </c>
      <c r="B29" s="24" t="s">
        <v>64</v>
      </c>
      <c r="C29" s="24" t="s">
        <v>843</v>
      </c>
      <c r="D29" s="23" t="s">
        <v>862</v>
      </c>
      <c r="E29" s="20"/>
      <c r="F29" s="21"/>
      <c r="G29" s="23"/>
      <c r="H29" s="23"/>
      <c r="I29" s="3" t="s">
        <v>114</v>
      </c>
      <c r="J29" s="9">
        <f>103+1182</f>
        <v>1285</v>
      </c>
      <c r="K29" s="9">
        <v>1128</v>
      </c>
      <c r="L29" s="10">
        <f t="shared" si="0"/>
        <v>157</v>
      </c>
      <c r="M29" s="10"/>
      <c r="N29" s="10"/>
      <c r="O29" s="10"/>
      <c r="P29" s="38">
        <f t="shared" si="1"/>
        <v>87.782101167315176</v>
      </c>
      <c r="Q29" s="11"/>
      <c r="R29" s="11"/>
      <c r="S29" s="12">
        <f t="shared" si="2"/>
        <v>0</v>
      </c>
      <c r="T29" s="28">
        <f t="shared" si="3"/>
        <v>0</v>
      </c>
      <c r="U29" s="9">
        <v>9</v>
      </c>
      <c r="V29" s="9"/>
      <c r="W29" s="9"/>
      <c r="X29" s="9"/>
      <c r="Y29" s="9">
        <v>10</v>
      </c>
      <c r="Z29" s="10">
        <f t="shared" ref="Z29:Z30" si="12">+U29+Y29</f>
        <v>19</v>
      </c>
      <c r="AA29" s="30">
        <f t="shared" si="8"/>
        <v>95</v>
      </c>
      <c r="AB29" s="32">
        <f t="shared" ref="AB29:AB30" si="13">+(P29+AA29)/2</f>
        <v>91.391050583657588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 t="s">
        <v>862</v>
      </c>
      <c r="E30" s="20"/>
      <c r="F30" s="21"/>
      <c r="G30" s="23"/>
      <c r="H30" s="23"/>
      <c r="I30" s="3" t="s">
        <v>115</v>
      </c>
      <c r="J30" s="9">
        <v>1</v>
      </c>
      <c r="K30" s="9">
        <v>1</v>
      </c>
      <c r="L30" s="10">
        <f t="shared" si="0"/>
        <v>0</v>
      </c>
      <c r="M30" s="10"/>
      <c r="N30" s="10"/>
      <c r="O30" s="10"/>
      <c r="P30" s="38">
        <f t="shared" si="1"/>
        <v>100</v>
      </c>
      <c r="Q30" s="11"/>
      <c r="R30" s="11"/>
      <c r="S30" s="12">
        <f t="shared" si="2"/>
        <v>0</v>
      </c>
      <c r="T30" s="28">
        <f t="shared" si="3"/>
        <v>0</v>
      </c>
      <c r="U30" s="9">
        <v>10</v>
      </c>
      <c r="V30" s="9"/>
      <c r="W30" s="9"/>
      <c r="X30" s="9"/>
      <c r="Y30" s="9">
        <v>10</v>
      </c>
      <c r="Z30" s="10">
        <f t="shared" si="12"/>
        <v>20</v>
      </c>
      <c r="AA30" s="30">
        <f t="shared" si="8"/>
        <v>100</v>
      </c>
      <c r="AB30" s="32">
        <f t="shared" si="13"/>
        <v>100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8"/>
        <v>0</v>
      </c>
      <c r="AB31" s="32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/>
      <c r="E32" s="20"/>
      <c r="F32" s="21"/>
      <c r="G32" s="23"/>
      <c r="H32" s="23"/>
      <c r="I32" s="3" t="s">
        <v>126</v>
      </c>
      <c r="J32" s="9"/>
      <c r="K32" s="9"/>
      <c r="L32" s="10">
        <f t="shared" si="0"/>
        <v>0</v>
      </c>
      <c r="M32" s="10"/>
      <c r="N32" s="10"/>
      <c r="O32" s="10"/>
      <c r="P32" s="38">
        <f t="shared" si="1"/>
        <v>0</v>
      </c>
      <c r="Q32" s="11"/>
      <c r="R32" s="11"/>
      <c r="S32" s="12">
        <f t="shared" si="2"/>
        <v>0</v>
      </c>
      <c r="T32" s="28">
        <f t="shared" si="3"/>
        <v>0</v>
      </c>
      <c r="U32" s="9"/>
      <c r="V32" s="9"/>
      <c r="W32" s="9"/>
      <c r="X32" s="9"/>
      <c r="Y32" s="9"/>
      <c r="Z32" s="10">
        <f t="shared" si="4"/>
        <v>0</v>
      </c>
      <c r="AA32" s="30">
        <f t="shared" si="8"/>
        <v>0</v>
      </c>
      <c r="AB32" s="32">
        <f t="shared" si="6"/>
        <v>0</v>
      </c>
      <c r="AC32" s="63"/>
    </row>
    <row r="33" spans="1:29" ht="27.6" x14ac:dyDescent="0.3">
      <c r="A33" s="24" t="s">
        <v>36</v>
      </c>
      <c r="B33" s="24" t="s">
        <v>35</v>
      </c>
      <c r="C33" s="24" t="s">
        <v>843</v>
      </c>
      <c r="D33" s="23" t="s">
        <v>862</v>
      </c>
      <c r="E33" s="20"/>
      <c r="F33" s="21"/>
      <c r="G33" s="23"/>
      <c r="H33" s="23"/>
      <c r="I33" s="3" t="s">
        <v>127</v>
      </c>
      <c r="J33" s="9">
        <v>3</v>
      </c>
      <c r="K33" s="9">
        <v>3</v>
      </c>
      <c r="L33" s="10">
        <f t="shared" si="0"/>
        <v>0</v>
      </c>
      <c r="M33" s="10"/>
      <c r="N33" s="10"/>
      <c r="O33" s="10"/>
      <c r="P33" s="38">
        <f t="shared" si="1"/>
        <v>100</v>
      </c>
      <c r="Q33" s="11"/>
      <c r="R33" s="11"/>
      <c r="S33" s="12">
        <f t="shared" si="2"/>
        <v>0</v>
      </c>
      <c r="T33" s="28">
        <f t="shared" si="3"/>
        <v>0</v>
      </c>
      <c r="U33" s="9">
        <v>10</v>
      </c>
      <c r="V33" s="9"/>
      <c r="W33" s="9"/>
      <c r="X33" s="9"/>
      <c r="Y33" s="9">
        <v>10</v>
      </c>
      <c r="Z33" s="10">
        <f t="shared" ref="Z33:Z34" si="14">+U33+Y33</f>
        <v>20</v>
      </c>
      <c r="AA33" s="30">
        <f t="shared" si="8"/>
        <v>100</v>
      </c>
      <c r="AB33" s="32">
        <f t="shared" ref="AB33:AB34" si="15">+(P33+AA33)/2</f>
        <v>100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1</v>
      </c>
      <c r="K34" s="9">
        <v>1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si="14"/>
        <v>20</v>
      </c>
      <c r="AA34" s="30">
        <f t="shared" si="8"/>
        <v>100</v>
      </c>
      <c r="AB34" s="32">
        <f t="shared" si="15"/>
        <v>100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/>
      <c r="E35" s="20"/>
      <c r="F35" s="21"/>
      <c r="G35" s="23"/>
      <c r="H35" s="23"/>
      <c r="I35" s="3" t="s">
        <v>129</v>
      </c>
      <c r="J35" s="9"/>
      <c r="K35" s="9"/>
      <c r="L35" s="10">
        <f t="shared" si="0"/>
        <v>0</v>
      </c>
      <c r="M35" s="10"/>
      <c r="N35" s="10"/>
      <c r="O35" s="10"/>
      <c r="P35" s="38">
        <f t="shared" si="1"/>
        <v>0</v>
      </c>
      <c r="Q35" s="11"/>
      <c r="R35" s="11"/>
      <c r="S35" s="12">
        <f t="shared" si="2"/>
        <v>0</v>
      </c>
      <c r="T35" s="28">
        <f t="shared" si="3"/>
        <v>0</v>
      </c>
      <c r="U35" s="9"/>
      <c r="V35" s="9"/>
      <c r="W35" s="9"/>
      <c r="X35" s="9"/>
      <c r="Y35" s="9"/>
      <c r="Z35" s="10">
        <f t="shared" si="4"/>
        <v>0</v>
      </c>
      <c r="AA35" s="30">
        <f t="shared" si="8"/>
        <v>0</v>
      </c>
      <c r="AB35" s="32">
        <f t="shared" si="6"/>
        <v>0</v>
      </c>
      <c r="AC35" s="63"/>
    </row>
    <row r="36" spans="1:29" ht="41.4" x14ac:dyDescent="0.3">
      <c r="A36" s="24" t="s">
        <v>36</v>
      </c>
      <c r="B36" s="24" t="s">
        <v>35</v>
      </c>
      <c r="C36" s="24" t="s">
        <v>843</v>
      </c>
      <c r="D36" s="23" t="s">
        <v>862</v>
      </c>
      <c r="E36" s="20"/>
      <c r="F36" s="21"/>
      <c r="G36" s="23"/>
      <c r="H36" s="23"/>
      <c r="I36" s="3" t="s">
        <v>130</v>
      </c>
      <c r="J36" s="9">
        <v>3</v>
      </c>
      <c r="K36" s="9">
        <v>3</v>
      </c>
      <c r="L36" s="10">
        <f t="shared" si="0"/>
        <v>0</v>
      </c>
      <c r="M36" s="10"/>
      <c r="N36" s="10"/>
      <c r="O36" s="10"/>
      <c r="P36" s="38">
        <f t="shared" si="1"/>
        <v>100</v>
      </c>
      <c r="Q36" s="11"/>
      <c r="R36" s="11"/>
      <c r="S36" s="12">
        <f t="shared" si="2"/>
        <v>0</v>
      </c>
      <c r="T36" s="28">
        <f t="shared" si="3"/>
        <v>0</v>
      </c>
      <c r="U36" s="9">
        <v>10</v>
      </c>
      <c r="V36" s="9"/>
      <c r="W36" s="9"/>
      <c r="X36" s="9"/>
      <c r="Y36" s="9">
        <v>10</v>
      </c>
      <c r="Z36" s="10">
        <f t="shared" ref="Z36:Z37" si="16">+U36+Y36</f>
        <v>20</v>
      </c>
      <c r="AA36" s="30">
        <f t="shared" si="8"/>
        <v>100</v>
      </c>
      <c r="AB36" s="32">
        <f t="shared" ref="AB36:AB37" si="17">+(P36+AA36)/2</f>
        <v>100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1</v>
      </c>
      <c r="K37" s="9">
        <v>1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 t="shared" si="16"/>
        <v>20</v>
      </c>
      <c r="AA37" s="30">
        <f t="shared" si="8"/>
        <v>100</v>
      </c>
      <c r="AB37" s="32">
        <f t="shared" si="17"/>
        <v>100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8"/>
        <v>0</v>
      </c>
      <c r="AB38" s="32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/>
      <c r="E39" s="20"/>
      <c r="F39" s="21"/>
      <c r="G39" s="23"/>
      <c r="H39" s="23"/>
      <c r="I39" s="3" t="s">
        <v>155</v>
      </c>
      <c r="J39" s="9"/>
      <c r="K39" s="9"/>
      <c r="L39" s="10">
        <f t="shared" si="0"/>
        <v>0</v>
      </c>
      <c r="M39" s="10"/>
      <c r="N39" s="10"/>
      <c r="O39" s="10"/>
      <c r="P39" s="38">
        <f t="shared" si="1"/>
        <v>0</v>
      </c>
      <c r="Q39" s="11"/>
      <c r="R39" s="11"/>
      <c r="S39" s="12">
        <f t="shared" si="2"/>
        <v>0</v>
      </c>
      <c r="T39" s="28">
        <f t="shared" si="3"/>
        <v>0</v>
      </c>
      <c r="U39" s="9"/>
      <c r="V39" s="9"/>
      <c r="W39" s="9"/>
      <c r="X39" s="9"/>
      <c r="Y39" s="9"/>
      <c r="Z39" s="10">
        <f t="shared" si="4"/>
        <v>0</v>
      </c>
      <c r="AA39" s="30">
        <f t="shared" si="8"/>
        <v>0</v>
      </c>
      <c r="AB39" s="32">
        <f t="shared" si="6"/>
        <v>0</v>
      </c>
      <c r="AC39" s="63"/>
    </row>
    <row r="40" spans="1:29" ht="27.6" x14ac:dyDescent="0.3">
      <c r="A40" s="24" t="s">
        <v>84</v>
      </c>
      <c r="B40" s="24" t="s">
        <v>35</v>
      </c>
      <c r="C40" s="24" t="s">
        <v>843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8"/>
        <v>0</v>
      </c>
      <c r="AB40" s="32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8"/>
        <v>0</v>
      </c>
      <c r="AB41" s="32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>+U42+Y42</f>
        <v>0</v>
      </c>
      <c r="AA42" s="30">
        <f t="shared" si="8"/>
        <v>0</v>
      </c>
      <c r="AB42" s="32">
        <f>+(P42+AA42)/2</f>
        <v>0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8"/>
        <v>0</v>
      </c>
      <c r="AB43" s="32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ref="Z44:Z50" si="18">+U44+Y44</f>
        <v>0</v>
      </c>
      <c r="AA44" s="30">
        <f t="shared" si="8"/>
        <v>0</v>
      </c>
      <c r="AB44" s="32">
        <f t="shared" ref="AB44:AB50" si="19">+(P44+AA44)/2</f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18"/>
        <v>0</v>
      </c>
      <c r="AA45" s="30">
        <f t="shared" si="8"/>
        <v>0</v>
      </c>
      <c r="AB45" s="32">
        <f t="shared" si="19"/>
        <v>0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18"/>
        <v>0</v>
      </c>
      <c r="AA46" s="30">
        <f t="shared" si="8"/>
        <v>0</v>
      </c>
      <c r="AB46" s="32">
        <f t="shared" si="19"/>
        <v>0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18"/>
        <v>0</v>
      </c>
      <c r="AA47" s="30">
        <f t="shared" si="8"/>
        <v>0</v>
      </c>
      <c r="AB47" s="32">
        <f t="shared" si="19"/>
        <v>0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18"/>
        <v>0</v>
      </c>
      <c r="AA48" s="30">
        <f t="shared" si="8"/>
        <v>0</v>
      </c>
      <c r="AB48" s="32">
        <f t="shared" si="19"/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 t="shared" si="18"/>
        <v>0</v>
      </c>
      <c r="AA49" s="30">
        <f t="shared" si="8"/>
        <v>0</v>
      </c>
      <c r="AB49" s="32">
        <f t="shared" si="19"/>
        <v>0</v>
      </c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>
        <v>41</v>
      </c>
      <c r="K50" s="9"/>
      <c r="L50" s="10">
        <f t="shared" si="0"/>
        <v>41</v>
      </c>
      <c r="M50" s="10"/>
      <c r="N50" s="10"/>
      <c r="O50" s="10"/>
      <c r="P50" s="38">
        <f t="shared" si="1"/>
        <v>0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 t="shared" si="18"/>
        <v>0</v>
      </c>
      <c r="AA50" s="30">
        <f t="shared" si="8"/>
        <v>0</v>
      </c>
      <c r="AB50" s="32">
        <f t="shared" si="19"/>
        <v>0</v>
      </c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8"/>
        <v>0</v>
      </c>
      <c r="AB51" s="32">
        <f t="shared" si="6"/>
        <v>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8"/>
        <v>0</v>
      </c>
      <c r="AB52" s="32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/>
      <c r="E53" s="20"/>
      <c r="F53" s="21"/>
      <c r="G53" s="23"/>
      <c r="H53" s="23"/>
      <c r="I53" s="3" t="s">
        <v>189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 t="shared" si="4"/>
        <v>0</v>
      </c>
      <c r="AA53" s="30">
        <f t="shared" si="8"/>
        <v>0</v>
      </c>
      <c r="AB53" s="32">
        <f t="shared" si="6"/>
        <v>0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843</v>
      </c>
      <c r="D54" s="23" t="s">
        <v>862</v>
      </c>
      <c r="E54" s="20"/>
      <c r="F54" s="21"/>
      <c r="G54" s="23"/>
      <c r="H54" s="23"/>
      <c r="I54" s="3" t="s">
        <v>190</v>
      </c>
      <c r="J54" s="9">
        <f>55+18</f>
        <v>73</v>
      </c>
      <c r="K54" s="9">
        <v>73</v>
      </c>
      <c r="L54" s="10">
        <f t="shared" si="0"/>
        <v>0</v>
      </c>
      <c r="M54" s="10"/>
      <c r="N54" s="10"/>
      <c r="O54" s="10"/>
      <c r="P54" s="38">
        <f t="shared" si="1"/>
        <v>100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ref="Z54:Z56" si="20">+U54+Y54</f>
        <v>0</v>
      </c>
      <c r="AA54" s="30">
        <f t="shared" si="8"/>
        <v>0</v>
      </c>
      <c r="AB54" s="32">
        <f t="shared" ref="AB54:AB55" si="21">+(P54+AA54)/2</f>
        <v>50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>
        <v>1</v>
      </c>
      <c r="K55" s="9">
        <v>1</v>
      </c>
      <c r="L55" s="10">
        <f t="shared" si="0"/>
        <v>0</v>
      </c>
      <c r="M55" s="10"/>
      <c r="N55" s="10"/>
      <c r="O55" s="10"/>
      <c r="P55" s="38">
        <f t="shared" si="1"/>
        <v>100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si="20"/>
        <v>0</v>
      </c>
      <c r="AA55" s="30">
        <f t="shared" si="8"/>
        <v>0</v>
      </c>
      <c r="AB55" s="32">
        <f t="shared" si="21"/>
        <v>50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20"/>
        <v>0</v>
      </c>
      <c r="AA56" s="30">
        <f t="shared" si="8"/>
        <v>0</v>
      </c>
      <c r="AB56" s="32">
        <f t="shared" ref="AB56" si="22">+(P56+AA56)/3</f>
        <v>0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8"/>
        <v>0</v>
      </c>
      <c r="AB57" s="32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2687</v>
      </c>
      <c r="K58" s="67">
        <f>SUM(K10:K55)</f>
        <v>2408</v>
      </c>
      <c r="L58" s="68">
        <f>+J58-K58</f>
        <v>279</v>
      </c>
      <c r="M58" s="43"/>
      <c r="N58" s="43"/>
      <c r="O58" s="43"/>
      <c r="P58" s="33">
        <f>(K58*100)/J58</f>
        <v>89.616672869371044</v>
      </c>
      <c r="Q58" s="122"/>
      <c r="R58" s="123"/>
      <c r="S58" s="124"/>
      <c r="T58" s="33">
        <f t="shared" ref="T58" si="23">AVERAGEIF(T10:T57,"&gt;0")</f>
        <v>150</v>
      </c>
      <c r="U58" s="69">
        <f>AVERAGEIF(U10:U55,"&gt;0")</f>
        <v>9.4285714285714288</v>
      </c>
      <c r="V58" s="69" t="e">
        <f t="shared" ref="V58:X58" si="24">AVERAGEIF(V10:V55,"&gt;0")</f>
        <v>#DIV/0!</v>
      </c>
      <c r="W58" s="69" t="e">
        <f t="shared" si="24"/>
        <v>#DIV/0!</v>
      </c>
      <c r="X58" s="69" t="e">
        <f t="shared" si="24"/>
        <v>#DIV/0!</v>
      </c>
      <c r="Y58" s="69">
        <f>AVERAGEIF(Y10:Y55,"&gt;0")</f>
        <v>10</v>
      </c>
      <c r="Z58" s="70">
        <f>+U58+Y58</f>
        <v>19.428571428571431</v>
      </c>
      <c r="AA58" s="33">
        <f>(Z58*100)/20</f>
        <v>97.142857142857153</v>
      </c>
      <c r="AB58" s="33">
        <f t="shared" ref="AB58" si="25">AVERAGEIF(AB10:AB57,"&gt;0")</f>
        <v>89.679311285527305</v>
      </c>
      <c r="AC58" s="65"/>
    </row>
  </sheetData>
  <autoFilter ref="A9:AC58" xr:uid="{26F52C70-33EE-4AB7-AE58-C11356FADCBC}"/>
  <mergeCells count="18">
    <mergeCell ref="U7:AA7"/>
    <mergeCell ref="AB7:AB8"/>
    <mergeCell ref="AC7:AC8"/>
    <mergeCell ref="Q58:S58"/>
    <mergeCell ref="Q7:T7"/>
    <mergeCell ref="A7:C7"/>
    <mergeCell ref="D7:D8"/>
    <mergeCell ref="E7:G7"/>
    <mergeCell ref="I7:I8"/>
    <mergeCell ref="J7:P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F10:G58 H58" xr:uid="{2890DA5D-7144-4E4D-B409-590487607FC0}">
      <formula1>INDIRECT(E10)</formula1>
    </dataValidation>
  </dataValidations>
  <pageMargins left="0.7" right="0.7" top="0.75" bottom="0.75" header="0.3" footer="0.3"/>
  <pageSetup scale="71" orientation="landscape" horizontalDpi="360" verticalDpi="360" r:id="rId1"/>
  <rowBreaks count="1" manualBreakCount="1">
    <brk id="36" max="16383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6915AC4B-2FE9-4837-9F5B-04CD22F62184}">
          <x14:formula1>
            <xm:f>'Lista desplegable'!$O$13:$O$37</xm:f>
          </x14:formula1>
          <xm:sqref>G4:G5 I4</xm:sqref>
        </x14:dataValidation>
        <x14:dataValidation type="list" allowBlank="1" showInputMessage="1" showErrorMessage="1" xr:uid="{A5885A28-B218-408D-B2F8-90CECD048088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181DA83F-FA32-4545-AAA1-458F46F035D3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2AD0DD34-9A03-4E17-9E22-14A4AC4D115A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C47B5B0F-3FB6-40F6-B866-24612D301056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35D76095-6491-404E-82C0-4A37CF9BE8FD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8EB8B787-4F06-4104-83D6-41A0157A3319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F51CC776-009D-4162-9C1F-ECB9859AA7BA}">
          <x14:formula1>
            <xm:f>'Lista desplegable'!$A$2:$A$16</xm:f>
          </x14:formula1>
          <xm:sqref>E10:E58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6E8DB-F82B-42F7-B85C-E8158329D3AB}">
  <dimension ref="A1:AC58"/>
  <sheetViews>
    <sheetView showGridLines="0" view="pageBreakPreview" topLeftCell="A3" zoomScale="124" zoomScaleNormal="100" zoomScaleSheetLayoutView="100" workbookViewId="0">
      <pane xSplit="9" ySplit="7" topLeftCell="J54" activePane="bottomRight" state="frozen"/>
      <selection pane="topRight" activeCell="J3" sqref="J3"/>
      <selection pane="bottomLeft" activeCell="A10" sqref="A10"/>
      <selection pane="bottomRight" activeCell="J10" sqref="J10:K57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5.1093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49"/>
    </row>
    <row r="2" spans="1:29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283</v>
      </c>
      <c r="J4" s="142"/>
      <c r="K4" s="142"/>
      <c r="L4" s="39"/>
      <c r="M4" s="39"/>
      <c r="N4" s="39"/>
      <c r="O4" s="39"/>
      <c r="P4" s="134" t="s">
        <v>5</v>
      </c>
      <c r="Q4" s="134"/>
      <c r="R4" s="135" t="s">
        <v>284</v>
      </c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46"/>
    </row>
    <row r="5" spans="1:29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39"/>
      <c r="N5" s="39"/>
      <c r="O5" s="39"/>
      <c r="P5" s="134" t="s">
        <v>7</v>
      </c>
      <c r="Q5" s="134"/>
      <c r="R5" s="135" t="s">
        <v>8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46"/>
    </row>
    <row r="7" spans="1:29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29"/>
      <c r="O7" s="129"/>
      <c r="P7" s="129"/>
      <c r="Q7" s="130" t="s">
        <v>14</v>
      </c>
      <c r="R7" s="130"/>
      <c r="S7" s="130"/>
      <c r="T7" s="130"/>
      <c r="U7" s="114" t="s">
        <v>15</v>
      </c>
      <c r="V7" s="115"/>
      <c r="W7" s="115"/>
      <c r="X7" s="115"/>
      <c r="Y7" s="115"/>
      <c r="Z7" s="115"/>
      <c r="AA7" s="116"/>
      <c r="AB7" s="117" t="s">
        <v>16</v>
      </c>
      <c r="AC7" s="143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18"/>
      <c r="AC8" s="143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62"/>
    </row>
    <row r="10" spans="1:29" ht="29.4" customHeight="1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/>
      <c r="K10" s="9"/>
      <c r="L10" s="10">
        <f t="shared" ref="L10:L57" si="0">+J10-K10</f>
        <v>0</v>
      </c>
      <c r="M10" s="10"/>
      <c r="N10" s="10"/>
      <c r="O10" s="10"/>
      <c r="P10" s="38">
        <f t="shared" ref="P10:P57" si="1">IFERROR(IF(7&lt;&gt;0, K10*100/J10, IF(J10=K10, K10*100/J10, 0)), 0)</f>
        <v>0</v>
      </c>
      <c r="Q10" s="45"/>
      <c r="R10" s="11"/>
      <c r="S10" s="12">
        <f t="shared" ref="S10:S57" si="2">+Q10-R10</f>
        <v>0</v>
      </c>
      <c r="T10" s="28">
        <f t="shared" ref="T10:T57" si="3">IFERROR(IF(S10&lt;&gt;0, Q10*100/R10, IF(Q10=R10, Q10*100/R10, 0)), 0)</f>
        <v>0</v>
      </c>
      <c r="U10" s="9"/>
      <c r="V10" s="9"/>
      <c r="W10" s="9"/>
      <c r="X10" s="9"/>
      <c r="Y10" s="9"/>
      <c r="Z10" s="10">
        <f t="shared" ref="Z10:Z57" si="4">SUM(U10:Y10)</f>
        <v>0</v>
      </c>
      <c r="AA10" s="30">
        <f t="shared" ref="AA10" si="5">+Z10*100/20</f>
        <v>0</v>
      </c>
      <c r="AB10" s="32">
        <f t="shared" ref="AB10:AB57" si="6">+(T10+P10+AA10)/3</f>
        <v>0</v>
      </c>
      <c r="AC10" s="63"/>
    </row>
    <row r="11" spans="1:29" ht="27.6" x14ac:dyDescent="0.3">
      <c r="A11" s="24" t="s">
        <v>35</v>
      </c>
      <c r="B11" s="24" t="s">
        <v>36</v>
      </c>
      <c r="C11" s="24" t="s">
        <v>843</v>
      </c>
      <c r="D11" s="23" t="s">
        <v>862</v>
      </c>
      <c r="E11" s="20"/>
      <c r="F11" s="21"/>
      <c r="G11" s="22"/>
      <c r="H11" s="22"/>
      <c r="I11" s="3" t="s">
        <v>49</v>
      </c>
      <c r="J11" s="9">
        <v>18</v>
      </c>
      <c r="K11" s="9">
        <v>18</v>
      </c>
      <c r="L11" s="10">
        <f t="shared" si="0"/>
        <v>0</v>
      </c>
      <c r="M11" s="10"/>
      <c r="N11" s="10"/>
      <c r="O11" s="10"/>
      <c r="P11" s="38">
        <f t="shared" si="1"/>
        <v>100</v>
      </c>
      <c r="Q11" s="11"/>
      <c r="R11" s="11"/>
      <c r="S11" s="12">
        <f t="shared" si="2"/>
        <v>0</v>
      </c>
      <c r="T11" s="28">
        <f t="shared" si="3"/>
        <v>0</v>
      </c>
      <c r="U11" s="9">
        <v>10</v>
      </c>
      <c r="V11" s="9"/>
      <c r="W11" s="9"/>
      <c r="X11" s="9"/>
      <c r="Y11" s="9">
        <v>10</v>
      </c>
      <c r="Z11" s="10">
        <f>+U11+Y11</f>
        <v>20</v>
      </c>
      <c r="AA11" s="30">
        <f>+Z11*100/20</f>
        <v>100</v>
      </c>
      <c r="AB11" s="32">
        <f>+(P11+AA11)/2</f>
        <v>100</v>
      </c>
      <c r="AC11" s="64"/>
    </row>
    <row r="12" spans="1:29" ht="24" x14ac:dyDescent="0.3">
      <c r="A12" s="24" t="s">
        <v>35</v>
      </c>
      <c r="B12" s="24" t="s">
        <v>35</v>
      </c>
      <c r="C12" s="24" t="s">
        <v>843</v>
      </c>
      <c r="D12" s="23" t="s">
        <v>862</v>
      </c>
      <c r="E12" s="20"/>
      <c r="F12" s="21"/>
      <c r="G12" s="22"/>
      <c r="H12" s="22"/>
      <c r="I12" s="3" t="s">
        <v>1009</v>
      </c>
      <c r="J12" s="9">
        <v>40</v>
      </c>
      <c r="K12" s="9">
        <v>40</v>
      </c>
      <c r="L12" s="10">
        <f t="shared" si="0"/>
        <v>0</v>
      </c>
      <c r="M12" s="10"/>
      <c r="N12" s="10"/>
      <c r="O12" s="10"/>
      <c r="P12" s="38">
        <f t="shared" si="1"/>
        <v>100</v>
      </c>
      <c r="Q12" s="11"/>
      <c r="R12" s="11"/>
      <c r="S12" s="12">
        <f t="shared" si="2"/>
        <v>0</v>
      </c>
      <c r="T12" s="28">
        <f t="shared" si="3"/>
        <v>0</v>
      </c>
      <c r="U12" s="9">
        <v>10</v>
      </c>
      <c r="V12" s="9">
        <v>10</v>
      </c>
      <c r="W12" s="9"/>
      <c r="X12" s="9"/>
      <c r="Y12" s="9">
        <v>10</v>
      </c>
      <c r="Z12" s="10">
        <f t="shared" ref="Z12:Z13" si="7">+U12+Y12</f>
        <v>20</v>
      </c>
      <c r="AA12" s="30">
        <f t="shared" ref="AA12:AA57" si="8">+Z12*100/20</f>
        <v>100</v>
      </c>
      <c r="AB12" s="32">
        <f t="shared" ref="AB12:AB13" si="9">+(P12+AA12)/2</f>
        <v>100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f>53+49</f>
        <v>102</v>
      </c>
      <c r="K13" s="9">
        <v>91</v>
      </c>
      <c r="L13" s="10">
        <f t="shared" si="0"/>
        <v>11</v>
      </c>
      <c r="M13" s="10"/>
      <c r="N13" s="10"/>
      <c r="O13" s="10"/>
      <c r="P13" s="38">
        <f t="shared" si="1"/>
        <v>89.215686274509807</v>
      </c>
      <c r="Q13" s="11"/>
      <c r="R13" s="11"/>
      <c r="S13" s="12">
        <f t="shared" si="2"/>
        <v>0</v>
      </c>
      <c r="T13" s="28">
        <f t="shared" si="3"/>
        <v>0</v>
      </c>
      <c r="U13" s="9">
        <v>9</v>
      </c>
      <c r="V13" s="9"/>
      <c r="W13" s="9"/>
      <c r="X13" s="9"/>
      <c r="Y13" s="9">
        <v>10</v>
      </c>
      <c r="Z13" s="10">
        <f t="shared" si="7"/>
        <v>19</v>
      </c>
      <c r="AA13" s="30">
        <f t="shared" si="8"/>
        <v>95</v>
      </c>
      <c r="AB13" s="32">
        <f t="shared" si="9"/>
        <v>92.107843137254903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/>
      <c r="K14" s="9"/>
      <c r="L14" s="10">
        <f t="shared" si="0"/>
        <v>0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/>
      <c r="V14" s="9"/>
      <c r="W14" s="9"/>
      <c r="X14" s="9"/>
      <c r="Y14" s="9"/>
      <c r="Z14" s="10">
        <f t="shared" si="4"/>
        <v>0</v>
      </c>
      <c r="AA14" s="30">
        <f t="shared" si="8"/>
        <v>0</v>
      </c>
      <c r="AB14" s="32">
        <f t="shared" si="6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843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8"/>
        <v>0</v>
      </c>
      <c r="AB15" s="32">
        <f t="shared" si="6"/>
        <v>0</v>
      </c>
      <c r="AC15" s="63" t="s">
        <v>1051</v>
      </c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8"/>
        <v>0</v>
      </c>
      <c r="AB16" s="32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/>
      <c r="K17" s="9"/>
      <c r="L17" s="10">
        <f t="shared" si="0"/>
        <v>0</v>
      </c>
      <c r="M17" s="10"/>
      <c r="N17" s="10"/>
      <c r="O17" s="10"/>
      <c r="P17" s="38">
        <f t="shared" si="1"/>
        <v>0</v>
      </c>
      <c r="Q17" s="11"/>
      <c r="R17" s="11"/>
      <c r="S17" s="12">
        <f t="shared" si="2"/>
        <v>0</v>
      </c>
      <c r="T17" s="28">
        <f t="shared" si="3"/>
        <v>0</v>
      </c>
      <c r="U17" s="9"/>
      <c r="V17" s="9"/>
      <c r="W17" s="9"/>
      <c r="X17" s="9"/>
      <c r="Y17" s="9"/>
      <c r="Z17" s="10">
        <f t="shared" si="4"/>
        <v>0</v>
      </c>
      <c r="AA17" s="30">
        <f t="shared" si="8"/>
        <v>0</v>
      </c>
      <c r="AB17" s="32">
        <f t="shared" si="6"/>
        <v>0</v>
      </c>
      <c r="AC17" s="63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8"/>
        <v>0</v>
      </c>
      <c r="AB18" s="32">
        <f t="shared" si="6"/>
        <v>0</v>
      </c>
      <c r="AC18" s="64"/>
    </row>
    <row r="19" spans="1:29" ht="41.4" x14ac:dyDescent="0.3">
      <c r="A19" s="24" t="s">
        <v>35</v>
      </c>
      <c r="B19" s="24"/>
      <c r="C19" s="24" t="s">
        <v>843</v>
      </c>
      <c r="D19" s="23" t="s">
        <v>862</v>
      </c>
      <c r="E19" s="20"/>
      <c r="F19" s="21"/>
      <c r="G19" s="23"/>
      <c r="H19" s="23"/>
      <c r="I19" s="3" t="s">
        <v>77</v>
      </c>
      <c r="J19" s="9">
        <v>15</v>
      </c>
      <c r="K19" s="9">
        <v>7</v>
      </c>
      <c r="L19" s="10">
        <v>0</v>
      </c>
      <c r="M19" s="10"/>
      <c r="N19" s="10"/>
      <c r="O19" s="10"/>
      <c r="P19" s="38">
        <f t="shared" si="1"/>
        <v>46.666666666666664</v>
      </c>
      <c r="Q19" s="11"/>
      <c r="R19" s="11"/>
      <c r="S19" s="12">
        <f t="shared" si="2"/>
        <v>0</v>
      </c>
      <c r="T19" s="28">
        <f t="shared" si="3"/>
        <v>0</v>
      </c>
      <c r="U19" s="9">
        <v>5</v>
      </c>
      <c r="V19" s="9"/>
      <c r="W19" s="9"/>
      <c r="X19" s="9"/>
      <c r="Y19" s="9">
        <v>10</v>
      </c>
      <c r="Z19" s="10">
        <f t="shared" ref="Z19:Z20" si="10">+U19+Y19</f>
        <v>15</v>
      </c>
      <c r="AA19" s="30">
        <f t="shared" si="8"/>
        <v>75</v>
      </c>
      <c r="AB19" s="32">
        <f t="shared" ref="AB19:AB20" si="11">+(P19+AA19)/2</f>
        <v>60.833333333333329</v>
      </c>
      <c r="AC19" s="63" t="s">
        <v>1052</v>
      </c>
    </row>
    <row r="20" spans="1:29" ht="27.6" x14ac:dyDescent="0.3">
      <c r="A20" s="24" t="s">
        <v>35</v>
      </c>
      <c r="B20" s="24"/>
      <c r="C20" s="24" t="s">
        <v>853</v>
      </c>
      <c r="D20" s="23" t="s">
        <v>862</v>
      </c>
      <c r="E20" s="20"/>
      <c r="F20" s="21"/>
      <c r="G20" s="23"/>
      <c r="H20" s="23"/>
      <c r="I20" s="3" t="s">
        <v>78</v>
      </c>
      <c r="J20" s="9">
        <v>1</v>
      </c>
      <c r="K20" s="9">
        <v>1</v>
      </c>
      <c r="L20" s="10">
        <f t="shared" si="0"/>
        <v>0</v>
      </c>
      <c r="M20" s="10"/>
      <c r="N20" s="10"/>
      <c r="O20" s="10"/>
      <c r="P20" s="38">
        <f t="shared" si="1"/>
        <v>100</v>
      </c>
      <c r="Q20" s="11"/>
      <c r="R20" s="11"/>
      <c r="S20" s="12">
        <f t="shared" si="2"/>
        <v>0</v>
      </c>
      <c r="T20" s="28">
        <f t="shared" si="3"/>
        <v>0</v>
      </c>
      <c r="U20" s="9">
        <v>10</v>
      </c>
      <c r="V20" s="9"/>
      <c r="W20" s="9"/>
      <c r="X20" s="9"/>
      <c r="Y20" s="9">
        <v>10</v>
      </c>
      <c r="Z20" s="10">
        <f t="shared" si="10"/>
        <v>20</v>
      </c>
      <c r="AA20" s="30">
        <f t="shared" si="8"/>
        <v>100</v>
      </c>
      <c r="AB20" s="32">
        <f t="shared" si="11"/>
        <v>100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8"/>
        <v>0</v>
      </c>
      <c r="AB21" s="32">
        <f t="shared" si="6"/>
        <v>0</v>
      </c>
      <c r="AC21" s="64"/>
    </row>
    <row r="22" spans="1:29" ht="27.6" x14ac:dyDescent="0.3">
      <c r="A22" s="24" t="s">
        <v>79</v>
      </c>
      <c r="B22" s="24" t="s">
        <v>35</v>
      </c>
      <c r="C22" s="24" t="s">
        <v>843</v>
      </c>
      <c r="D22" s="23" t="s">
        <v>862</v>
      </c>
      <c r="E22" s="20"/>
      <c r="F22" s="21"/>
      <c r="G22" s="23"/>
      <c r="H22" s="23"/>
      <c r="I22" s="3" t="s">
        <v>88</v>
      </c>
      <c r="J22" s="9">
        <v>1</v>
      </c>
      <c r="K22" s="9">
        <v>1</v>
      </c>
      <c r="L22" s="10">
        <f t="shared" si="0"/>
        <v>0</v>
      </c>
      <c r="M22" s="10"/>
      <c r="N22" s="10"/>
      <c r="O22" s="10"/>
      <c r="P22" s="38">
        <f t="shared" si="1"/>
        <v>100</v>
      </c>
      <c r="Q22" s="11"/>
      <c r="R22" s="11"/>
      <c r="S22" s="12">
        <f t="shared" si="2"/>
        <v>0</v>
      </c>
      <c r="T22" s="28">
        <f t="shared" si="3"/>
        <v>0</v>
      </c>
      <c r="U22" s="9">
        <v>10</v>
      </c>
      <c r="V22" s="9"/>
      <c r="W22" s="9"/>
      <c r="X22" s="9"/>
      <c r="Y22" s="9">
        <v>10</v>
      </c>
      <c r="Z22" s="10">
        <f>+U22+Y22</f>
        <v>20</v>
      </c>
      <c r="AA22" s="30">
        <f t="shared" si="8"/>
        <v>100</v>
      </c>
      <c r="AB22" s="32">
        <f>+(P22+AA22)/2</f>
        <v>100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8"/>
        <v>0</v>
      </c>
      <c r="AB23" s="32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>+U24+Y24</f>
        <v>20</v>
      </c>
      <c r="AA24" s="30">
        <f t="shared" si="8"/>
        <v>100</v>
      </c>
      <c r="AB24" s="32">
        <f>+(P24+AA24)/2</f>
        <v>100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8"/>
        <v>0</v>
      </c>
      <c r="AB25" s="32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843</v>
      </c>
      <c r="D26" s="23" t="s">
        <v>862</v>
      </c>
      <c r="E26" s="20"/>
      <c r="F26" s="21"/>
      <c r="G26" s="23"/>
      <c r="H26" s="23"/>
      <c r="I26" s="3" t="s">
        <v>108</v>
      </c>
      <c r="J26" s="9">
        <v>1046</v>
      </c>
      <c r="K26" s="9">
        <v>961</v>
      </c>
      <c r="L26" s="10">
        <f t="shared" si="0"/>
        <v>85</v>
      </c>
      <c r="M26" s="10"/>
      <c r="N26" s="10"/>
      <c r="O26" s="10"/>
      <c r="P26" s="38">
        <f t="shared" si="1"/>
        <v>91.873804971319316</v>
      </c>
      <c r="Q26" s="11"/>
      <c r="R26" s="11"/>
      <c r="S26" s="12">
        <f t="shared" si="2"/>
        <v>0</v>
      </c>
      <c r="T26" s="28">
        <f t="shared" si="3"/>
        <v>0</v>
      </c>
      <c r="U26" s="9">
        <v>9</v>
      </c>
      <c r="V26" s="9"/>
      <c r="W26" s="9"/>
      <c r="X26" s="9"/>
      <c r="Y26" s="9">
        <v>10</v>
      </c>
      <c r="Z26" s="10">
        <f>+U26+Y26</f>
        <v>19</v>
      </c>
      <c r="AA26" s="30">
        <f t="shared" si="8"/>
        <v>95</v>
      </c>
      <c r="AB26" s="32">
        <f>+(P26+AA26)/2</f>
        <v>93.436902485659658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8"/>
        <v>0</v>
      </c>
      <c r="AB27" s="32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/>
      <c r="K28" s="9"/>
      <c r="L28" s="10">
        <f t="shared" si="0"/>
        <v>0</v>
      </c>
      <c r="M28" s="10"/>
      <c r="N28" s="10"/>
      <c r="O28" s="10"/>
      <c r="P28" s="38">
        <f t="shared" si="1"/>
        <v>0</v>
      </c>
      <c r="Q28" s="11"/>
      <c r="R28" s="11"/>
      <c r="S28" s="12">
        <f t="shared" si="2"/>
        <v>0</v>
      </c>
      <c r="T28" s="28">
        <f t="shared" si="3"/>
        <v>0</v>
      </c>
      <c r="U28" s="9"/>
      <c r="V28" s="9"/>
      <c r="W28" s="9"/>
      <c r="X28" s="9"/>
      <c r="Y28" s="9"/>
      <c r="Z28" s="10">
        <f t="shared" si="4"/>
        <v>0</v>
      </c>
      <c r="AA28" s="30">
        <f t="shared" si="8"/>
        <v>0</v>
      </c>
      <c r="AB28" s="32">
        <f t="shared" si="6"/>
        <v>0</v>
      </c>
      <c r="AC28" s="63"/>
    </row>
    <row r="29" spans="1:29" ht="27.6" x14ac:dyDescent="0.3">
      <c r="A29" s="24" t="s">
        <v>35</v>
      </c>
      <c r="B29" s="24" t="s">
        <v>64</v>
      </c>
      <c r="C29" s="24" t="s">
        <v>843</v>
      </c>
      <c r="D29" s="23" t="s">
        <v>862</v>
      </c>
      <c r="E29" s="20"/>
      <c r="F29" s="21"/>
      <c r="G29" s="23"/>
      <c r="H29" s="23"/>
      <c r="I29" s="3" t="s">
        <v>114</v>
      </c>
      <c r="J29" s="9">
        <f>1046+74+82</f>
        <v>1202</v>
      </c>
      <c r="K29" s="9">
        <v>1039</v>
      </c>
      <c r="L29" s="10">
        <f t="shared" si="0"/>
        <v>163</v>
      </c>
      <c r="M29" s="10"/>
      <c r="N29" s="10"/>
      <c r="O29" s="10"/>
      <c r="P29" s="38">
        <f t="shared" si="1"/>
        <v>86.439267886855248</v>
      </c>
      <c r="Q29" s="11"/>
      <c r="R29" s="11"/>
      <c r="S29" s="12">
        <f t="shared" si="2"/>
        <v>0</v>
      </c>
      <c r="T29" s="28">
        <f t="shared" si="3"/>
        <v>0</v>
      </c>
      <c r="U29" s="9">
        <v>9</v>
      </c>
      <c r="V29" s="9"/>
      <c r="W29" s="9"/>
      <c r="X29" s="9"/>
      <c r="Y29" s="9">
        <v>10</v>
      </c>
      <c r="Z29" s="10">
        <f t="shared" ref="Z29:Z30" si="12">+U29+Y29</f>
        <v>19</v>
      </c>
      <c r="AA29" s="30">
        <f t="shared" si="8"/>
        <v>95</v>
      </c>
      <c r="AB29" s="32">
        <f t="shared" ref="AB29:AB30" si="13">+(P29+AA29)/2</f>
        <v>90.719633943427624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 t="s">
        <v>862</v>
      </c>
      <c r="E30" s="20"/>
      <c r="F30" s="21"/>
      <c r="G30" s="23"/>
      <c r="H30" s="23"/>
      <c r="I30" s="3" t="s">
        <v>115</v>
      </c>
      <c r="J30" s="9">
        <v>1</v>
      </c>
      <c r="K30" s="9">
        <v>1</v>
      </c>
      <c r="L30" s="10">
        <f t="shared" si="0"/>
        <v>0</v>
      </c>
      <c r="M30" s="10"/>
      <c r="N30" s="10"/>
      <c r="O30" s="10"/>
      <c r="P30" s="38">
        <f t="shared" si="1"/>
        <v>100</v>
      </c>
      <c r="Q30" s="11"/>
      <c r="R30" s="11"/>
      <c r="S30" s="12">
        <f t="shared" si="2"/>
        <v>0</v>
      </c>
      <c r="T30" s="28">
        <f t="shared" si="3"/>
        <v>0</v>
      </c>
      <c r="U30" s="9">
        <v>10</v>
      </c>
      <c r="V30" s="9"/>
      <c r="W30" s="9"/>
      <c r="X30" s="9"/>
      <c r="Y30" s="9">
        <v>10</v>
      </c>
      <c r="Z30" s="10">
        <f t="shared" si="12"/>
        <v>20</v>
      </c>
      <c r="AA30" s="30">
        <f t="shared" si="8"/>
        <v>100</v>
      </c>
      <c r="AB30" s="32">
        <f t="shared" si="13"/>
        <v>100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8"/>
        <v>0</v>
      </c>
      <c r="AB31" s="32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/>
      <c r="K32" s="9"/>
      <c r="L32" s="10">
        <f t="shared" si="0"/>
        <v>0</v>
      </c>
      <c r="M32" s="10"/>
      <c r="N32" s="10"/>
      <c r="O32" s="10"/>
      <c r="P32" s="38">
        <f t="shared" si="1"/>
        <v>0</v>
      </c>
      <c r="Q32" s="11"/>
      <c r="R32" s="11"/>
      <c r="S32" s="12">
        <f t="shared" si="2"/>
        <v>0</v>
      </c>
      <c r="T32" s="28">
        <f t="shared" si="3"/>
        <v>0</v>
      </c>
      <c r="U32" s="9"/>
      <c r="V32" s="9"/>
      <c r="W32" s="9"/>
      <c r="X32" s="9"/>
      <c r="Y32" s="9"/>
      <c r="Z32" s="10">
        <f t="shared" si="4"/>
        <v>0</v>
      </c>
      <c r="AA32" s="30">
        <f t="shared" si="8"/>
        <v>0</v>
      </c>
      <c r="AB32" s="32">
        <f t="shared" si="6"/>
        <v>0</v>
      </c>
      <c r="AC32" s="63"/>
    </row>
    <row r="33" spans="1:29" ht="27.6" x14ac:dyDescent="0.3">
      <c r="A33" s="24" t="s">
        <v>36</v>
      </c>
      <c r="B33" s="24" t="s">
        <v>35</v>
      </c>
      <c r="C33" s="24" t="s">
        <v>843</v>
      </c>
      <c r="D33" s="23" t="s">
        <v>862</v>
      </c>
      <c r="E33" s="20"/>
      <c r="F33" s="21"/>
      <c r="G33" s="23"/>
      <c r="H33" s="23"/>
      <c r="I33" s="3" t="s">
        <v>127</v>
      </c>
      <c r="J33" s="9">
        <v>1</v>
      </c>
      <c r="K33" s="9">
        <v>1</v>
      </c>
      <c r="L33" s="10">
        <f t="shared" si="0"/>
        <v>0</v>
      </c>
      <c r="M33" s="10"/>
      <c r="N33" s="10"/>
      <c r="O33" s="10"/>
      <c r="P33" s="38">
        <f t="shared" si="1"/>
        <v>100</v>
      </c>
      <c r="Q33" s="11"/>
      <c r="R33" s="11"/>
      <c r="S33" s="12">
        <f t="shared" si="2"/>
        <v>0</v>
      </c>
      <c r="T33" s="28">
        <f t="shared" si="3"/>
        <v>0</v>
      </c>
      <c r="U33" s="9">
        <v>10</v>
      </c>
      <c r="V33" s="9"/>
      <c r="W33" s="9"/>
      <c r="X33" s="9"/>
      <c r="Y33" s="9">
        <v>10</v>
      </c>
      <c r="Z33" s="10">
        <f t="shared" ref="Z33:Z34" si="14">+U33+Y33</f>
        <v>20</v>
      </c>
      <c r="AA33" s="30">
        <f t="shared" si="8"/>
        <v>100</v>
      </c>
      <c r="AB33" s="32">
        <f t="shared" ref="AB33:AB34" si="15">+(P33+AA33)/2</f>
        <v>100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1</v>
      </c>
      <c r="K34" s="9">
        <v>1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si="14"/>
        <v>20</v>
      </c>
      <c r="AA34" s="30">
        <f t="shared" si="8"/>
        <v>100</v>
      </c>
      <c r="AB34" s="32">
        <f t="shared" si="15"/>
        <v>100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/>
      <c r="K35" s="9"/>
      <c r="L35" s="10">
        <f t="shared" si="0"/>
        <v>0</v>
      </c>
      <c r="M35" s="10"/>
      <c r="N35" s="10"/>
      <c r="O35" s="10"/>
      <c r="P35" s="38">
        <f t="shared" si="1"/>
        <v>0</v>
      </c>
      <c r="Q35" s="11"/>
      <c r="R35" s="11"/>
      <c r="S35" s="12">
        <f t="shared" si="2"/>
        <v>0</v>
      </c>
      <c r="T35" s="28">
        <f t="shared" si="3"/>
        <v>0</v>
      </c>
      <c r="U35" s="9"/>
      <c r="V35" s="9"/>
      <c r="W35" s="9"/>
      <c r="X35" s="9"/>
      <c r="Y35" s="9"/>
      <c r="Z35" s="10">
        <f t="shared" si="4"/>
        <v>0</v>
      </c>
      <c r="AA35" s="30">
        <f t="shared" si="8"/>
        <v>0</v>
      </c>
      <c r="AB35" s="32">
        <f t="shared" si="6"/>
        <v>0</v>
      </c>
      <c r="AC35" s="63"/>
    </row>
    <row r="36" spans="1:29" ht="41.4" x14ac:dyDescent="0.3">
      <c r="A36" s="24" t="s">
        <v>36</v>
      </c>
      <c r="B36" s="24" t="s">
        <v>35</v>
      </c>
      <c r="C36" s="24" t="s">
        <v>843</v>
      </c>
      <c r="D36" s="23" t="s">
        <v>862</v>
      </c>
      <c r="E36" s="20"/>
      <c r="F36" s="21"/>
      <c r="G36" s="23"/>
      <c r="H36" s="23"/>
      <c r="I36" s="3" t="s">
        <v>130</v>
      </c>
      <c r="J36" s="9">
        <v>1</v>
      </c>
      <c r="K36" s="9">
        <v>1</v>
      </c>
      <c r="L36" s="10">
        <f t="shared" si="0"/>
        <v>0</v>
      </c>
      <c r="M36" s="10"/>
      <c r="N36" s="10"/>
      <c r="O36" s="10"/>
      <c r="P36" s="38">
        <f t="shared" si="1"/>
        <v>100</v>
      </c>
      <c r="Q36" s="11"/>
      <c r="R36" s="11"/>
      <c r="S36" s="12">
        <f t="shared" si="2"/>
        <v>0</v>
      </c>
      <c r="T36" s="28">
        <f t="shared" si="3"/>
        <v>0</v>
      </c>
      <c r="U36" s="9">
        <v>10</v>
      </c>
      <c r="V36" s="9"/>
      <c r="W36" s="9"/>
      <c r="X36" s="9"/>
      <c r="Y36" s="9">
        <v>10</v>
      </c>
      <c r="Z36" s="10">
        <f t="shared" ref="Z36:Z37" si="16">+U36+Y36</f>
        <v>20</v>
      </c>
      <c r="AA36" s="30">
        <f t="shared" si="8"/>
        <v>100</v>
      </c>
      <c r="AB36" s="32">
        <f t="shared" ref="AB36:AB37" si="17">+(P36+AA36)/2</f>
        <v>100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1</v>
      </c>
      <c r="K37" s="9">
        <v>1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 t="shared" si="16"/>
        <v>20</v>
      </c>
      <c r="AA37" s="30">
        <f t="shared" si="8"/>
        <v>100</v>
      </c>
      <c r="AB37" s="32">
        <f t="shared" si="17"/>
        <v>100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8"/>
        <v>0</v>
      </c>
      <c r="AB38" s="32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 t="s">
        <v>862</v>
      </c>
      <c r="E39" s="20"/>
      <c r="F39" s="21"/>
      <c r="G39" s="23"/>
      <c r="H39" s="23"/>
      <c r="I39" s="3" t="s">
        <v>155</v>
      </c>
      <c r="J39" s="9"/>
      <c r="K39" s="9"/>
      <c r="L39" s="10">
        <f t="shared" si="0"/>
        <v>0</v>
      </c>
      <c r="M39" s="10"/>
      <c r="N39" s="10"/>
      <c r="O39" s="10"/>
      <c r="P39" s="38">
        <f t="shared" si="1"/>
        <v>0</v>
      </c>
      <c r="Q39" s="11"/>
      <c r="R39" s="11"/>
      <c r="S39" s="12">
        <f t="shared" si="2"/>
        <v>0</v>
      </c>
      <c r="T39" s="28">
        <f t="shared" si="3"/>
        <v>0</v>
      </c>
      <c r="U39" s="9"/>
      <c r="V39" s="9"/>
      <c r="W39" s="9"/>
      <c r="X39" s="9"/>
      <c r="Y39" s="9"/>
      <c r="Z39" s="10">
        <f t="shared" si="4"/>
        <v>0</v>
      </c>
      <c r="AA39" s="30">
        <f t="shared" si="8"/>
        <v>0</v>
      </c>
      <c r="AB39" s="32">
        <f t="shared" si="6"/>
        <v>0</v>
      </c>
      <c r="AC39" s="63"/>
    </row>
    <row r="40" spans="1:29" ht="27.6" x14ac:dyDescent="0.3">
      <c r="A40" s="24" t="s">
        <v>84</v>
      </c>
      <c r="B40" s="24" t="s">
        <v>35</v>
      </c>
      <c r="C40" s="24" t="s">
        <v>843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8"/>
        <v>0</v>
      </c>
      <c r="AB40" s="32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8"/>
        <v>0</v>
      </c>
      <c r="AB41" s="32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>+U42+Y42</f>
        <v>0</v>
      </c>
      <c r="AA42" s="30">
        <f t="shared" si="8"/>
        <v>0</v>
      </c>
      <c r="AB42" s="32">
        <f>+(P42+AA42)/2</f>
        <v>0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8"/>
        <v>0</v>
      </c>
      <c r="AB43" s="32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ref="Z44:Z50" si="18">+U44+Y44</f>
        <v>0</v>
      </c>
      <c r="AA44" s="30">
        <f t="shared" si="8"/>
        <v>0</v>
      </c>
      <c r="AB44" s="32">
        <f t="shared" ref="AB44:AB50" si="19">+(P44+AA44)/2</f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18"/>
        <v>0</v>
      </c>
      <c r="AA45" s="30">
        <f t="shared" si="8"/>
        <v>0</v>
      </c>
      <c r="AB45" s="32">
        <f t="shared" si="19"/>
        <v>0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18"/>
        <v>0</v>
      </c>
      <c r="AA46" s="30">
        <f t="shared" si="8"/>
        <v>0</v>
      </c>
      <c r="AB46" s="32">
        <f t="shared" si="19"/>
        <v>0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18"/>
        <v>0</v>
      </c>
      <c r="AA47" s="30">
        <f t="shared" si="8"/>
        <v>0</v>
      </c>
      <c r="AB47" s="32">
        <f t="shared" si="19"/>
        <v>0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18"/>
        <v>0</v>
      </c>
      <c r="AA48" s="30">
        <f t="shared" si="8"/>
        <v>0</v>
      </c>
      <c r="AB48" s="32">
        <f t="shared" si="19"/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 t="shared" si="18"/>
        <v>0</v>
      </c>
      <c r="AA49" s="30">
        <f t="shared" si="8"/>
        <v>0</v>
      </c>
      <c r="AB49" s="32">
        <f t="shared" si="19"/>
        <v>0</v>
      </c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/>
      <c r="K50" s="9"/>
      <c r="L50" s="10">
        <f t="shared" si="0"/>
        <v>0</v>
      </c>
      <c r="M50" s="10"/>
      <c r="N50" s="10"/>
      <c r="O50" s="10"/>
      <c r="P50" s="38">
        <f t="shared" si="1"/>
        <v>0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 t="shared" si="18"/>
        <v>0</v>
      </c>
      <c r="AA50" s="30">
        <f t="shared" si="8"/>
        <v>0</v>
      </c>
      <c r="AB50" s="32">
        <f t="shared" si="19"/>
        <v>0</v>
      </c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8"/>
        <v>0</v>
      </c>
      <c r="AB51" s="32">
        <f t="shared" si="6"/>
        <v>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8"/>
        <v>0</v>
      </c>
      <c r="AB52" s="32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 t="shared" si="4"/>
        <v>0</v>
      </c>
      <c r="AA53" s="30">
        <f t="shared" si="8"/>
        <v>0</v>
      </c>
      <c r="AB53" s="32">
        <f t="shared" si="6"/>
        <v>0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843</v>
      </c>
      <c r="D54" s="23" t="s">
        <v>862</v>
      </c>
      <c r="E54" s="20"/>
      <c r="F54" s="21"/>
      <c r="G54" s="23"/>
      <c r="H54" s="23"/>
      <c r="I54" s="3" t="s">
        <v>190</v>
      </c>
      <c r="J54" s="9"/>
      <c r="K54" s="9"/>
      <c r="L54" s="10">
        <f t="shared" si="0"/>
        <v>0</v>
      </c>
      <c r="M54" s="10"/>
      <c r="N54" s="10"/>
      <c r="O54" s="10"/>
      <c r="P54" s="38">
        <f t="shared" si="1"/>
        <v>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ref="Z54:Z56" si="20">+U54+Y54</f>
        <v>0</v>
      </c>
      <c r="AA54" s="30">
        <f t="shared" si="8"/>
        <v>0</v>
      </c>
      <c r="AB54" s="32">
        <f t="shared" ref="AB54:AB55" si="21">+(P54+AA54)/2</f>
        <v>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/>
      <c r="K55" s="9"/>
      <c r="L55" s="10">
        <f t="shared" si="0"/>
        <v>0</v>
      </c>
      <c r="M55" s="10"/>
      <c r="N55" s="10"/>
      <c r="O55" s="10"/>
      <c r="P55" s="38">
        <f t="shared" si="1"/>
        <v>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si="20"/>
        <v>0</v>
      </c>
      <c r="AA55" s="30">
        <f t="shared" si="8"/>
        <v>0</v>
      </c>
      <c r="AB55" s="32">
        <f t="shared" si="21"/>
        <v>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20"/>
        <v>0</v>
      </c>
      <c r="AA56" s="30">
        <f t="shared" si="8"/>
        <v>0</v>
      </c>
      <c r="AB56" s="32">
        <f t="shared" ref="AB56" si="22">+(P56+AA56)/3</f>
        <v>0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8"/>
        <v>0</v>
      </c>
      <c r="AB57" s="32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2431</v>
      </c>
      <c r="K58" s="67">
        <f>SUM(K10:K55)</f>
        <v>2164</v>
      </c>
      <c r="L58" s="68">
        <f>+J58-K58</f>
        <v>267</v>
      </c>
      <c r="M58" s="43"/>
      <c r="N58" s="43"/>
      <c r="O58" s="43"/>
      <c r="P58" s="33">
        <f>(K58*100)/J58</f>
        <v>89.016865487453728</v>
      </c>
      <c r="Q58" s="122"/>
      <c r="R58" s="123"/>
      <c r="S58" s="124"/>
      <c r="T58" s="33">
        <f t="shared" ref="T58" si="23">AVERAGEIF(T10:T57,"&gt;0")</f>
        <v>150</v>
      </c>
      <c r="U58" s="69">
        <f>AVERAGEIF(U10:U55,"&gt;0")</f>
        <v>9.4285714285714288</v>
      </c>
      <c r="V58" s="69">
        <f t="shared" ref="V58:X58" si="24">AVERAGEIF(V10:V55,"&gt;0")</f>
        <v>10</v>
      </c>
      <c r="W58" s="69" t="e">
        <f t="shared" si="24"/>
        <v>#DIV/0!</v>
      </c>
      <c r="X58" s="69" t="e">
        <f t="shared" si="24"/>
        <v>#DIV/0!</v>
      </c>
      <c r="Y58" s="69">
        <f>AVERAGEIF(Y10:Y55,"&gt;0")</f>
        <v>10</v>
      </c>
      <c r="Z58" s="70">
        <f>+U58+Y58</f>
        <v>19.428571428571431</v>
      </c>
      <c r="AA58" s="33">
        <f>(Z58*100)/20</f>
        <v>97.142857142857153</v>
      </c>
      <c r="AB58" s="33">
        <f t="shared" ref="AB58" si="25">AVERAGEIF(AB10:AB57,"&gt;0")</f>
        <v>95.506979492833963</v>
      </c>
      <c r="AC58" s="65"/>
    </row>
  </sheetData>
  <autoFilter ref="A9:AC58" xr:uid="{A966E8DB-F82B-42F7-B85C-E8158329D3AB}"/>
  <mergeCells count="18">
    <mergeCell ref="U7:AA7"/>
    <mergeCell ref="AB7:AB8"/>
    <mergeCell ref="AC7:AC8"/>
    <mergeCell ref="Q58:S58"/>
    <mergeCell ref="A7:C7"/>
    <mergeCell ref="D7:D8"/>
    <mergeCell ref="E7:G7"/>
    <mergeCell ref="I7:I8"/>
    <mergeCell ref="J7:P7"/>
    <mergeCell ref="Q7:T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F10:G58 H58" xr:uid="{60D32A0E-8467-425E-B784-0F6F101ADCB5}">
      <formula1>INDIRECT(E10)</formula1>
    </dataValidation>
  </dataValidations>
  <pageMargins left="0.7" right="0.7" top="0.75" bottom="0.75" header="0.3" footer="0.3"/>
  <pageSetup scale="71" orientation="landscape" horizontalDpi="360" verticalDpi="360" r:id="rId1"/>
  <rowBreaks count="1" manualBreakCount="1">
    <brk id="36" max="16383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6D60E90E-6693-41EA-BD64-7B44C5A63887}">
          <x14:formula1>
            <xm:f>'Lista desplegable'!$A$2:$A$16</xm:f>
          </x14:formula1>
          <xm:sqref>E10:E58</xm:sqref>
        </x14:dataValidation>
        <x14:dataValidation type="list" allowBlank="1" showInputMessage="1" showErrorMessage="1" xr:uid="{FB4FFC53-148A-4F52-9560-E908E38714DD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534894EA-B1EC-4A22-951B-89770E54EECD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5D2BB5C7-6B28-4300-B909-564EFD493571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4EA1E172-445A-4E0E-B17E-0FB6FA56C645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A3C18CD8-2619-42E9-A7A1-CA3000F8C8AE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97FDD9E1-4F63-4265-B865-E895B9B8359E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3911760B-34B5-4512-889A-546A09D3E663}">
          <x14:formula1>
            <xm:f>'Lista desplegable'!$O$13:$O$37</xm:f>
          </x14:formula1>
          <xm:sqref>G4:G5 I4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C4E19-4C4F-4EBF-9CD4-2A2DC75B5818}">
  <dimension ref="A1:AC58"/>
  <sheetViews>
    <sheetView showGridLines="0" view="pageBreakPreview" topLeftCell="A3" zoomScale="124" zoomScaleNormal="100" zoomScaleSheetLayoutView="100" workbookViewId="0">
      <pane xSplit="9" ySplit="7" topLeftCell="J19" activePane="bottomRight" state="frozen"/>
      <selection pane="topRight" activeCell="J3" sqref="J3"/>
      <selection pane="bottomLeft" activeCell="A10" sqref="A10"/>
      <selection pane="bottomRight" activeCell="AC21" sqref="AC21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5.1093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49"/>
    </row>
    <row r="2" spans="1:29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874</v>
      </c>
      <c r="J4" s="142"/>
      <c r="K4" s="142"/>
      <c r="L4" s="39"/>
      <c r="M4" s="39"/>
      <c r="N4" s="39"/>
      <c r="O4" s="39"/>
      <c r="P4" s="134" t="s">
        <v>5</v>
      </c>
      <c r="Q4" s="134"/>
      <c r="R4" s="135" t="s">
        <v>284</v>
      </c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46"/>
    </row>
    <row r="5" spans="1:29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39"/>
      <c r="N5" s="39"/>
      <c r="O5" s="39"/>
      <c r="P5" s="134" t="s">
        <v>7</v>
      </c>
      <c r="Q5" s="134"/>
      <c r="R5" s="135" t="s">
        <v>8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46"/>
    </row>
    <row r="7" spans="1:29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29"/>
      <c r="O7" s="129"/>
      <c r="P7" s="129"/>
      <c r="Q7" s="130" t="s">
        <v>14</v>
      </c>
      <c r="R7" s="130"/>
      <c r="S7" s="130"/>
      <c r="T7" s="130"/>
      <c r="U7" s="114" t="s">
        <v>15</v>
      </c>
      <c r="V7" s="115"/>
      <c r="W7" s="115"/>
      <c r="X7" s="115"/>
      <c r="Y7" s="115"/>
      <c r="Z7" s="115"/>
      <c r="AA7" s="116"/>
      <c r="AB7" s="117" t="s">
        <v>16</v>
      </c>
      <c r="AC7" s="143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18"/>
      <c r="AC8" s="143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62"/>
    </row>
    <row r="10" spans="1:29" ht="21.6" customHeight="1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/>
      <c r="K10" s="9"/>
      <c r="L10" s="10">
        <f t="shared" ref="L10:L57" si="0">+J10-K10</f>
        <v>0</v>
      </c>
      <c r="M10" s="10"/>
      <c r="N10" s="10"/>
      <c r="O10" s="10"/>
      <c r="P10" s="38">
        <f t="shared" ref="P10:P57" si="1">IFERROR(IF(7&lt;&gt;0, K10*100/J10, IF(J10=K10, K10*100/J10, 0)), 0)</f>
        <v>0</v>
      </c>
      <c r="Q10" s="45"/>
      <c r="R10" s="11"/>
      <c r="S10" s="12">
        <f t="shared" ref="S10:S57" si="2">+Q10-R10</f>
        <v>0</v>
      </c>
      <c r="T10" s="28">
        <f t="shared" ref="T10:T57" si="3">IFERROR(IF(S10&lt;&gt;0, Q10*100/R10, IF(Q10=R10, Q10*100/R10, 0)), 0)</f>
        <v>0</v>
      </c>
      <c r="U10" s="9"/>
      <c r="V10" s="9"/>
      <c r="W10" s="9"/>
      <c r="X10" s="9"/>
      <c r="Y10" s="9"/>
      <c r="Z10" s="10">
        <f t="shared" ref="Z10:Z57" si="4">SUM(U10:Y10)</f>
        <v>0</v>
      </c>
      <c r="AA10" s="30">
        <f t="shared" ref="AA10" si="5">+Z10*100/20</f>
        <v>0</v>
      </c>
      <c r="AB10" s="32">
        <f t="shared" ref="AB10:AB57" si="6">+(T10+P10+AA10)/3</f>
        <v>0</v>
      </c>
      <c r="AC10" s="63"/>
    </row>
    <row r="11" spans="1:29" ht="27.6" x14ac:dyDescent="0.3">
      <c r="A11" s="24" t="s">
        <v>35</v>
      </c>
      <c r="B11" s="24" t="s">
        <v>36</v>
      </c>
      <c r="C11" s="24" t="s">
        <v>843</v>
      </c>
      <c r="D11" s="23" t="s">
        <v>862</v>
      </c>
      <c r="E11" s="20"/>
      <c r="F11" s="21"/>
      <c r="G11" s="22"/>
      <c r="H11" s="22"/>
      <c r="I11" s="3" t="s">
        <v>49</v>
      </c>
      <c r="J11" s="9">
        <v>60</v>
      </c>
      <c r="K11" s="9">
        <v>60</v>
      </c>
      <c r="L11" s="10">
        <f t="shared" si="0"/>
        <v>0</v>
      </c>
      <c r="M11" s="10"/>
      <c r="N11" s="10"/>
      <c r="O11" s="10"/>
      <c r="P11" s="38">
        <f t="shared" si="1"/>
        <v>100</v>
      </c>
      <c r="Q11" s="11"/>
      <c r="R11" s="11"/>
      <c r="S11" s="12">
        <f t="shared" si="2"/>
        <v>0</v>
      </c>
      <c r="T11" s="28">
        <f t="shared" si="3"/>
        <v>0</v>
      </c>
      <c r="U11" s="9">
        <v>10</v>
      </c>
      <c r="V11" s="9"/>
      <c r="W11" s="9"/>
      <c r="X11" s="9"/>
      <c r="Y11" s="9">
        <v>10</v>
      </c>
      <c r="Z11" s="10">
        <f>+U11+Y11</f>
        <v>20</v>
      </c>
      <c r="AA11" s="30">
        <f>+Z11*100/20</f>
        <v>100</v>
      </c>
      <c r="AB11" s="32">
        <f>+(P11+AA11)/2</f>
        <v>100</v>
      </c>
      <c r="AC11" s="64"/>
    </row>
    <row r="12" spans="1:29" ht="24" x14ac:dyDescent="0.3">
      <c r="A12" s="24" t="s">
        <v>35</v>
      </c>
      <c r="B12" s="24" t="s">
        <v>35</v>
      </c>
      <c r="C12" s="24" t="s">
        <v>843</v>
      </c>
      <c r="D12" s="23" t="s">
        <v>862</v>
      </c>
      <c r="E12" s="20"/>
      <c r="F12" s="21"/>
      <c r="G12" s="22"/>
      <c r="H12" s="22"/>
      <c r="I12" s="3" t="s">
        <v>1009</v>
      </c>
      <c r="J12" s="9">
        <v>14</v>
      </c>
      <c r="K12" s="9">
        <v>14</v>
      </c>
      <c r="L12" s="10">
        <f t="shared" si="0"/>
        <v>0</v>
      </c>
      <c r="M12" s="10"/>
      <c r="N12" s="10"/>
      <c r="O12" s="10"/>
      <c r="P12" s="38">
        <f t="shared" si="1"/>
        <v>100</v>
      </c>
      <c r="Q12" s="11"/>
      <c r="R12" s="11"/>
      <c r="S12" s="12">
        <f t="shared" si="2"/>
        <v>0</v>
      </c>
      <c r="T12" s="28">
        <f t="shared" si="3"/>
        <v>0</v>
      </c>
      <c r="U12" s="9">
        <v>10</v>
      </c>
      <c r="V12" s="9"/>
      <c r="W12" s="9"/>
      <c r="X12" s="9"/>
      <c r="Y12" s="9">
        <v>10</v>
      </c>
      <c r="Z12" s="10">
        <f t="shared" ref="Z12:Z13" si="7">+U12+Y12</f>
        <v>20</v>
      </c>
      <c r="AA12" s="30">
        <f t="shared" ref="AA12:AA57" si="8">+Z12*100/20</f>
        <v>100</v>
      </c>
      <c r="AB12" s="32">
        <f t="shared" ref="AB12:AB13" si="9">+(P12+AA12)/2</f>
        <v>100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f>87+55</f>
        <v>142</v>
      </c>
      <c r="K13" s="9">
        <v>147</v>
      </c>
      <c r="L13" s="10">
        <f t="shared" si="0"/>
        <v>-5</v>
      </c>
      <c r="M13" s="10"/>
      <c r="N13" s="10"/>
      <c r="O13" s="10"/>
      <c r="P13" s="38">
        <f t="shared" si="1"/>
        <v>103.52112676056338</v>
      </c>
      <c r="Q13" s="11"/>
      <c r="R13" s="11"/>
      <c r="S13" s="12">
        <f t="shared" si="2"/>
        <v>0</v>
      </c>
      <c r="T13" s="28">
        <f t="shared" si="3"/>
        <v>0</v>
      </c>
      <c r="U13" s="9">
        <v>10</v>
      </c>
      <c r="V13" s="9"/>
      <c r="W13" s="9"/>
      <c r="X13" s="9"/>
      <c r="Y13" s="9">
        <v>10</v>
      </c>
      <c r="Z13" s="10">
        <f t="shared" si="7"/>
        <v>20</v>
      </c>
      <c r="AA13" s="30">
        <f t="shared" si="8"/>
        <v>100</v>
      </c>
      <c r="AB13" s="32">
        <f t="shared" si="9"/>
        <v>101.7605633802817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/>
      <c r="K14" s="9"/>
      <c r="L14" s="10">
        <f t="shared" si="0"/>
        <v>0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/>
      <c r="V14" s="9"/>
      <c r="W14" s="9"/>
      <c r="X14" s="9"/>
      <c r="Y14" s="9"/>
      <c r="Z14" s="10">
        <f t="shared" si="4"/>
        <v>0</v>
      </c>
      <c r="AA14" s="30">
        <f t="shared" si="8"/>
        <v>0</v>
      </c>
      <c r="AB14" s="32">
        <f t="shared" si="6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843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8"/>
        <v>0</v>
      </c>
      <c r="AB15" s="32">
        <f t="shared" si="6"/>
        <v>0</v>
      </c>
      <c r="AC15" s="63" t="s">
        <v>1051</v>
      </c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8"/>
        <v>0</v>
      </c>
      <c r="AB16" s="32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/>
      <c r="K17" s="9"/>
      <c r="L17" s="10">
        <f t="shared" si="0"/>
        <v>0</v>
      </c>
      <c r="M17" s="10"/>
      <c r="N17" s="10"/>
      <c r="O17" s="10"/>
      <c r="P17" s="38">
        <f t="shared" si="1"/>
        <v>0</v>
      </c>
      <c r="Q17" s="11"/>
      <c r="R17" s="11"/>
      <c r="S17" s="12">
        <f t="shared" si="2"/>
        <v>0</v>
      </c>
      <c r="T17" s="28">
        <f t="shared" si="3"/>
        <v>0</v>
      </c>
      <c r="U17" s="9"/>
      <c r="V17" s="9"/>
      <c r="W17" s="9"/>
      <c r="X17" s="9"/>
      <c r="Y17" s="9"/>
      <c r="Z17" s="10">
        <f t="shared" si="4"/>
        <v>0</v>
      </c>
      <c r="AA17" s="30">
        <f t="shared" si="8"/>
        <v>0</v>
      </c>
      <c r="AB17" s="32">
        <f t="shared" si="6"/>
        <v>0</v>
      </c>
      <c r="AC17" s="63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8"/>
        <v>0</v>
      </c>
      <c r="AB18" s="32">
        <f t="shared" si="6"/>
        <v>0</v>
      </c>
      <c r="AC18" s="64"/>
    </row>
    <row r="19" spans="1:29" ht="41.4" x14ac:dyDescent="0.3">
      <c r="A19" s="24" t="s">
        <v>35</v>
      </c>
      <c r="B19" s="24"/>
      <c r="C19" s="24" t="s">
        <v>843</v>
      </c>
      <c r="D19" s="23" t="s">
        <v>862</v>
      </c>
      <c r="E19" s="20"/>
      <c r="F19" s="21"/>
      <c r="G19" s="23"/>
      <c r="H19" s="23"/>
      <c r="I19" s="3" t="s">
        <v>77</v>
      </c>
      <c r="J19" s="9">
        <v>14</v>
      </c>
      <c r="K19" s="9">
        <v>9</v>
      </c>
      <c r="L19" s="10">
        <v>0</v>
      </c>
      <c r="M19" s="10"/>
      <c r="N19" s="10"/>
      <c r="O19" s="10"/>
      <c r="P19" s="38">
        <f t="shared" si="1"/>
        <v>64.285714285714292</v>
      </c>
      <c r="Q19" s="11"/>
      <c r="R19" s="11"/>
      <c r="S19" s="12">
        <f t="shared" si="2"/>
        <v>0</v>
      </c>
      <c r="T19" s="28">
        <f t="shared" si="3"/>
        <v>0</v>
      </c>
      <c r="U19" s="9">
        <v>6</v>
      </c>
      <c r="V19" s="9"/>
      <c r="W19" s="9"/>
      <c r="X19" s="9"/>
      <c r="Y19" s="9">
        <v>10</v>
      </c>
      <c r="Z19" s="10">
        <f t="shared" ref="Z19:Z20" si="10">+U19+Y19</f>
        <v>16</v>
      </c>
      <c r="AA19" s="30">
        <f t="shared" si="8"/>
        <v>80</v>
      </c>
      <c r="AB19" s="32">
        <f t="shared" ref="AB19:AB20" si="11">+(P19+AA19)/2</f>
        <v>72.142857142857139</v>
      </c>
      <c r="AC19" s="63" t="s">
        <v>1052</v>
      </c>
    </row>
    <row r="20" spans="1:29" ht="27.6" x14ac:dyDescent="0.3">
      <c r="A20" s="24" t="s">
        <v>35</v>
      </c>
      <c r="B20" s="24"/>
      <c r="C20" s="24" t="s">
        <v>853</v>
      </c>
      <c r="D20" s="23" t="s">
        <v>862</v>
      </c>
      <c r="E20" s="20"/>
      <c r="F20" s="21"/>
      <c r="G20" s="23"/>
      <c r="H20" s="23"/>
      <c r="I20" s="3" t="s">
        <v>78</v>
      </c>
      <c r="J20" s="9">
        <v>1</v>
      </c>
      <c r="K20" s="9">
        <v>1</v>
      </c>
      <c r="L20" s="10">
        <f t="shared" si="0"/>
        <v>0</v>
      </c>
      <c r="M20" s="10"/>
      <c r="N20" s="10"/>
      <c r="O20" s="10"/>
      <c r="P20" s="38">
        <f t="shared" si="1"/>
        <v>100</v>
      </c>
      <c r="Q20" s="11"/>
      <c r="R20" s="11"/>
      <c r="S20" s="12">
        <f t="shared" si="2"/>
        <v>0</v>
      </c>
      <c r="T20" s="28">
        <f t="shared" si="3"/>
        <v>0</v>
      </c>
      <c r="U20" s="9">
        <v>10</v>
      </c>
      <c r="V20" s="9"/>
      <c r="W20" s="9"/>
      <c r="X20" s="9"/>
      <c r="Y20" s="9">
        <v>10</v>
      </c>
      <c r="Z20" s="10">
        <f t="shared" si="10"/>
        <v>20</v>
      </c>
      <c r="AA20" s="30">
        <f t="shared" si="8"/>
        <v>100</v>
      </c>
      <c r="AB20" s="32">
        <f t="shared" si="11"/>
        <v>100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8"/>
        <v>0</v>
      </c>
      <c r="AB21" s="32">
        <f t="shared" si="6"/>
        <v>0</v>
      </c>
      <c r="AC21" s="64"/>
    </row>
    <row r="22" spans="1:29" ht="27.6" x14ac:dyDescent="0.3">
      <c r="A22" s="24" t="s">
        <v>79</v>
      </c>
      <c r="B22" s="24" t="s">
        <v>35</v>
      </c>
      <c r="C22" s="24" t="s">
        <v>843</v>
      </c>
      <c r="D22" s="23" t="s">
        <v>862</v>
      </c>
      <c r="E22" s="20"/>
      <c r="F22" s="21"/>
      <c r="G22" s="23"/>
      <c r="H22" s="23"/>
      <c r="I22" s="3" t="s">
        <v>88</v>
      </c>
      <c r="J22" s="9">
        <v>1</v>
      </c>
      <c r="K22" s="9">
        <v>1</v>
      </c>
      <c r="L22" s="10">
        <f t="shared" si="0"/>
        <v>0</v>
      </c>
      <c r="M22" s="10"/>
      <c r="N22" s="10"/>
      <c r="O22" s="10"/>
      <c r="P22" s="38">
        <f t="shared" si="1"/>
        <v>100</v>
      </c>
      <c r="Q22" s="11"/>
      <c r="R22" s="11"/>
      <c r="S22" s="12">
        <f t="shared" si="2"/>
        <v>0</v>
      </c>
      <c r="T22" s="28">
        <f t="shared" si="3"/>
        <v>0</v>
      </c>
      <c r="U22" s="9">
        <v>10</v>
      </c>
      <c r="V22" s="9"/>
      <c r="W22" s="9"/>
      <c r="X22" s="9"/>
      <c r="Y22" s="9">
        <v>10</v>
      </c>
      <c r="Z22" s="10">
        <f>+U22+Y22</f>
        <v>20</v>
      </c>
      <c r="AA22" s="30">
        <f t="shared" si="8"/>
        <v>100</v>
      </c>
      <c r="AB22" s="32">
        <f>+(P22+AA22)/2</f>
        <v>100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8"/>
        <v>0</v>
      </c>
      <c r="AB23" s="32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>+U24+Y24</f>
        <v>20</v>
      </c>
      <c r="AA24" s="30">
        <f t="shared" si="8"/>
        <v>100</v>
      </c>
      <c r="AB24" s="32">
        <f>+(P24+AA24)/2</f>
        <v>100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8"/>
        <v>0</v>
      </c>
      <c r="AB25" s="32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843</v>
      </c>
      <c r="D26" s="23" t="s">
        <v>862</v>
      </c>
      <c r="E26" s="20"/>
      <c r="F26" s="21"/>
      <c r="G26" s="23"/>
      <c r="H26" s="23"/>
      <c r="I26" s="3" t="s">
        <v>108</v>
      </c>
      <c r="J26" s="9">
        <v>1122</v>
      </c>
      <c r="K26" s="9">
        <v>1016</v>
      </c>
      <c r="L26" s="10">
        <f t="shared" si="0"/>
        <v>106</v>
      </c>
      <c r="M26" s="10"/>
      <c r="N26" s="10"/>
      <c r="O26" s="10"/>
      <c r="P26" s="38">
        <f t="shared" si="1"/>
        <v>90.552584670231724</v>
      </c>
      <c r="Q26" s="11"/>
      <c r="R26" s="11"/>
      <c r="S26" s="12">
        <f t="shared" si="2"/>
        <v>0</v>
      </c>
      <c r="T26" s="28">
        <f t="shared" si="3"/>
        <v>0</v>
      </c>
      <c r="U26" s="9">
        <v>9</v>
      </c>
      <c r="V26" s="9"/>
      <c r="W26" s="9"/>
      <c r="X26" s="9"/>
      <c r="Y26" s="9">
        <v>10</v>
      </c>
      <c r="Z26" s="10">
        <f>+U26+Y26</f>
        <v>19</v>
      </c>
      <c r="AA26" s="30">
        <f t="shared" si="8"/>
        <v>95</v>
      </c>
      <c r="AB26" s="32">
        <f>+(P26+AA26)/2</f>
        <v>92.776292335115869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8"/>
        <v>0</v>
      </c>
      <c r="AB27" s="32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/>
      <c r="K28" s="9"/>
      <c r="L28" s="10">
        <f t="shared" si="0"/>
        <v>0</v>
      </c>
      <c r="M28" s="10"/>
      <c r="N28" s="10"/>
      <c r="O28" s="10"/>
      <c r="P28" s="38">
        <f t="shared" si="1"/>
        <v>0</v>
      </c>
      <c r="Q28" s="11"/>
      <c r="R28" s="11"/>
      <c r="S28" s="12">
        <f t="shared" si="2"/>
        <v>0</v>
      </c>
      <c r="T28" s="28">
        <f t="shared" si="3"/>
        <v>0</v>
      </c>
      <c r="U28" s="9"/>
      <c r="V28" s="9"/>
      <c r="W28" s="9"/>
      <c r="X28" s="9"/>
      <c r="Y28" s="9"/>
      <c r="Z28" s="10">
        <f t="shared" si="4"/>
        <v>0</v>
      </c>
      <c r="AA28" s="30">
        <f t="shared" si="8"/>
        <v>0</v>
      </c>
      <c r="AB28" s="32">
        <f t="shared" si="6"/>
        <v>0</v>
      </c>
      <c r="AC28" s="63"/>
    </row>
    <row r="29" spans="1:29" ht="27.6" x14ac:dyDescent="0.3">
      <c r="A29" s="24" t="s">
        <v>35</v>
      </c>
      <c r="B29" s="24" t="s">
        <v>64</v>
      </c>
      <c r="C29" s="24" t="s">
        <v>843</v>
      </c>
      <c r="D29" s="23" t="s">
        <v>862</v>
      </c>
      <c r="E29" s="20"/>
      <c r="F29" s="21"/>
      <c r="G29" s="23"/>
      <c r="H29" s="23"/>
      <c r="I29" s="3" t="s">
        <v>114</v>
      </c>
      <c r="J29" s="9">
        <f>1122+31+52</f>
        <v>1205</v>
      </c>
      <c r="K29" s="9">
        <v>1078</v>
      </c>
      <c r="L29" s="10">
        <f t="shared" si="0"/>
        <v>127</v>
      </c>
      <c r="M29" s="10"/>
      <c r="N29" s="10"/>
      <c r="O29" s="10"/>
      <c r="P29" s="38">
        <f t="shared" si="1"/>
        <v>89.460580912863065</v>
      </c>
      <c r="Q29" s="11"/>
      <c r="R29" s="11"/>
      <c r="S29" s="12">
        <f t="shared" si="2"/>
        <v>0</v>
      </c>
      <c r="T29" s="28">
        <f t="shared" si="3"/>
        <v>0</v>
      </c>
      <c r="U29" s="9">
        <v>9</v>
      </c>
      <c r="V29" s="9"/>
      <c r="W29" s="9"/>
      <c r="X29" s="9"/>
      <c r="Y29" s="9">
        <v>10</v>
      </c>
      <c r="Z29" s="10">
        <f t="shared" ref="Z29:Z30" si="12">+U29+Y29</f>
        <v>19</v>
      </c>
      <c r="AA29" s="30">
        <f t="shared" si="8"/>
        <v>95</v>
      </c>
      <c r="AB29" s="32">
        <f t="shared" ref="AB29:AB30" si="13">+(P29+AA29)/2</f>
        <v>92.230290456431533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 t="s">
        <v>862</v>
      </c>
      <c r="E30" s="20"/>
      <c r="F30" s="21"/>
      <c r="G30" s="23"/>
      <c r="H30" s="23"/>
      <c r="I30" s="3" t="s">
        <v>115</v>
      </c>
      <c r="J30" s="9">
        <v>1</v>
      </c>
      <c r="K30" s="9">
        <v>1</v>
      </c>
      <c r="L30" s="10">
        <f t="shared" si="0"/>
        <v>0</v>
      </c>
      <c r="M30" s="10"/>
      <c r="N30" s="10"/>
      <c r="O30" s="10"/>
      <c r="P30" s="38">
        <f t="shared" si="1"/>
        <v>100</v>
      </c>
      <c r="Q30" s="11"/>
      <c r="R30" s="11"/>
      <c r="S30" s="12">
        <f t="shared" si="2"/>
        <v>0</v>
      </c>
      <c r="T30" s="28">
        <f t="shared" si="3"/>
        <v>0</v>
      </c>
      <c r="U30" s="9">
        <v>10</v>
      </c>
      <c r="V30" s="9"/>
      <c r="W30" s="9"/>
      <c r="X30" s="9"/>
      <c r="Y30" s="9">
        <v>10</v>
      </c>
      <c r="Z30" s="10">
        <f t="shared" si="12"/>
        <v>20</v>
      </c>
      <c r="AA30" s="30">
        <f t="shared" si="8"/>
        <v>100</v>
      </c>
      <c r="AB30" s="32">
        <f t="shared" si="13"/>
        <v>100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8"/>
        <v>0</v>
      </c>
      <c r="AB31" s="32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/>
      <c r="K32" s="9"/>
      <c r="L32" s="10">
        <f t="shared" si="0"/>
        <v>0</v>
      </c>
      <c r="M32" s="10"/>
      <c r="N32" s="10"/>
      <c r="O32" s="10"/>
      <c r="P32" s="38">
        <f t="shared" si="1"/>
        <v>0</v>
      </c>
      <c r="Q32" s="11"/>
      <c r="R32" s="11"/>
      <c r="S32" s="12">
        <f t="shared" si="2"/>
        <v>0</v>
      </c>
      <c r="T32" s="28">
        <f t="shared" si="3"/>
        <v>0</v>
      </c>
      <c r="U32" s="9"/>
      <c r="V32" s="9"/>
      <c r="W32" s="9"/>
      <c r="X32" s="9"/>
      <c r="Y32" s="9"/>
      <c r="Z32" s="10">
        <f t="shared" si="4"/>
        <v>0</v>
      </c>
      <c r="AA32" s="30">
        <f t="shared" si="8"/>
        <v>0</v>
      </c>
      <c r="AB32" s="32">
        <f t="shared" si="6"/>
        <v>0</v>
      </c>
      <c r="AC32" s="63"/>
    </row>
    <row r="33" spans="1:29" ht="27.6" x14ac:dyDescent="0.3">
      <c r="A33" s="24" t="s">
        <v>36</v>
      </c>
      <c r="B33" s="24" t="s">
        <v>35</v>
      </c>
      <c r="C33" s="24" t="s">
        <v>843</v>
      </c>
      <c r="D33" s="23" t="s">
        <v>862</v>
      </c>
      <c r="E33" s="20"/>
      <c r="F33" s="21"/>
      <c r="G33" s="23"/>
      <c r="H33" s="23"/>
      <c r="I33" s="3" t="s">
        <v>127</v>
      </c>
      <c r="J33" s="9">
        <v>1</v>
      </c>
      <c r="K33" s="9">
        <v>1</v>
      </c>
      <c r="L33" s="10">
        <f t="shared" si="0"/>
        <v>0</v>
      </c>
      <c r="M33" s="10"/>
      <c r="N33" s="10"/>
      <c r="O33" s="10"/>
      <c r="P33" s="38">
        <f t="shared" si="1"/>
        <v>100</v>
      </c>
      <c r="Q33" s="11"/>
      <c r="R33" s="11"/>
      <c r="S33" s="12">
        <f t="shared" si="2"/>
        <v>0</v>
      </c>
      <c r="T33" s="28">
        <f t="shared" si="3"/>
        <v>0</v>
      </c>
      <c r="U33" s="9">
        <v>10</v>
      </c>
      <c r="V33" s="9"/>
      <c r="W33" s="9"/>
      <c r="X33" s="9"/>
      <c r="Y33" s="9">
        <v>10</v>
      </c>
      <c r="Z33" s="10">
        <f t="shared" ref="Z33:Z34" si="14">+U33+Y33</f>
        <v>20</v>
      </c>
      <c r="AA33" s="30">
        <f t="shared" si="8"/>
        <v>100</v>
      </c>
      <c r="AB33" s="32">
        <f t="shared" ref="AB33:AB34" si="15">+(P33+AA33)/2</f>
        <v>100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1</v>
      </c>
      <c r="K34" s="9">
        <v>1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si="14"/>
        <v>20</v>
      </c>
      <c r="AA34" s="30">
        <f t="shared" si="8"/>
        <v>100</v>
      </c>
      <c r="AB34" s="32">
        <f t="shared" si="15"/>
        <v>100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/>
      <c r="K35" s="9"/>
      <c r="L35" s="10">
        <f t="shared" si="0"/>
        <v>0</v>
      </c>
      <c r="M35" s="10"/>
      <c r="N35" s="10"/>
      <c r="O35" s="10"/>
      <c r="P35" s="38">
        <f t="shared" si="1"/>
        <v>0</v>
      </c>
      <c r="Q35" s="11"/>
      <c r="R35" s="11"/>
      <c r="S35" s="12">
        <f t="shared" si="2"/>
        <v>0</v>
      </c>
      <c r="T35" s="28">
        <f t="shared" si="3"/>
        <v>0</v>
      </c>
      <c r="U35" s="9"/>
      <c r="V35" s="9"/>
      <c r="W35" s="9"/>
      <c r="X35" s="9"/>
      <c r="Y35" s="9"/>
      <c r="Z35" s="10">
        <f t="shared" si="4"/>
        <v>0</v>
      </c>
      <c r="AA35" s="30">
        <f t="shared" si="8"/>
        <v>0</v>
      </c>
      <c r="AB35" s="32">
        <f t="shared" si="6"/>
        <v>0</v>
      </c>
      <c r="AC35" s="63"/>
    </row>
    <row r="36" spans="1:29" ht="41.4" x14ac:dyDescent="0.3">
      <c r="A36" s="24" t="s">
        <v>36</v>
      </c>
      <c r="B36" s="24" t="s">
        <v>35</v>
      </c>
      <c r="C36" s="24" t="s">
        <v>843</v>
      </c>
      <c r="D36" s="23" t="s">
        <v>862</v>
      </c>
      <c r="E36" s="20"/>
      <c r="F36" s="21"/>
      <c r="G36" s="23"/>
      <c r="H36" s="23"/>
      <c r="I36" s="3" t="s">
        <v>130</v>
      </c>
      <c r="J36" s="9">
        <v>1</v>
      </c>
      <c r="K36" s="9">
        <v>1</v>
      </c>
      <c r="L36" s="10">
        <f t="shared" si="0"/>
        <v>0</v>
      </c>
      <c r="M36" s="10"/>
      <c r="N36" s="10"/>
      <c r="O36" s="10"/>
      <c r="P36" s="38">
        <f t="shared" si="1"/>
        <v>100</v>
      </c>
      <c r="Q36" s="11"/>
      <c r="R36" s="11"/>
      <c r="S36" s="12">
        <f t="shared" si="2"/>
        <v>0</v>
      </c>
      <c r="T36" s="28">
        <f t="shared" si="3"/>
        <v>0</v>
      </c>
      <c r="U36" s="9">
        <v>10</v>
      </c>
      <c r="V36" s="9"/>
      <c r="W36" s="9"/>
      <c r="X36" s="9"/>
      <c r="Y36" s="9">
        <v>10</v>
      </c>
      <c r="Z36" s="10">
        <f t="shared" ref="Z36:Z37" si="16">+U36+Y36</f>
        <v>20</v>
      </c>
      <c r="AA36" s="30">
        <f t="shared" si="8"/>
        <v>100</v>
      </c>
      <c r="AB36" s="32">
        <f t="shared" ref="AB36:AB37" si="17">+(P36+AA36)/2</f>
        <v>100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1</v>
      </c>
      <c r="K37" s="9">
        <v>1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 t="shared" si="16"/>
        <v>20</v>
      </c>
      <c r="AA37" s="30">
        <f t="shared" si="8"/>
        <v>100</v>
      </c>
      <c r="AB37" s="32">
        <f t="shared" si="17"/>
        <v>100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8"/>
        <v>0</v>
      </c>
      <c r="AB38" s="32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 t="s">
        <v>862</v>
      </c>
      <c r="E39" s="20"/>
      <c r="F39" s="21"/>
      <c r="G39" s="23"/>
      <c r="H39" s="23"/>
      <c r="I39" s="3" t="s">
        <v>155</v>
      </c>
      <c r="J39" s="9"/>
      <c r="K39" s="9"/>
      <c r="L39" s="10">
        <f t="shared" si="0"/>
        <v>0</v>
      </c>
      <c r="M39" s="10"/>
      <c r="N39" s="10"/>
      <c r="O39" s="10"/>
      <c r="P39" s="38">
        <f t="shared" si="1"/>
        <v>0</v>
      </c>
      <c r="Q39" s="11"/>
      <c r="R39" s="11"/>
      <c r="S39" s="12">
        <f t="shared" si="2"/>
        <v>0</v>
      </c>
      <c r="T39" s="28">
        <f t="shared" si="3"/>
        <v>0</v>
      </c>
      <c r="U39" s="9"/>
      <c r="V39" s="9"/>
      <c r="W39" s="9"/>
      <c r="X39" s="9"/>
      <c r="Y39" s="9"/>
      <c r="Z39" s="10">
        <f t="shared" si="4"/>
        <v>0</v>
      </c>
      <c r="AA39" s="30">
        <f t="shared" si="8"/>
        <v>0</v>
      </c>
      <c r="AB39" s="32">
        <f t="shared" si="6"/>
        <v>0</v>
      </c>
      <c r="AC39" s="63"/>
    </row>
    <row r="40" spans="1:29" ht="27.6" x14ac:dyDescent="0.3">
      <c r="A40" s="24" t="s">
        <v>84</v>
      </c>
      <c r="B40" s="24" t="s">
        <v>35</v>
      </c>
      <c r="C40" s="24" t="s">
        <v>843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8"/>
        <v>0</v>
      </c>
      <c r="AB40" s="32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8"/>
        <v>0</v>
      </c>
      <c r="AB41" s="32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>+U42+Y42</f>
        <v>0</v>
      </c>
      <c r="AA42" s="30">
        <f t="shared" si="8"/>
        <v>0</v>
      </c>
      <c r="AB42" s="32">
        <f>+(P42+AA42)/2</f>
        <v>0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8"/>
        <v>0</v>
      </c>
      <c r="AB43" s="32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ref="Z44:Z50" si="18">+U44+Y44</f>
        <v>0</v>
      </c>
      <c r="AA44" s="30">
        <f t="shared" si="8"/>
        <v>0</v>
      </c>
      <c r="AB44" s="32">
        <f t="shared" ref="AB44:AB50" si="19">+(P44+AA44)/2</f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18"/>
        <v>0</v>
      </c>
      <c r="AA45" s="30">
        <f t="shared" si="8"/>
        <v>0</v>
      </c>
      <c r="AB45" s="32">
        <f t="shared" si="19"/>
        <v>0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18"/>
        <v>0</v>
      </c>
      <c r="AA46" s="30">
        <f t="shared" si="8"/>
        <v>0</v>
      </c>
      <c r="AB46" s="32">
        <f t="shared" si="19"/>
        <v>0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18"/>
        <v>0</v>
      </c>
      <c r="AA47" s="30">
        <f t="shared" si="8"/>
        <v>0</v>
      </c>
      <c r="AB47" s="32">
        <f t="shared" si="19"/>
        <v>0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18"/>
        <v>0</v>
      </c>
      <c r="AA48" s="30">
        <f t="shared" si="8"/>
        <v>0</v>
      </c>
      <c r="AB48" s="32">
        <f t="shared" si="19"/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 t="shared" si="18"/>
        <v>0</v>
      </c>
      <c r="AA49" s="30">
        <f t="shared" si="8"/>
        <v>0</v>
      </c>
      <c r="AB49" s="32">
        <f t="shared" si="19"/>
        <v>0</v>
      </c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/>
      <c r="K50" s="9"/>
      <c r="L50" s="10">
        <f t="shared" si="0"/>
        <v>0</v>
      </c>
      <c r="M50" s="10"/>
      <c r="N50" s="10"/>
      <c r="O50" s="10"/>
      <c r="P50" s="38">
        <f t="shared" si="1"/>
        <v>0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 t="shared" si="18"/>
        <v>0</v>
      </c>
      <c r="AA50" s="30">
        <f t="shared" si="8"/>
        <v>0</v>
      </c>
      <c r="AB50" s="32">
        <f t="shared" si="19"/>
        <v>0</v>
      </c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8"/>
        <v>0</v>
      </c>
      <c r="AB51" s="32">
        <f t="shared" si="6"/>
        <v>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8"/>
        <v>0</v>
      </c>
      <c r="AB52" s="32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 t="shared" si="4"/>
        <v>0</v>
      </c>
      <c r="AA53" s="30">
        <f t="shared" si="8"/>
        <v>0</v>
      </c>
      <c r="AB53" s="32">
        <f t="shared" si="6"/>
        <v>0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843</v>
      </c>
      <c r="D54" s="23" t="s">
        <v>862</v>
      </c>
      <c r="E54" s="20"/>
      <c r="F54" s="21"/>
      <c r="G54" s="23"/>
      <c r="H54" s="23"/>
      <c r="I54" s="3" t="s">
        <v>190</v>
      </c>
      <c r="J54" s="9"/>
      <c r="K54" s="9"/>
      <c r="L54" s="10">
        <f t="shared" si="0"/>
        <v>0</v>
      </c>
      <c r="M54" s="10"/>
      <c r="N54" s="10"/>
      <c r="O54" s="10"/>
      <c r="P54" s="38">
        <f t="shared" si="1"/>
        <v>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ref="Z54:Z56" si="20">+U54+Y54</f>
        <v>0</v>
      </c>
      <c r="AA54" s="30">
        <f t="shared" si="8"/>
        <v>0</v>
      </c>
      <c r="AB54" s="32">
        <f t="shared" ref="AB54:AB55" si="21">+(P54+AA54)/2</f>
        <v>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/>
      <c r="K55" s="9"/>
      <c r="L55" s="10">
        <f t="shared" si="0"/>
        <v>0</v>
      </c>
      <c r="M55" s="10"/>
      <c r="N55" s="10"/>
      <c r="O55" s="10"/>
      <c r="P55" s="38">
        <f t="shared" si="1"/>
        <v>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si="20"/>
        <v>0</v>
      </c>
      <c r="AA55" s="30">
        <f t="shared" si="8"/>
        <v>0</v>
      </c>
      <c r="AB55" s="32">
        <f t="shared" si="21"/>
        <v>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20"/>
        <v>0</v>
      </c>
      <c r="AA56" s="30">
        <f t="shared" si="8"/>
        <v>0</v>
      </c>
      <c r="AB56" s="32">
        <f t="shared" ref="AB56" si="22">+(P56+AA56)/3</f>
        <v>0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8"/>
        <v>0</v>
      </c>
      <c r="AB57" s="32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2565</v>
      </c>
      <c r="K58" s="67">
        <f>SUM(K10:K55)</f>
        <v>2332</v>
      </c>
      <c r="L58" s="68">
        <f>+J58-K58</f>
        <v>233</v>
      </c>
      <c r="M58" s="43"/>
      <c r="N58" s="43"/>
      <c r="O58" s="43"/>
      <c r="P58" s="33">
        <f>(K58*100)/J58</f>
        <v>90.916179337231966</v>
      </c>
      <c r="Q58" s="122"/>
      <c r="R58" s="123"/>
      <c r="S58" s="124"/>
      <c r="T58" s="33">
        <f t="shared" ref="T58" si="23">AVERAGEIF(T10:T57,"&gt;0")</f>
        <v>150</v>
      </c>
      <c r="U58" s="69">
        <f>AVERAGEIF(U10:U55,"&gt;0")</f>
        <v>9.5714285714285712</v>
      </c>
      <c r="V58" s="69" t="e">
        <f t="shared" ref="V58:X58" si="24">AVERAGEIF(V10:V55,"&gt;0")</f>
        <v>#DIV/0!</v>
      </c>
      <c r="W58" s="69" t="e">
        <f t="shared" si="24"/>
        <v>#DIV/0!</v>
      </c>
      <c r="X58" s="69" t="e">
        <f t="shared" si="24"/>
        <v>#DIV/0!</v>
      </c>
      <c r="Y58" s="69">
        <f>AVERAGEIF(Y10:Y55,"&gt;0")</f>
        <v>10</v>
      </c>
      <c r="Z58" s="70">
        <f>+U58+Y58</f>
        <v>19.571428571428569</v>
      </c>
      <c r="AA58" s="33">
        <f>(Z58*100)/20</f>
        <v>97.857142857142847</v>
      </c>
      <c r="AB58" s="33">
        <f t="shared" ref="AB58" si="25">AVERAGEIF(AB10:AB57,"&gt;0")</f>
        <v>97.065000236763311</v>
      </c>
      <c r="AC58" s="65"/>
    </row>
  </sheetData>
  <autoFilter ref="A9:AC58" xr:uid="{088C4E19-4C4F-4EBF-9CD4-2A2DC75B5818}"/>
  <mergeCells count="18">
    <mergeCell ref="U7:AA7"/>
    <mergeCell ref="AB7:AB8"/>
    <mergeCell ref="AC7:AC8"/>
    <mergeCell ref="Q58:S58"/>
    <mergeCell ref="A7:C7"/>
    <mergeCell ref="D7:D8"/>
    <mergeCell ref="E7:G7"/>
    <mergeCell ref="I7:I8"/>
    <mergeCell ref="J7:P7"/>
    <mergeCell ref="Q7:T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F10:G58 H58" xr:uid="{77396F42-2D00-4F36-9FF9-C9AB69FD2AE8}">
      <formula1>INDIRECT(E10)</formula1>
    </dataValidation>
  </dataValidations>
  <pageMargins left="0.7" right="0.7" top="0.75" bottom="0.75" header="0.3" footer="0.3"/>
  <pageSetup scale="71" orientation="landscape" horizontalDpi="360" verticalDpi="360" r:id="rId1"/>
  <rowBreaks count="1" manualBreakCount="1">
    <brk id="36" max="16383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FBC4550-CEC3-49BD-9DA6-BDF1587FBA0E}">
          <x14:formula1>
            <xm:f>'Lista desplegable'!$O$13:$O$37</xm:f>
          </x14:formula1>
          <xm:sqref>G4:G5 I4</xm:sqref>
        </x14:dataValidation>
        <x14:dataValidation type="list" allowBlank="1" showInputMessage="1" showErrorMessage="1" xr:uid="{62F0B547-B05C-42BB-8FF8-524425F9CE58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22890A13-751D-4004-9E0C-DA4C1436FA08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0EC15F6E-1FCC-4209-B3BF-A863396242EE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11BBF733-CF85-40A9-919C-15F6361C49C5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DEE71D1E-D427-4F0D-9FCD-183945021143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4DEE8CED-F33F-490B-803F-121E1954626C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7FD4DA78-6378-45C9-AC7B-B1C6BDE6B634}">
          <x14:formula1>
            <xm:f>'Lista desplegable'!$A$2:$A$16</xm:f>
          </x14:formula1>
          <xm:sqref>E10:E58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D8695-8B55-4323-9CDD-216572662FCC}">
  <dimension ref="A1:AC58"/>
  <sheetViews>
    <sheetView showGridLines="0" view="pageBreakPreview" topLeftCell="A3" zoomScale="124" zoomScaleNormal="100" zoomScaleSheetLayoutView="100" workbookViewId="0">
      <pane xSplit="9" ySplit="7" topLeftCell="J50" activePane="bottomRight" state="frozen"/>
      <selection pane="topRight" activeCell="J3" sqref="J3"/>
      <selection pane="bottomLeft" activeCell="A10" sqref="A10"/>
      <selection pane="bottomRight" activeCell="J58" sqref="J58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5.1093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49"/>
    </row>
    <row r="2" spans="1:29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283</v>
      </c>
      <c r="J4" s="142"/>
      <c r="K4" s="142"/>
      <c r="L4" s="39"/>
      <c r="M4" s="39"/>
      <c r="N4" s="39"/>
      <c r="O4" s="39"/>
      <c r="P4" s="134" t="s">
        <v>5</v>
      </c>
      <c r="Q4" s="134"/>
      <c r="R4" s="135" t="s">
        <v>284</v>
      </c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46"/>
    </row>
    <row r="5" spans="1:29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39"/>
      <c r="N5" s="39"/>
      <c r="O5" s="39"/>
      <c r="P5" s="134" t="s">
        <v>7</v>
      </c>
      <c r="Q5" s="134"/>
      <c r="R5" s="135" t="s">
        <v>8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46"/>
    </row>
    <row r="7" spans="1:29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29"/>
      <c r="O7" s="129"/>
      <c r="P7" s="129"/>
      <c r="Q7" s="130" t="s">
        <v>14</v>
      </c>
      <c r="R7" s="130"/>
      <c r="S7" s="130"/>
      <c r="T7" s="130"/>
      <c r="U7" s="114" t="s">
        <v>15</v>
      </c>
      <c r="V7" s="115"/>
      <c r="W7" s="115"/>
      <c r="X7" s="115"/>
      <c r="Y7" s="115"/>
      <c r="Z7" s="115"/>
      <c r="AA7" s="116"/>
      <c r="AB7" s="117" t="s">
        <v>16</v>
      </c>
      <c r="AC7" s="143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18"/>
      <c r="AC8" s="143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62"/>
    </row>
    <row r="10" spans="1:29" ht="31.65" customHeight="1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/>
      <c r="K10" s="9"/>
      <c r="L10" s="10">
        <f t="shared" ref="L10:L57" si="0">+J10-K10</f>
        <v>0</v>
      </c>
      <c r="M10" s="10"/>
      <c r="N10" s="10"/>
      <c r="O10" s="10"/>
      <c r="P10" s="38">
        <f t="shared" ref="P10:P57" si="1">IFERROR(IF(7&lt;&gt;0, K10*100/J10, IF(J10=K10, K10*100/J10, 0)), 0)</f>
        <v>0</v>
      </c>
      <c r="Q10" s="45"/>
      <c r="R10" s="11"/>
      <c r="S10" s="12">
        <f t="shared" ref="S10:S57" si="2">+Q10-R10</f>
        <v>0</v>
      </c>
      <c r="T10" s="28">
        <f t="shared" ref="T10:T57" si="3">IFERROR(IF(S10&lt;&gt;0, Q10*100/R10, IF(Q10=R10, Q10*100/R10, 0)), 0)</f>
        <v>0</v>
      </c>
      <c r="U10" s="9"/>
      <c r="V10" s="9"/>
      <c r="W10" s="9"/>
      <c r="X10" s="9"/>
      <c r="Y10" s="9"/>
      <c r="Z10" s="10">
        <f t="shared" ref="Z10:Z57" si="4">SUM(U10:Y10)</f>
        <v>0</v>
      </c>
      <c r="AA10" s="30">
        <f t="shared" ref="AA10" si="5">+Z10*100/20</f>
        <v>0</v>
      </c>
      <c r="AB10" s="32">
        <f t="shared" ref="AB10:AB57" si="6">+(T10+P10+AA10)/3</f>
        <v>0</v>
      </c>
      <c r="AC10" s="63"/>
    </row>
    <row r="11" spans="1:29" ht="27.6" x14ac:dyDescent="0.3">
      <c r="A11" s="24" t="s">
        <v>35</v>
      </c>
      <c r="B11" s="24" t="s">
        <v>36</v>
      </c>
      <c r="C11" s="24" t="s">
        <v>843</v>
      </c>
      <c r="D11" s="23" t="s">
        <v>862</v>
      </c>
      <c r="E11" s="20"/>
      <c r="F11" s="21"/>
      <c r="G11" s="22"/>
      <c r="H11" s="22"/>
      <c r="I11" s="3" t="s">
        <v>49</v>
      </c>
      <c r="J11" s="9">
        <v>50</v>
      </c>
      <c r="K11" s="9">
        <v>50</v>
      </c>
      <c r="L11" s="10">
        <f t="shared" si="0"/>
        <v>0</v>
      </c>
      <c r="M11" s="10"/>
      <c r="N11" s="10"/>
      <c r="O11" s="10"/>
      <c r="P11" s="38">
        <f t="shared" si="1"/>
        <v>100</v>
      </c>
      <c r="Q11" s="11"/>
      <c r="R11" s="11"/>
      <c r="S11" s="12">
        <f t="shared" si="2"/>
        <v>0</v>
      </c>
      <c r="T11" s="28">
        <f t="shared" si="3"/>
        <v>0</v>
      </c>
      <c r="U11" s="9">
        <v>10</v>
      </c>
      <c r="V11" s="9"/>
      <c r="W11" s="9"/>
      <c r="X11" s="9"/>
      <c r="Y11" s="9">
        <v>10</v>
      </c>
      <c r="Z11" s="10">
        <f>+U11+Y11</f>
        <v>20</v>
      </c>
      <c r="AA11" s="30">
        <f>+Z11*100/20</f>
        <v>100</v>
      </c>
      <c r="AB11" s="32">
        <f>+(P11+AA11)/2</f>
        <v>100</v>
      </c>
      <c r="AC11" s="64"/>
    </row>
    <row r="12" spans="1:29" ht="24" x14ac:dyDescent="0.3">
      <c r="A12" s="24" t="s">
        <v>35</v>
      </c>
      <c r="B12" s="24" t="s">
        <v>35</v>
      </c>
      <c r="C12" s="24" t="s">
        <v>843</v>
      </c>
      <c r="D12" s="23" t="s">
        <v>862</v>
      </c>
      <c r="E12" s="20"/>
      <c r="F12" s="21"/>
      <c r="G12" s="22"/>
      <c r="H12" s="22"/>
      <c r="I12" s="3" t="s">
        <v>1009</v>
      </c>
      <c r="J12" s="9">
        <v>16</v>
      </c>
      <c r="K12" s="9">
        <v>16</v>
      </c>
      <c r="L12" s="10">
        <f t="shared" si="0"/>
        <v>0</v>
      </c>
      <c r="M12" s="10"/>
      <c r="N12" s="10"/>
      <c r="O12" s="10"/>
      <c r="P12" s="38">
        <f t="shared" si="1"/>
        <v>100</v>
      </c>
      <c r="Q12" s="11"/>
      <c r="R12" s="11"/>
      <c r="S12" s="12">
        <f t="shared" si="2"/>
        <v>0</v>
      </c>
      <c r="T12" s="28">
        <f t="shared" si="3"/>
        <v>0</v>
      </c>
      <c r="U12" s="9">
        <v>10</v>
      </c>
      <c r="V12" s="9"/>
      <c r="W12" s="9"/>
      <c r="X12" s="9"/>
      <c r="Y12" s="9">
        <v>10</v>
      </c>
      <c r="Z12" s="10">
        <f t="shared" ref="Z12:Z13" si="7">+U12+Y12</f>
        <v>20</v>
      </c>
      <c r="AA12" s="30">
        <f t="shared" ref="AA12:AA57" si="8">+Z12*100/20</f>
        <v>100</v>
      </c>
      <c r="AB12" s="32">
        <f t="shared" ref="AB12:AB13" si="9">+(P12+AA12)/2</f>
        <v>100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v>39</v>
      </c>
      <c r="K13" s="9">
        <v>40</v>
      </c>
      <c r="L13" s="10">
        <f t="shared" si="0"/>
        <v>-1</v>
      </c>
      <c r="M13" s="10"/>
      <c r="N13" s="10"/>
      <c r="O13" s="10"/>
      <c r="P13" s="38">
        <f t="shared" si="1"/>
        <v>102.56410256410257</v>
      </c>
      <c r="Q13" s="11"/>
      <c r="R13" s="11"/>
      <c r="S13" s="12">
        <f t="shared" si="2"/>
        <v>0</v>
      </c>
      <c r="T13" s="28">
        <f t="shared" si="3"/>
        <v>0</v>
      </c>
      <c r="U13" s="9">
        <v>10</v>
      </c>
      <c r="V13" s="9"/>
      <c r="W13" s="9"/>
      <c r="X13" s="9"/>
      <c r="Y13" s="9">
        <v>10</v>
      </c>
      <c r="Z13" s="10">
        <f t="shared" si="7"/>
        <v>20</v>
      </c>
      <c r="AA13" s="30">
        <f t="shared" si="8"/>
        <v>100</v>
      </c>
      <c r="AB13" s="32">
        <f t="shared" si="9"/>
        <v>101.28205128205128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/>
      <c r="K14" s="9"/>
      <c r="L14" s="10">
        <f t="shared" si="0"/>
        <v>0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/>
      <c r="V14" s="9"/>
      <c r="W14" s="9"/>
      <c r="X14" s="9"/>
      <c r="Y14" s="9"/>
      <c r="Z14" s="10">
        <f t="shared" si="4"/>
        <v>0</v>
      </c>
      <c r="AA14" s="30">
        <f t="shared" si="8"/>
        <v>0</v>
      </c>
      <c r="AB14" s="32">
        <f t="shared" si="6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843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8"/>
        <v>0</v>
      </c>
      <c r="AB15" s="32">
        <f t="shared" si="6"/>
        <v>0</v>
      </c>
      <c r="AC15" s="63" t="s">
        <v>1051</v>
      </c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8"/>
        <v>0</v>
      </c>
      <c r="AB16" s="32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/>
      <c r="K17" s="9"/>
      <c r="L17" s="10">
        <f t="shared" si="0"/>
        <v>0</v>
      </c>
      <c r="M17" s="10"/>
      <c r="N17" s="10"/>
      <c r="O17" s="10"/>
      <c r="P17" s="38">
        <f t="shared" si="1"/>
        <v>0</v>
      </c>
      <c r="Q17" s="11"/>
      <c r="R17" s="11"/>
      <c r="S17" s="12">
        <f t="shared" si="2"/>
        <v>0</v>
      </c>
      <c r="T17" s="28">
        <f t="shared" si="3"/>
        <v>0</v>
      </c>
      <c r="U17" s="9"/>
      <c r="V17" s="9"/>
      <c r="W17" s="9"/>
      <c r="X17" s="9"/>
      <c r="Y17" s="9"/>
      <c r="Z17" s="10">
        <f t="shared" si="4"/>
        <v>0</v>
      </c>
      <c r="AA17" s="30">
        <f t="shared" si="8"/>
        <v>0</v>
      </c>
      <c r="AB17" s="32">
        <f t="shared" si="6"/>
        <v>0</v>
      </c>
      <c r="AC17" s="63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8"/>
        <v>0</v>
      </c>
      <c r="AB18" s="32">
        <f t="shared" si="6"/>
        <v>0</v>
      </c>
      <c r="AC18" s="64"/>
    </row>
    <row r="19" spans="1:29" ht="41.4" x14ac:dyDescent="0.3">
      <c r="A19" s="24" t="s">
        <v>35</v>
      </c>
      <c r="B19" s="24"/>
      <c r="C19" s="24" t="s">
        <v>843</v>
      </c>
      <c r="D19" s="23" t="s">
        <v>862</v>
      </c>
      <c r="E19" s="20"/>
      <c r="F19" s="21"/>
      <c r="G19" s="23"/>
      <c r="H19" s="23"/>
      <c r="I19" s="3" t="s">
        <v>77</v>
      </c>
      <c r="J19" s="9">
        <v>16</v>
      </c>
      <c r="K19" s="9">
        <v>6</v>
      </c>
      <c r="L19" s="10">
        <v>0</v>
      </c>
      <c r="M19" s="10"/>
      <c r="N19" s="10"/>
      <c r="O19" s="10"/>
      <c r="P19" s="38">
        <f t="shared" si="1"/>
        <v>37.5</v>
      </c>
      <c r="Q19" s="11"/>
      <c r="R19" s="11"/>
      <c r="S19" s="12">
        <f t="shared" si="2"/>
        <v>0</v>
      </c>
      <c r="T19" s="28">
        <f t="shared" si="3"/>
        <v>0</v>
      </c>
      <c r="U19" s="9">
        <v>4</v>
      </c>
      <c r="V19" s="9"/>
      <c r="W19" s="9"/>
      <c r="X19" s="9"/>
      <c r="Y19" s="9">
        <v>10</v>
      </c>
      <c r="Z19" s="10">
        <f t="shared" ref="Z19:Z20" si="10">+U19+Y19</f>
        <v>14</v>
      </c>
      <c r="AA19" s="30">
        <f t="shared" si="8"/>
        <v>70</v>
      </c>
      <c r="AB19" s="32">
        <f t="shared" ref="AB19:AB20" si="11">+(P19+AA19)/2</f>
        <v>53.75</v>
      </c>
      <c r="AC19" s="63" t="s">
        <v>1052</v>
      </c>
    </row>
    <row r="20" spans="1:29" ht="27.6" x14ac:dyDescent="0.3">
      <c r="A20" s="24" t="s">
        <v>35</v>
      </c>
      <c r="B20" s="24"/>
      <c r="C20" s="24" t="s">
        <v>853</v>
      </c>
      <c r="D20" s="23" t="s">
        <v>862</v>
      </c>
      <c r="E20" s="20"/>
      <c r="F20" s="21"/>
      <c r="G20" s="23"/>
      <c r="H20" s="23"/>
      <c r="I20" s="3" t="s">
        <v>78</v>
      </c>
      <c r="J20" s="9">
        <v>1</v>
      </c>
      <c r="K20" s="9">
        <v>1</v>
      </c>
      <c r="L20" s="10">
        <f t="shared" si="0"/>
        <v>0</v>
      </c>
      <c r="M20" s="10"/>
      <c r="N20" s="10"/>
      <c r="O20" s="10"/>
      <c r="P20" s="38">
        <f t="shared" si="1"/>
        <v>100</v>
      </c>
      <c r="Q20" s="11"/>
      <c r="R20" s="11"/>
      <c r="S20" s="12">
        <f t="shared" si="2"/>
        <v>0</v>
      </c>
      <c r="T20" s="28">
        <f t="shared" si="3"/>
        <v>0</v>
      </c>
      <c r="U20" s="9">
        <v>10</v>
      </c>
      <c r="V20" s="9"/>
      <c r="W20" s="9"/>
      <c r="X20" s="9"/>
      <c r="Y20" s="9">
        <v>10</v>
      </c>
      <c r="Z20" s="10">
        <f t="shared" si="10"/>
        <v>20</v>
      </c>
      <c r="AA20" s="30">
        <f t="shared" si="8"/>
        <v>100</v>
      </c>
      <c r="AB20" s="32">
        <f t="shared" si="11"/>
        <v>100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8"/>
        <v>0</v>
      </c>
      <c r="AB21" s="32">
        <f t="shared" si="6"/>
        <v>0</v>
      </c>
      <c r="AC21" s="64"/>
    </row>
    <row r="22" spans="1:29" ht="27.6" x14ac:dyDescent="0.3">
      <c r="A22" s="24" t="s">
        <v>79</v>
      </c>
      <c r="B22" s="24" t="s">
        <v>35</v>
      </c>
      <c r="C22" s="24" t="s">
        <v>843</v>
      </c>
      <c r="D22" s="23" t="s">
        <v>862</v>
      </c>
      <c r="E22" s="20"/>
      <c r="F22" s="21"/>
      <c r="G22" s="23"/>
      <c r="H22" s="23"/>
      <c r="I22" s="3" t="s">
        <v>88</v>
      </c>
      <c r="J22" s="9">
        <v>1</v>
      </c>
      <c r="K22" s="9">
        <v>1</v>
      </c>
      <c r="L22" s="10">
        <f t="shared" si="0"/>
        <v>0</v>
      </c>
      <c r="M22" s="10"/>
      <c r="N22" s="10"/>
      <c r="O22" s="10"/>
      <c r="P22" s="38">
        <f t="shared" si="1"/>
        <v>100</v>
      </c>
      <c r="Q22" s="11"/>
      <c r="R22" s="11"/>
      <c r="S22" s="12">
        <f t="shared" si="2"/>
        <v>0</v>
      </c>
      <c r="T22" s="28">
        <f t="shared" si="3"/>
        <v>0</v>
      </c>
      <c r="U22" s="9">
        <v>10</v>
      </c>
      <c r="V22" s="9"/>
      <c r="W22" s="9"/>
      <c r="X22" s="9"/>
      <c r="Y22" s="9">
        <v>10</v>
      </c>
      <c r="Z22" s="10">
        <f>+U22+Y22</f>
        <v>20</v>
      </c>
      <c r="AA22" s="30">
        <f t="shared" si="8"/>
        <v>100</v>
      </c>
      <c r="AB22" s="32">
        <f>+(P22+AA22)/2</f>
        <v>100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8"/>
        <v>0</v>
      </c>
      <c r="AB23" s="32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>+U24+Y24</f>
        <v>20</v>
      </c>
      <c r="AA24" s="30">
        <f t="shared" si="8"/>
        <v>100</v>
      </c>
      <c r="AB24" s="32">
        <f>+(P24+AA24)/2</f>
        <v>100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8"/>
        <v>0</v>
      </c>
      <c r="AB25" s="32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843</v>
      </c>
      <c r="D26" s="23" t="s">
        <v>862</v>
      </c>
      <c r="E26" s="20"/>
      <c r="F26" s="21"/>
      <c r="G26" s="23"/>
      <c r="H26" s="23"/>
      <c r="I26" s="3" t="s">
        <v>108</v>
      </c>
      <c r="J26" s="9">
        <v>932</v>
      </c>
      <c r="K26" s="9">
        <v>901</v>
      </c>
      <c r="L26" s="10">
        <f t="shared" si="0"/>
        <v>31</v>
      </c>
      <c r="M26" s="10"/>
      <c r="N26" s="10"/>
      <c r="O26" s="10"/>
      <c r="P26" s="38">
        <f t="shared" si="1"/>
        <v>96.673819742489272</v>
      </c>
      <c r="Q26" s="11"/>
      <c r="R26" s="11"/>
      <c r="S26" s="12">
        <f t="shared" si="2"/>
        <v>0</v>
      </c>
      <c r="T26" s="28">
        <f t="shared" si="3"/>
        <v>0</v>
      </c>
      <c r="U26" s="9">
        <v>10</v>
      </c>
      <c r="V26" s="9"/>
      <c r="W26" s="9"/>
      <c r="X26" s="9"/>
      <c r="Y26" s="9">
        <v>10</v>
      </c>
      <c r="Z26" s="10">
        <f>+U26+Y26</f>
        <v>20</v>
      </c>
      <c r="AA26" s="30">
        <f t="shared" si="8"/>
        <v>100</v>
      </c>
      <c r="AB26" s="32">
        <f>+(P26+AA26)/2</f>
        <v>98.336909871244643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8"/>
        <v>0</v>
      </c>
      <c r="AB27" s="32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/>
      <c r="K28" s="9"/>
      <c r="L28" s="10">
        <f t="shared" si="0"/>
        <v>0</v>
      </c>
      <c r="M28" s="10"/>
      <c r="N28" s="10"/>
      <c r="O28" s="10"/>
      <c r="P28" s="38">
        <f t="shared" si="1"/>
        <v>0</v>
      </c>
      <c r="Q28" s="11"/>
      <c r="R28" s="11"/>
      <c r="S28" s="12">
        <f t="shared" si="2"/>
        <v>0</v>
      </c>
      <c r="T28" s="28">
        <f t="shared" si="3"/>
        <v>0</v>
      </c>
      <c r="U28" s="9"/>
      <c r="V28" s="9"/>
      <c r="W28" s="9"/>
      <c r="X28" s="9"/>
      <c r="Y28" s="9"/>
      <c r="Z28" s="10">
        <f t="shared" si="4"/>
        <v>0</v>
      </c>
      <c r="AA28" s="30">
        <f t="shared" si="8"/>
        <v>0</v>
      </c>
      <c r="AB28" s="32">
        <f t="shared" si="6"/>
        <v>0</v>
      </c>
      <c r="AC28" s="63"/>
    </row>
    <row r="29" spans="1:29" ht="27.6" x14ac:dyDescent="0.3">
      <c r="A29" s="24" t="s">
        <v>35</v>
      </c>
      <c r="B29" s="24" t="s">
        <v>64</v>
      </c>
      <c r="C29" s="24" t="s">
        <v>843</v>
      </c>
      <c r="D29" s="23" t="s">
        <v>862</v>
      </c>
      <c r="E29" s="20"/>
      <c r="F29" s="21"/>
      <c r="G29" s="23"/>
      <c r="H29" s="23"/>
      <c r="I29" s="3" t="s">
        <v>114</v>
      </c>
      <c r="J29" s="9">
        <f>932+59+47</f>
        <v>1038</v>
      </c>
      <c r="K29" s="9">
        <v>904</v>
      </c>
      <c r="L29" s="10">
        <f t="shared" si="0"/>
        <v>134</v>
      </c>
      <c r="M29" s="10"/>
      <c r="N29" s="10"/>
      <c r="O29" s="10"/>
      <c r="P29" s="38">
        <f t="shared" si="1"/>
        <v>87.090558766859345</v>
      </c>
      <c r="Q29" s="11"/>
      <c r="R29" s="11"/>
      <c r="S29" s="12">
        <f t="shared" si="2"/>
        <v>0</v>
      </c>
      <c r="T29" s="28">
        <f t="shared" si="3"/>
        <v>0</v>
      </c>
      <c r="U29" s="9">
        <v>9</v>
      </c>
      <c r="V29" s="9"/>
      <c r="W29" s="9"/>
      <c r="X29" s="9"/>
      <c r="Y29" s="9">
        <v>10</v>
      </c>
      <c r="Z29" s="10">
        <f t="shared" ref="Z29:Z30" si="12">+U29+Y29</f>
        <v>19</v>
      </c>
      <c r="AA29" s="30">
        <f t="shared" si="8"/>
        <v>95</v>
      </c>
      <c r="AB29" s="32">
        <f t="shared" ref="AB29:AB30" si="13">+(P29+AA29)/2</f>
        <v>91.045279383429673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 t="s">
        <v>862</v>
      </c>
      <c r="E30" s="20"/>
      <c r="F30" s="21"/>
      <c r="G30" s="23"/>
      <c r="H30" s="23"/>
      <c r="I30" s="3" t="s">
        <v>115</v>
      </c>
      <c r="J30" s="9">
        <v>1</v>
      </c>
      <c r="K30" s="9">
        <v>1</v>
      </c>
      <c r="L30" s="10">
        <f t="shared" si="0"/>
        <v>0</v>
      </c>
      <c r="M30" s="10"/>
      <c r="N30" s="10"/>
      <c r="O30" s="10"/>
      <c r="P30" s="38">
        <f t="shared" si="1"/>
        <v>100</v>
      </c>
      <c r="Q30" s="11"/>
      <c r="R30" s="11"/>
      <c r="S30" s="12">
        <f t="shared" si="2"/>
        <v>0</v>
      </c>
      <c r="T30" s="28">
        <f t="shared" si="3"/>
        <v>0</v>
      </c>
      <c r="U30" s="9">
        <v>10</v>
      </c>
      <c r="V30" s="9"/>
      <c r="W30" s="9"/>
      <c r="X30" s="9"/>
      <c r="Y30" s="9">
        <v>10</v>
      </c>
      <c r="Z30" s="10">
        <f t="shared" si="12"/>
        <v>20</v>
      </c>
      <c r="AA30" s="30">
        <f t="shared" si="8"/>
        <v>100</v>
      </c>
      <c r="AB30" s="32">
        <f t="shared" si="13"/>
        <v>100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8"/>
        <v>0</v>
      </c>
      <c r="AB31" s="32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/>
      <c r="K32" s="9"/>
      <c r="L32" s="10">
        <f t="shared" si="0"/>
        <v>0</v>
      </c>
      <c r="M32" s="10"/>
      <c r="N32" s="10"/>
      <c r="O32" s="10"/>
      <c r="P32" s="38">
        <f t="shared" si="1"/>
        <v>0</v>
      </c>
      <c r="Q32" s="11"/>
      <c r="R32" s="11"/>
      <c r="S32" s="12">
        <f t="shared" si="2"/>
        <v>0</v>
      </c>
      <c r="T32" s="28">
        <f t="shared" si="3"/>
        <v>0</v>
      </c>
      <c r="U32" s="9"/>
      <c r="V32" s="9"/>
      <c r="W32" s="9"/>
      <c r="X32" s="9"/>
      <c r="Y32" s="9"/>
      <c r="Z32" s="10">
        <f t="shared" si="4"/>
        <v>0</v>
      </c>
      <c r="AA32" s="30">
        <f t="shared" si="8"/>
        <v>0</v>
      </c>
      <c r="AB32" s="32">
        <f t="shared" si="6"/>
        <v>0</v>
      </c>
      <c r="AC32" s="63"/>
    </row>
    <row r="33" spans="1:29" ht="27.6" x14ac:dyDescent="0.3">
      <c r="A33" s="24" t="s">
        <v>36</v>
      </c>
      <c r="B33" s="24" t="s">
        <v>35</v>
      </c>
      <c r="C33" s="24" t="s">
        <v>843</v>
      </c>
      <c r="D33" s="23" t="s">
        <v>862</v>
      </c>
      <c r="E33" s="20"/>
      <c r="F33" s="21"/>
      <c r="G33" s="23"/>
      <c r="H33" s="23"/>
      <c r="I33" s="3" t="s">
        <v>127</v>
      </c>
      <c r="J33" s="9">
        <v>1</v>
      </c>
      <c r="K33" s="9">
        <v>1</v>
      </c>
      <c r="L33" s="10">
        <f t="shared" si="0"/>
        <v>0</v>
      </c>
      <c r="M33" s="10"/>
      <c r="N33" s="10"/>
      <c r="O33" s="10"/>
      <c r="P33" s="38">
        <f t="shared" si="1"/>
        <v>100</v>
      </c>
      <c r="Q33" s="11"/>
      <c r="R33" s="11"/>
      <c r="S33" s="12">
        <f t="shared" si="2"/>
        <v>0</v>
      </c>
      <c r="T33" s="28">
        <f t="shared" si="3"/>
        <v>0</v>
      </c>
      <c r="U33" s="9">
        <v>10</v>
      </c>
      <c r="V33" s="9"/>
      <c r="W33" s="9"/>
      <c r="X33" s="9"/>
      <c r="Y33" s="9">
        <v>10</v>
      </c>
      <c r="Z33" s="10">
        <f t="shared" ref="Z33:Z34" si="14">+U33+Y33</f>
        <v>20</v>
      </c>
      <c r="AA33" s="30">
        <f t="shared" si="8"/>
        <v>100</v>
      </c>
      <c r="AB33" s="32">
        <f t="shared" ref="AB33:AB34" si="15">+(P33+AA33)/2</f>
        <v>100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1</v>
      </c>
      <c r="K34" s="9">
        <v>1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si="14"/>
        <v>20</v>
      </c>
      <c r="AA34" s="30">
        <f t="shared" si="8"/>
        <v>100</v>
      </c>
      <c r="AB34" s="32">
        <f t="shared" si="15"/>
        <v>100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/>
      <c r="K35" s="9"/>
      <c r="L35" s="10">
        <f t="shared" si="0"/>
        <v>0</v>
      </c>
      <c r="M35" s="10"/>
      <c r="N35" s="10"/>
      <c r="O35" s="10"/>
      <c r="P35" s="38">
        <f t="shared" si="1"/>
        <v>0</v>
      </c>
      <c r="Q35" s="11"/>
      <c r="R35" s="11"/>
      <c r="S35" s="12">
        <f t="shared" si="2"/>
        <v>0</v>
      </c>
      <c r="T35" s="28">
        <f t="shared" si="3"/>
        <v>0</v>
      </c>
      <c r="U35" s="9"/>
      <c r="V35" s="9"/>
      <c r="W35" s="9"/>
      <c r="X35" s="9"/>
      <c r="Y35" s="9"/>
      <c r="Z35" s="10">
        <f t="shared" si="4"/>
        <v>0</v>
      </c>
      <c r="AA35" s="30">
        <f t="shared" si="8"/>
        <v>0</v>
      </c>
      <c r="AB35" s="32">
        <f t="shared" si="6"/>
        <v>0</v>
      </c>
      <c r="AC35" s="63"/>
    </row>
    <row r="36" spans="1:29" ht="41.4" x14ac:dyDescent="0.3">
      <c r="A36" s="24" t="s">
        <v>36</v>
      </c>
      <c r="B36" s="24" t="s">
        <v>35</v>
      </c>
      <c r="C36" s="24" t="s">
        <v>843</v>
      </c>
      <c r="D36" s="23" t="s">
        <v>862</v>
      </c>
      <c r="E36" s="20"/>
      <c r="F36" s="21"/>
      <c r="G36" s="23"/>
      <c r="H36" s="23"/>
      <c r="I36" s="3" t="s">
        <v>130</v>
      </c>
      <c r="J36" s="9">
        <v>1</v>
      </c>
      <c r="K36" s="9">
        <v>1</v>
      </c>
      <c r="L36" s="10">
        <f t="shared" si="0"/>
        <v>0</v>
      </c>
      <c r="M36" s="10"/>
      <c r="N36" s="10"/>
      <c r="O36" s="10"/>
      <c r="P36" s="38">
        <f t="shared" si="1"/>
        <v>100</v>
      </c>
      <c r="Q36" s="11"/>
      <c r="R36" s="11"/>
      <c r="S36" s="12">
        <f t="shared" si="2"/>
        <v>0</v>
      </c>
      <c r="T36" s="28">
        <f t="shared" si="3"/>
        <v>0</v>
      </c>
      <c r="U36" s="9">
        <v>10</v>
      </c>
      <c r="V36" s="9"/>
      <c r="W36" s="9"/>
      <c r="X36" s="9"/>
      <c r="Y36" s="9">
        <v>10</v>
      </c>
      <c r="Z36" s="10">
        <f t="shared" ref="Z36:Z37" si="16">+U36+Y36</f>
        <v>20</v>
      </c>
      <c r="AA36" s="30">
        <f t="shared" si="8"/>
        <v>100</v>
      </c>
      <c r="AB36" s="32">
        <f t="shared" ref="AB36:AB37" si="17">+(P36+AA36)/2</f>
        <v>100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1</v>
      </c>
      <c r="K37" s="9">
        <v>1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 t="shared" si="16"/>
        <v>20</v>
      </c>
      <c r="AA37" s="30">
        <f t="shared" si="8"/>
        <v>100</v>
      </c>
      <c r="AB37" s="32">
        <f t="shared" si="17"/>
        <v>100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8"/>
        <v>0</v>
      </c>
      <c r="AB38" s="32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 t="s">
        <v>862</v>
      </c>
      <c r="E39" s="20"/>
      <c r="F39" s="21"/>
      <c r="G39" s="23"/>
      <c r="H39" s="23"/>
      <c r="I39" s="3" t="s">
        <v>155</v>
      </c>
      <c r="J39" s="9"/>
      <c r="K39" s="9"/>
      <c r="L39" s="10">
        <f t="shared" si="0"/>
        <v>0</v>
      </c>
      <c r="M39" s="10"/>
      <c r="N39" s="10"/>
      <c r="O39" s="10"/>
      <c r="P39" s="38">
        <f t="shared" si="1"/>
        <v>0</v>
      </c>
      <c r="Q39" s="11"/>
      <c r="R39" s="11"/>
      <c r="S39" s="12">
        <f t="shared" si="2"/>
        <v>0</v>
      </c>
      <c r="T39" s="28">
        <f t="shared" si="3"/>
        <v>0</v>
      </c>
      <c r="U39" s="9"/>
      <c r="V39" s="9"/>
      <c r="W39" s="9"/>
      <c r="X39" s="9"/>
      <c r="Y39" s="9"/>
      <c r="Z39" s="10">
        <f t="shared" si="4"/>
        <v>0</v>
      </c>
      <c r="AA39" s="30">
        <f t="shared" si="8"/>
        <v>0</v>
      </c>
      <c r="AB39" s="32">
        <f t="shared" si="6"/>
        <v>0</v>
      </c>
      <c r="AC39" s="63"/>
    </row>
    <row r="40" spans="1:29" ht="27.6" x14ac:dyDescent="0.3">
      <c r="A40" s="24" t="s">
        <v>84</v>
      </c>
      <c r="B40" s="24" t="s">
        <v>35</v>
      </c>
      <c r="C40" s="24" t="s">
        <v>843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8"/>
        <v>0</v>
      </c>
      <c r="AB40" s="32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8"/>
        <v>0</v>
      </c>
      <c r="AB41" s="32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>+U42+Y42</f>
        <v>0</v>
      </c>
      <c r="AA42" s="30">
        <f t="shared" si="8"/>
        <v>0</v>
      </c>
      <c r="AB42" s="32">
        <f>+(P42+AA42)/2</f>
        <v>0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8"/>
        <v>0</v>
      </c>
      <c r="AB43" s="32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ref="Z44:Z50" si="18">+U44+Y44</f>
        <v>0</v>
      </c>
      <c r="AA44" s="30">
        <f t="shared" si="8"/>
        <v>0</v>
      </c>
      <c r="AB44" s="32">
        <f t="shared" ref="AB44:AB50" si="19">+(P44+AA44)/2</f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18"/>
        <v>0</v>
      </c>
      <c r="AA45" s="30">
        <f t="shared" si="8"/>
        <v>0</v>
      </c>
      <c r="AB45" s="32">
        <f t="shared" si="19"/>
        <v>0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18"/>
        <v>0</v>
      </c>
      <c r="AA46" s="30">
        <f t="shared" si="8"/>
        <v>0</v>
      </c>
      <c r="AB46" s="32">
        <f t="shared" si="19"/>
        <v>0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18"/>
        <v>0</v>
      </c>
      <c r="AA47" s="30">
        <f t="shared" si="8"/>
        <v>0</v>
      </c>
      <c r="AB47" s="32">
        <f t="shared" si="19"/>
        <v>0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18"/>
        <v>0</v>
      </c>
      <c r="AA48" s="30">
        <f t="shared" si="8"/>
        <v>0</v>
      </c>
      <c r="AB48" s="32">
        <f t="shared" si="19"/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 t="shared" si="18"/>
        <v>0</v>
      </c>
      <c r="AA49" s="30">
        <f t="shared" si="8"/>
        <v>0</v>
      </c>
      <c r="AB49" s="32">
        <f t="shared" si="19"/>
        <v>0</v>
      </c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/>
      <c r="K50" s="9"/>
      <c r="L50" s="10">
        <f t="shared" si="0"/>
        <v>0</v>
      </c>
      <c r="M50" s="10"/>
      <c r="N50" s="10"/>
      <c r="O50" s="10"/>
      <c r="P50" s="38">
        <f t="shared" si="1"/>
        <v>0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 t="shared" si="18"/>
        <v>0</v>
      </c>
      <c r="AA50" s="30">
        <f t="shared" si="8"/>
        <v>0</v>
      </c>
      <c r="AB50" s="32">
        <f t="shared" si="19"/>
        <v>0</v>
      </c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8"/>
        <v>0</v>
      </c>
      <c r="AB51" s="32">
        <f t="shared" si="6"/>
        <v>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8"/>
        <v>0</v>
      </c>
      <c r="AB52" s="32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 t="shared" si="4"/>
        <v>0</v>
      </c>
      <c r="AA53" s="30">
        <f t="shared" si="8"/>
        <v>0</v>
      </c>
      <c r="AB53" s="32">
        <f t="shared" si="6"/>
        <v>0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843</v>
      </c>
      <c r="D54" s="23" t="s">
        <v>862</v>
      </c>
      <c r="E54" s="20"/>
      <c r="F54" s="21"/>
      <c r="G54" s="23"/>
      <c r="H54" s="23"/>
      <c r="I54" s="3" t="s">
        <v>190</v>
      </c>
      <c r="J54" s="9"/>
      <c r="K54" s="9"/>
      <c r="L54" s="10">
        <f t="shared" si="0"/>
        <v>0</v>
      </c>
      <c r="M54" s="10"/>
      <c r="N54" s="10"/>
      <c r="O54" s="10"/>
      <c r="P54" s="38">
        <f t="shared" si="1"/>
        <v>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ref="Z54:Z56" si="20">+U54+Y54</f>
        <v>0</v>
      </c>
      <c r="AA54" s="30">
        <f t="shared" si="8"/>
        <v>0</v>
      </c>
      <c r="AB54" s="32">
        <f t="shared" ref="AB54:AB55" si="21">+(P54+AA54)/2</f>
        <v>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/>
      <c r="K55" s="9"/>
      <c r="L55" s="10">
        <f t="shared" si="0"/>
        <v>0</v>
      </c>
      <c r="M55" s="10"/>
      <c r="N55" s="10"/>
      <c r="O55" s="10"/>
      <c r="P55" s="38">
        <f t="shared" si="1"/>
        <v>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si="20"/>
        <v>0</v>
      </c>
      <c r="AA55" s="30">
        <f t="shared" si="8"/>
        <v>0</v>
      </c>
      <c r="AB55" s="32">
        <f t="shared" si="21"/>
        <v>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20"/>
        <v>0</v>
      </c>
      <c r="AA56" s="30">
        <f t="shared" si="8"/>
        <v>0</v>
      </c>
      <c r="AB56" s="32">
        <f t="shared" ref="AB56" si="22">+(P56+AA56)/3</f>
        <v>0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8"/>
        <v>0</v>
      </c>
      <c r="AB57" s="32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2099</v>
      </c>
      <c r="K58" s="67">
        <f>SUM(K10:K55)</f>
        <v>1925</v>
      </c>
      <c r="L58" s="68">
        <f>+J58-K58</f>
        <v>174</v>
      </c>
      <c r="M58" s="43"/>
      <c r="N58" s="43"/>
      <c r="O58" s="43"/>
      <c r="P58" s="33">
        <f>(K58*100)/J58</f>
        <v>91.710338256312525</v>
      </c>
      <c r="Q58" s="122"/>
      <c r="R58" s="123"/>
      <c r="S58" s="124"/>
      <c r="T58" s="33">
        <f t="shared" ref="T58" si="23">AVERAGEIF(T10:T57,"&gt;0")</f>
        <v>150</v>
      </c>
      <c r="U58" s="69">
        <f>AVERAGEIF(U10:U55,"&gt;0")</f>
        <v>9.5</v>
      </c>
      <c r="V58" s="69" t="e">
        <f t="shared" ref="V58:X58" si="24">AVERAGEIF(V10:V55,"&gt;0")</f>
        <v>#DIV/0!</v>
      </c>
      <c r="W58" s="69" t="e">
        <f t="shared" si="24"/>
        <v>#DIV/0!</v>
      </c>
      <c r="X58" s="69" t="e">
        <f t="shared" si="24"/>
        <v>#DIV/0!</v>
      </c>
      <c r="Y58" s="69">
        <f>AVERAGEIF(Y10:Y55,"&gt;0")</f>
        <v>10</v>
      </c>
      <c r="Z58" s="70">
        <f>+U58+Y58</f>
        <v>19.5</v>
      </c>
      <c r="AA58" s="33">
        <f>(Z58*100)/20</f>
        <v>97.5</v>
      </c>
      <c r="AB58" s="33">
        <f t="shared" ref="AB58" si="25">AVERAGEIF(AB10:AB57,"&gt;0")</f>
        <v>96.029588609766122</v>
      </c>
      <c r="AC58" s="65"/>
    </row>
  </sheetData>
  <autoFilter ref="A9:AC58" xr:uid="{039D8695-8B55-4323-9CDD-216572662FCC}"/>
  <mergeCells count="18">
    <mergeCell ref="U7:AA7"/>
    <mergeCell ref="AB7:AB8"/>
    <mergeCell ref="AC7:AC8"/>
    <mergeCell ref="Q58:S58"/>
    <mergeCell ref="A7:C7"/>
    <mergeCell ref="D7:D8"/>
    <mergeCell ref="E7:G7"/>
    <mergeCell ref="I7:I8"/>
    <mergeCell ref="J7:P7"/>
    <mergeCell ref="Q7:T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F10:G58 H58" xr:uid="{F767ED68-F3BA-4EE9-B958-4A2EDDAF7DAD}">
      <formula1>INDIRECT(E10)</formula1>
    </dataValidation>
  </dataValidations>
  <pageMargins left="0.7" right="0.7" top="0.75" bottom="0.75" header="0.3" footer="0.3"/>
  <pageSetup scale="71" orientation="landscape" horizontalDpi="360" verticalDpi="360" r:id="rId1"/>
  <rowBreaks count="1" manualBreakCount="1">
    <brk id="36" max="16383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809E91DC-C454-47F6-AD9F-47AEB2B4107D}">
          <x14:formula1>
            <xm:f>'Lista desplegable'!$A$2:$A$16</xm:f>
          </x14:formula1>
          <xm:sqref>E10:E58</xm:sqref>
        </x14:dataValidation>
        <x14:dataValidation type="list" allowBlank="1" showInputMessage="1" showErrorMessage="1" xr:uid="{FA2C2A9B-E2E0-47C6-A06D-D6B9376EB584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74E6D372-5D0F-4451-8C88-0738E2C0A729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5ACE3117-8077-4B65-BCDA-76EEBE568E99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BC457291-5569-46E5-888A-0D1B1224EBA3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C848B2F6-A5F8-4A63-AAF8-7CAB09036058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67E85A8D-E131-413C-8CBD-5B4F733B51E3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48F953E0-ADCE-4DBC-B851-1DA9B031AB04}">
          <x14:formula1>
            <xm:f>'Lista desplegable'!$O$13:$O$37</xm:f>
          </x14:formula1>
          <xm:sqref>G4:G5 I4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67D5C-81DA-48F6-B8EE-838BCCF9B7BA}">
  <dimension ref="A1:AC58"/>
  <sheetViews>
    <sheetView showGridLines="0" view="pageBreakPreview" topLeftCell="A3" zoomScale="124" zoomScaleNormal="100" zoomScaleSheetLayoutView="100" workbookViewId="0">
      <pane xSplit="9" ySplit="7" topLeftCell="J55" activePane="bottomRight" state="frozen"/>
      <selection pane="topRight" activeCell="J3" sqref="J3"/>
      <selection pane="bottomLeft" activeCell="A10" sqref="A10"/>
      <selection pane="bottomRight" activeCell="C56" sqref="C56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5.1093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49"/>
    </row>
    <row r="2" spans="1:29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283</v>
      </c>
      <c r="J4" s="142"/>
      <c r="K4" s="142"/>
      <c r="L4" s="39"/>
      <c r="M4" s="39"/>
      <c r="N4" s="39"/>
      <c r="O4" s="39"/>
      <c r="P4" s="134" t="s">
        <v>5</v>
      </c>
      <c r="Q4" s="134"/>
      <c r="R4" s="135" t="s">
        <v>284</v>
      </c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46"/>
    </row>
    <row r="5" spans="1:29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39"/>
      <c r="N5" s="39"/>
      <c r="O5" s="39"/>
      <c r="P5" s="134" t="s">
        <v>7</v>
      </c>
      <c r="Q5" s="134"/>
      <c r="R5" s="135" t="s">
        <v>8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46"/>
    </row>
    <row r="7" spans="1:29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29"/>
      <c r="O7" s="129"/>
      <c r="P7" s="129"/>
      <c r="Q7" s="130" t="s">
        <v>14</v>
      </c>
      <c r="R7" s="130"/>
      <c r="S7" s="130"/>
      <c r="T7" s="130"/>
      <c r="U7" s="114" t="s">
        <v>15</v>
      </c>
      <c r="V7" s="115"/>
      <c r="W7" s="115"/>
      <c r="X7" s="115"/>
      <c r="Y7" s="115"/>
      <c r="Z7" s="115"/>
      <c r="AA7" s="116"/>
      <c r="AB7" s="117" t="s">
        <v>16</v>
      </c>
      <c r="AC7" s="143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18"/>
      <c r="AC8" s="143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62"/>
    </row>
    <row r="10" spans="1:29" ht="21.6" customHeight="1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/>
      <c r="K10" s="9"/>
      <c r="L10" s="10">
        <f t="shared" ref="L10:L57" si="0">+J10-K10</f>
        <v>0</v>
      </c>
      <c r="M10" s="10"/>
      <c r="N10" s="10"/>
      <c r="O10" s="10"/>
      <c r="P10" s="38">
        <f t="shared" ref="P10:P57" si="1">IFERROR(IF(7&lt;&gt;0, K10*100/J10, IF(J10=K10, K10*100/J10, 0)), 0)</f>
        <v>0</v>
      </c>
      <c r="Q10" s="45"/>
      <c r="R10" s="11"/>
      <c r="S10" s="12">
        <f t="shared" ref="S10:S57" si="2">+Q10-R10</f>
        <v>0</v>
      </c>
      <c r="T10" s="28">
        <f t="shared" ref="T10:T57" si="3">IFERROR(IF(S10&lt;&gt;0, Q10*100/R10, IF(Q10=R10, Q10*100/R10, 0)), 0)</f>
        <v>0</v>
      </c>
      <c r="U10" s="9"/>
      <c r="V10" s="9"/>
      <c r="W10" s="9"/>
      <c r="X10" s="9"/>
      <c r="Y10" s="9"/>
      <c r="Z10" s="10">
        <f t="shared" ref="Z10:Z57" si="4">SUM(U10:Y10)</f>
        <v>0</v>
      </c>
      <c r="AA10" s="30">
        <f t="shared" ref="AA10" si="5">+Z10*100/20</f>
        <v>0</v>
      </c>
      <c r="AB10" s="32">
        <f t="shared" ref="AB10:AB57" si="6">+(T10+P10+AA10)/3</f>
        <v>0</v>
      </c>
      <c r="AC10" s="63"/>
    </row>
    <row r="11" spans="1:29" ht="27.6" x14ac:dyDescent="0.3">
      <c r="A11" s="24" t="s">
        <v>35</v>
      </c>
      <c r="B11" s="24" t="s">
        <v>36</v>
      </c>
      <c r="C11" s="24" t="s">
        <v>843</v>
      </c>
      <c r="D11" s="23" t="s">
        <v>862</v>
      </c>
      <c r="E11" s="20"/>
      <c r="F11" s="21"/>
      <c r="G11" s="22"/>
      <c r="H11" s="22"/>
      <c r="I11" s="3" t="s">
        <v>49</v>
      </c>
      <c r="J11" s="9">
        <v>65</v>
      </c>
      <c r="K11" s="9">
        <v>65</v>
      </c>
      <c r="L11" s="10">
        <f t="shared" si="0"/>
        <v>0</v>
      </c>
      <c r="M11" s="10"/>
      <c r="N11" s="10"/>
      <c r="O11" s="10"/>
      <c r="P11" s="38">
        <f t="shared" si="1"/>
        <v>100</v>
      </c>
      <c r="Q11" s="11"/>
      <c r="R11" s="11"/>
      <c r="S11" s="12">
        <f t="shared" si="2"/>
        <v>0</v>
      </c>
      <c r="T11" s="28">
        <f t="shared" si="3"/>
        <v>0</v>
      </c>
      <c r="U11" s="9">
        <v>10</v>
      </c>
      <c r="V11" s="9"/>
      <c r="W11" s="9"/>
      <c r="X11" s="9"/>
      <c r="Y11" s="9">
        <v>10</v>
      </c>
      <c r="Z11" s="10">
        <f>+U11+Y11</f>
        <v>20</v>
      </c>
      <c r="AA11" s="30">
        <f>+Z11*100/20</f>
        <v>100</v>
      </c>
      <c r="AB11" s="32">
        <f>+(P11+AA11)/2</f>
        <v>100</v>
      </c>
      <c r="AC11" s="64"/>
    </row>
    <row r="12" spans="1:29" ht="24" x14ac:dyDescent="0.3">
      <c r="A12" s="24" t="s">
        <v>35</v>
      </c>
      <c r="B12" s="24" t="s">
        <v>35</v>
      </c>
      <c r="C12" s="24" t="s">
        <v>843</v>
      </c>
      <c r="D12" s="23" t="s">
        <v>862</v>
      </c>
      <c r="E12" s="20"/>
      <c r="F12" s="21"/>
      <c r="G12" s="22"/>
      <c r="H12" s="22"/>
      <c r="I12" s="3" t="s">
        <v>1009</v>
      </c>
      <c r="J12" s="9">
        <v>15</v>
      </c>
      <c r="K12" s="9">
        <v>15</v>
      </c>
      <c r="L12" s="10">
        <f t="shared" si="0"/>
        <v>0</v>
      </c>
      <c r="M12" s="10"/>
      <c r="N12" s="10"/>
      <c r="O12" s="10"/>
      <c r="P12" s="38">
        <f t="shared" si="1"/>
        <v>100</v>
      </c>
      <c r="Q12" s="11"/>
      <c r="R12" s="11"/>
      <c r="S12" s="12">
        <f t="shared" si="2"/>
        <v>0</v>
      </c>
      <c r="T12" s="28">
        <f t="shared" si="3"/>
        <v>0</v>
      </c>
      <c r="U12" s="9">
        <v>10</v>
      </c>
      <c r="V12" s="9"/>
      <c r="W12" s="9"/>
      <c r="X12" s="9"/>
      <c r="Y12" s="9">
        <v>10</v>
      </c>
      <c r="Z12" s="10">
        <f t="shared" ref="Z12:Z13" si="7">+U12+Y12</f>
        <v>20</v>
      </c>
      <c r="AA12" s="30">
        <f t="shared" ref="AA12:AA57" si="8">+Z12*100/20</f>
        <v>100</v>
      </c>
      <c r="AB12" s="32">
        <f t="shared" ref="AB12:AB13" si="9">+(P12+AA12)/2</f>
        <v>100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v>126</v>
      </c>
      <c r="K13" s="9">
        <v>95</v>
      </c>
      <c r="L13" s="10">
        <f t="shared" si="0"/>
        <v>31</v>
      </c>
      <c r="M13" s="10"/>
      <c r="N13" s="10"/>
      <c r="O13" s="10"/>
      <c r="P13" s="38">
        <f t="shared" si="1"/>
        <v>75.396825396825392</v>
      </c>
      <c r="Q13" s="11"/>
      <c r="R13" s="11"/>
      <c r="S13" s="12">
        <f t="shared" si="2"/>
        <v>0</v>
      </c>
      <c r="T13" s="28">
        <f t="shared" si="3"/>
        <v>0</v>
      </c>
      <c r="U13" s="9">
        <v>10</v>
      </c>
      <c r="V13" s="9"/>
      <c r="W13" s="9"/>
      <c r="X13" s="9"/>
      <c r="Y13" s="9">
        <v>10</v>
      </c>
      <c r="Z13" s="10">
        <f t="shared" si="7"/>
        <v>20</v>
      </c>
      <c r="AA13" s="30">
        <f t="shared" si="8"/>
        <v>100</v>
      </c>
      <c r="AB13" s="32">
        <f t="shared" si="9"/>
        <v>87.698412698412696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/>
      <c r="K14" s="9"/>
      <c r="L14" s="10">
        <f t="shared" si="0"/>
        <v>0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/>
      <c r="V14" s="9"/>
      <c r="W14" s="9"/>
      <c r="X14" s="9"/>
      <c r="Y14" s="9"/>
      <c r="Z14" s="10">
        <f t="shared" si="4"/>
        <v>0</v>
      </c>
      <c r="AA14" s="30">
        <f t="shared" si="8"/>
        <v>0</v>
      </c>
      <c r="AB14" s="32">
        <f t="shared" si="6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843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8"/>
        <v>0</v>
      </c>
      <c r="AB15" s="32">
        <f t="shared" si="6"/>
        <v>0</v>
      </c>
      <c r="AC15" s="63" t="s">
        <v>1051</v>
      </c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8"/>
        <v>0</v>
      </c>
      <c r="AB16" s="32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/>
      <c r="K17" s="9"/>
      <c r="L17" s="10">
        <f t="shared" si="0"/>
        <v>0</v>
      </c>
      <c r="M17" s="10"/>
      <c r="N17" s="10"/>
      <c r="O17" s="10"/>
      <c r="P17" s="38">
        <f t="shared" si="1"/>
        <v>0</v>
      </c>
      <c r="Q17" s="11"/>
      <c r="R17" s="11"/>
      <c r="S17" s="12">
        <f t="shared" si="2"/>
        <v>0</v>
      </c>
      <c r="T17" s="28">
        <f t="shared" si="3"/>
        <v>0</v>
      </c>
      <c r="U17" s="9"/>
      <c r="V17" s="9"/>
      <c r="W17" s="9"/>
      <c r="X17" s="9"/>
      <c r="Y17" s="9"/>
      <c r="Z17" s="10">
        <f t="shared" si="4"/>
        <v>0</v>
      </c>
      <c r="AA17" s="30">
        <f t="shared" si="8"/>
        <v>0</v>
      </c>
      <c r="AB17" s="32">
        <f t="shared" si="6"/>
        <v>0</v>
      </c>
      <c r="AC17" s="63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8"/>
        <v>0</v>
      </c>
      <c r="AB18" s="32">
        <f t="shared" si="6"/>
        <v>0</v>
      </c>
      <c r="AC18" s="64"/>
    </row>
    <row r="19" spans="1:29" ht="41.4" x14ac:dyDescent="0.3">
      <c r="A19" s="24" t="s">
        <v>35</v>
      </c>
      <c r="B19" s="24"/>
      <c r="C19" s="24" t="s">
        <v>843</v>
      </c>
      <c r="D19" s="23" t="s">
        <v>862</v>
      </c>
      <c r="E19" s="20"/>
      <c r="F19" s="21"/>
      <c r="G19" s="23"/>
      <c r="H19" s="23"/>
      <c r="I19" s="3" t="s">
        <v>77</v>
      </c>
      <c r="J19" s="9">
        <v>15</v>
      </c>
      <c r="K19" s="9">
        <v>9</v>
      </c>
      <c r="L19" s="10">
        <v>0</v>
      </c>
      <c r="M19" s="10"/>
      <c r="N19" s="10"/>
      <c r="O19" s="10"/>
      <c r="P19" s="38">
        <f t="shared" si="1"/>
        <v>60</v>
      </c>
      <c r="Q19" s="11"/>
      <c r="R19" s="11"/>
      <c r="S19" s="12">
        <f t="shared" si="2"/>
        <v>0</v>
      </c>
      <c r="T19" s="28">
        <f t="shared" si="3"/>
        <v>0</v>
      </c>
      <c r="U19" s="9">
        <v>6</v>
      </c>
      <c r="V19" s="9"/>
      <c r="W19" s="9"/>
      <c r="X19" s="9"/>
      <c r="Y19" s="9">
        <v>10</v>
      </c>
      <c r="Z19" s="10">
        <f t="shared" ref="Z19:Z20" si="10">+U19+Y19</f>
        <v>16</v>
      </c>
      <c r="AA19" s="30">
        <f t="shared" si="8"/>
        <v>80</v>
      </c>
      <c r="AB19" s="32">
        <f t="shared" ref="AB19:AB20" si="11">+(P19+AA19)/2</f>
        <v>70</v>
      </c>
      <c r="AC19" s="63" t="s">
        <v>1052</v>
      </c>
    </row>
    <row r="20" spans="1:29" ht="27.6" x14ac:dyDescent="0.3">
      <c r="A20" s="24" t="s">
        <v>35</v>
      </c>
      <c r="B20" s="24"/>
      <c r="C20" s="24" t="s">
        <v>853</v>
      </c>
      <c r="D20" s="23" t="s">
        <v>862</v>
      </c>
      <c r="E20" s="20"/>
      <c r="F20" s="21"/>
      <c r="G20" s="23"/>
      <c r="H20" s="23"/>
      <c r="I20" s="3" t="s">
        <v>78</v>
      </c>
      <c r="J20" s="9">
        <v>1</v>
      </c>
      <c r="K20" s="9">
        <v>1</v>
      </c>
      <c r="L20" s="10">
        <f t="shared" si="0"/>
        <v>0</v>
      </c>
      <c r="M20" s="10"/>
      <c r="N20" s="10"/>
      <c r="O20" s="10"/>
      <c r="P20" s="38">
        <f t="shared" si="1"/>
        <v>100</v>
      </c>
      <c r="Q20" s="11"/>
      <c r="R20" s="11"/>
      <c r="S20" s="12">
        <f t="shared" si="2"/>
        <v>0</v>
      </c>
      <c r="T20" s="28">
        <f t="shared" si="3"/>
        <v>0</v>
      </c>
      <c r="U20" s="9">
        <v>10</v>
      </c>
      <c r="V20" s="9"/>
      <c r="W20" s="9"/>
      <c r="X20" s="9"/>
      <c r="Y20" s="9">
        <v>10</v>
      </c>
      <c r="Z20" s="10">
        <f t="shared" si="10"/>
        <v>20</v>
      </c>
      <c r="AA20" s="30">
        <f t="shared" si="8"/>
        <v>100</v>
      </c>
      <c r="AB20" s="32">
        <f t="shared" si="11"/>
        <v>100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8"/>
        <v>0</v>
      </c>
      <c r="AB21" s="32">
        <f t="shared" si="6"/>
        <v>0</v>
      </c>
      <c r="AC21" s="64"/>
    </row>
    <row r="22" spans="1:29" ht="27.6" x14ac:dyDescent="0.3">
      <c r="A22" s="24" t="s">
        <v>79</v>
      </c>
      <c r="B22" s="24" t="s">
        <v>35</v>
      </c>
      <c r="C22" s="24" t="s">
        <v>843</v>
      </c>
      <c r="D22" s="23" t="s">
        <v>862</v>
      </c>
      <c r="E22" s="20"/>
      <c r="F22" s="21"/>
      <c r="G22" s="23"/>
      <c r="H22" s="23"/>
      <c r="I22" s="3" t="s">
        <v>88</v>
      </c>
      <c r="J22" s="9">
        <v>1</v>
      </c>
      <c r="K22" s="9">
        <v>1</v>
      </c>
      <c r="L22" s="10">
        <f t="shared" si="0"/>
        <v>0</v>
      </c>
      <c r="M22" s="10"/>
      <c r="N22" s="10"/>
      <c r="O22" s="10"/>
      <c r="P22" s="38">
        <f t="shared" si="1"/>
        <v>100</v>
      </c>
      <c r="Q22" s="11"/>
      <c r="R22" s="11"/>
      <c r="S22" s="12">
        <f t="shared" si="2"/>
        <v>0</v>
      </c>
      <c r="T22" s="28">
        <f t="shared" si="3"/>
        <v>0</v>
      </c>
      <c r="U22" s="9">
        <v>10</v>
      </c>
      <c r="V22" s="9"/>
      <c r="W22" s="9"/>
      <c r="X22" s="9"/>
      <c r="Y22" s="9">
        <v>10</v>
      </c>
      <c r="Z22" s="10">
        <f>+U22+Y22</f>
        <v>20</v>
      </c>
      <c r="AA22" s="30">
        <f t="shared" si="8"/>
        <v>100</v>
      </c>
      <c r="AB22" s="32">
        <f>+(P22+AA22)/2</f>
        <v>100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8"/>
        <v>0</v>
      </c>
      <c r="AB23" s="32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>+U24+Y24</f>
        <v>20</v>
      </c>
      <c r="AA24" s="30">
        <f t="shared" si="8"/>
        <v>100</v>
      </c>
      <c r="AB24" s="32">
        <f>+(P24+AA24)/2</f>
        <v>100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8"/>
        <v>0</v>
      </c>
      <c r="AB25" s="32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843</v>
      </c>
      <c r="D26" s="23" t="s">
        <v>862</v>
      </c>
      <c r="E26" s="20"/>
      <c r="F26" s="21"/>
      <c r="G26" s="23"/>
      <c r="H26" s="23"/>
      <c r="I26" s="3" t="s">
        <v>108</v>
      </c>
      <c r="J26" s="9">
        <v>1198</v>
      </c>
      <c r="K26" s="9">
        <v>1154</v>
      </c>
      <c r="L26" s="10">
        <f t="shared" si="0"/>
        <v>44</v>
      </c>
      <c r="M26" s="10"/>
      <c r="N26" s="10"/>
      <c r="O26" s="10"/>
      <c r="P26" s="38">
        <f t="shared" si="1"/>
        <v>96.327212020033386</v>
      </c>
      <c r="Q26" s="11"/>
      <c r="R26" s="11"/>
      <c r="S26" s="12">
        <f t="shared" si="2"/>
        <v>0</v>
      </c>
      <c r="T26" s="28">
        <f t="shared" si="3"/>
        <v>0</v>
      </c>
      <c r="U26" s="9">
        <v>10</v>
      </c>
      <c r="V26" s="9"/>
      <c r="W26" s="9"/>
      <c r="X26" s="9"/>
      <c r="Y26" s="9">
        <v>10</v>
      </c>
      <c r="Z26" s="10">
        <f>+U26+Y26</f>
        <v>20</v>
      </c>
      <c r="AA26" s="30">
        <f t="shared" si="8"/>
        <v>100</v>
      </c>
      <c r="AB26" s="32">
        <f>+(P26+AA26)/2</f>
        <v>98.163606010016693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8"/>
        <v>0</v>
      </c>
      <c r="AB27" s="32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/>
      <c r="K28" s="9"/>
      <c r="L28" s="10">
        <f t="shared" si="0"/>
        <v>0</v>
      </c>
      <c r="M28" s="10"/>
      <c r="N28" s="10"/>
      <c r="O28" s="10"/>
      <c r="P28" s="38">
        <f t="shared" si="1"/>
        <v>0</v>
      </c>
      <c r="Q28" s="11"/>
      <c r="R28" s="11"/>
      <c r="S28" s="12">
        <f t="shared" si="2"/>
        <v>0</v>
      </c>
      <c r="T28" s="28">
        <f t="shared" si="3"/>
        <v>0</v>
      </c>
      <c r="U28" s="9"/>
      <c r="V28" s="9"/>
      <c r="W28" s="9"/>
      <c r="X28" s="9"/>
      <c r="Y28" s="9"/>
      <c r="Z28" s="10">
        <f t="shared" si="4"/>
        <v>0</v>
      </c>
      <c r="AA28" s="30">
        <f t="shared" si="8"/>
        <v>0</v>
      </c>
      <c r="AB28" s="32">
        <f t="shared" si="6"/>
        <v>0</v>
      </c>
      <c r="AC28" s="63"/>
    </row>
    <row r="29" spans="1:29" ht="27.6" x14ac:dyDescent="0.3">
      <c r="A29" s="24" t="s">
        <v>35</v>
      </c>
      <c r="B29" s="24" t="s">
        <v>64</v>
      </c>
      <c r="C29" s="24" t="s">
        <v>843</v>
      </c>
      <c r="D29" s="23" t="s">
        <v>862</v>
      </c>
      <c r="E29" s="20"/>
      <c r="F29" s="21"/>
      <c r="G29" s="23"/>
      <c r="H29" s="23"/>
      <c r="I29" s="3" t="s">
        <v>114</v>
      </c>
      <c r="J29" s="9">
        <f>1192+107</f>
        <v>1299</v>
      </c>
      <c r="K29" s="9">
        <v>1123</v>
      </c>
      <c r="L29" s="10">
        <f t="shared" si="0"/>
        <v>176</v>
      </c>
      <c r="M29" s="10"/>
      <c r="N29" s="10"/>
      <c r="O29" s="10"/>
      <c r="P29" s="38">
        <f t="shared" si="1"/>
        <v>86.451116243264053</v>
      </c>
      <c r="Q29" s="11"/>
      <c r="R29" s="11"/>
      <c r="S29" s="12">
        <f t="shared" si="2"/>
        <v>0</v>
      </c>
      <c r="T29" s="28">
        <f t="shared" si="3"/>
        <v>0</v>
      </c>
      <c r="U29" s="9">
        <v>9</v>
      </c>
      <c r="V29" s="9"/>
      <c r="W29" s="9"/>
      <c r="X29" s="9"/>
      <c r="Y29" s="9">
        <v>10</v>
      </c>
      <c r="Z29" s="10">
        <f t="shared" ref="Z29:Z30" si="12">+U29+Y29</f>
        <v>19</v>
      </c>
      <c r="AA29" s="30">
        <f t="shared" si="8"/>
        <v>95</v>
      </c>
      <c r="AB29" s="32">
        <f t="shared" ref="AB29:AB30" si="13">+(P29+AA29)/2</f>
        <v>90.725558121632019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 t="s">
        <v>862</v>
      </c>
      <c r="E30" s="20"/>
      <c r="F30" s="21"/>
      <c r="G30" s="23"/>
      <c r="H30" s="23"/>
      <c r="I30" s="3" t="s">
        <v>115</v>
      </c>
      <c r="J30" s="9">
        <v>1</v>
      </c>
      <c r="K30" s="9">
        <v>1</v>
      </c>
      <c r="L30" s="10">
        <f t="shared" si="0"/>
        <v>0</v>
      </c>
      <c r="M30" s="10"/>
      <c r="N30" s="10"/>
      <c r="O30" s="10"/>
      <c r="P30" s="38">
        <f t="shared" si="1"/>
        <v>100</v>
      </c>
      <c r="Q30" s="11"/>
      <c r="R30" s="11"/>
      <c r="S30" s="12">
        <f t="shared" si="2"/>
        <v>0</v>
      </c>
      <c r="T30" s="28">
        <f t="shared" si="3"/>
        <v>0</v>
      </c>
      <c r="U30" s="9">
        <v>10</v>
      </c>
      <c r="V30" s="9"/>
      <c r="W30" s="9"/>
      <c r="X30" s="9"/>
      <c r="Y30" s="9">
        <v>10</v>
      </c>
      <c r="Z30" s="10">
        <f t="shared" si="12"/>
        <v>20</v>
      </c>
      <c r="AA30" s="30">
        <f t="shared" si="8"/>
        <v>100</v>
      </c>
      <c r="AB30" s="32">
        <f t="shared" si="13"/>
        <v>100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8"/>
        <v>0</v>
      </c>
      <c r="AB31" s="32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/>
      <c r="K32" s="9"/>
      <c r="L32" s="10">
        <f t="shared" si="0"/>
        <v>0</v>
      </c>
      <c r="M32" s="10"/>
      <c r="N32" s="10"/>
      <c r="O32" s="10"/>
      <c r="P32" s="38">
        <f t="shared" si="1"/>
        <v>0</v>
      </c>
      <c r="Q32" s="11"/>
      <c r="R32" s="11"/>
      <c r="S32" s="12">
        <f t="shared" si="2"/>
        <v>0</v>
      </c>
      <c r="T32" s="28">
        <f t="shared" si="3"/>
        <v>0</v>
      </c>
      <c r="U32" s="9"/>
      <c r="V32" s="9"/>
      <c r="W32" s="9"/>
      <c r="X32" s="9"/>
      <c r="Y32" s="9"/>
      <c r="Z32" s="10">
        <f t="shared" si="4"/>
        <v>0</v>
      </c>
      <c r="AA32" s="30">
        <f t="shared" si="8"/>
        <v>0</v>
      </c>
      <c r="AB32" s="32">
        <f t="shared" si="6"/>
        <v>0</v>
      </c>
      <c r="AC32" s="63"/>
    </row>
    <row r="33" spans="1:29" ht="27.6" x14ac:dyDescent="0.3">
      <c r="A33" s="24" t="s">
        <v>36</v>
      </c>
      <c r="B33" s="24" t="s">
        <v>35</v>
      </c>
      <c r="C33" s="24" t="s">
        <v>843</v>
      </c>
      <c r="D33" s="23" t="s">
        <v>862</v>
      </c>
      <c r="E33" s="20"/>
      <c r="F33" s="21"/>
      <c r="G33" s="23"/>
      <c r="H33" s="23"/>
      <c r="I33" s="3" t="s">
        <v>127</v>
      </c>
      <c r="J33" s="9">
        <v>1</v>
      </c>
      <c r="K33" s="9">
        <v>1</v>
      </c>
      <c r="L33" s="10">
        <f t="shared" si="0"/>
        <v>0</v>
      </c>
      <c r="M33" s="10"/>
      <c r="N33" s="10"/>
      <c r="O33" s="10"/>
      <c r="P33" s="38">
        <f t="shared" si="1"/>
        <v>100</v>
      </c>
      <c r="Q33" s="11"/>
      <c r="R33" s="11"/>
      <c r="S33" s="12">
        <f t="shared" si="2"/>
        <v>0</v>
      </c>
      <c r="T33" s="28">
        <f t="shared" si="3"/>
        <v>0</v>
      </c>
      <c r="U33" s="9">
        <v>10</v>
      </c>
      <c r="V33" s="9"/>
      <c r="W33" s="9"/>
      <c r="X33" s="9"/>
      <c r="Y33" s="9">
        <v>10</v>
      </c>
      <c r="Z33" s="10">
        <f t="shared" ref="Z33:Z34" si="14">+U33+Y33</f>
        <v>20</v>
      </c>
      <c r="AA33" s="30">
        <f t="shared" si="8"/>
        <v>100</v>
      </c>
      <c r="AB33" s="32">
        <f t="shared" ref="AB33:AB34" si="15">+(P33+AA33)/2</f>
        <v>100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1</v>
      </c>
      <c r="K34" s="9">
        <v>1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si="14"/>
        <v>20</v>
      </c>
      <c r="AA34" s="30">
        <f t="shared" si="8"/>
        <v>100</v>
      </c>
      <c r="AB34" s="32">
        <f t="shared" si="15"/>
        <v>100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/>
      <c r="K35" s="9"/>
      <c r="L35" s="10">
        <f t="shared" si="0"/>
        <v>0</v>
      </c>
      <c r="M35" s="10"/>
      <c r="N35" s="10"/>
      <c r="O35" s="10"/>
      <c r="P35" s="38">
        <f t="shared" si="1"/>
        <v>0</v>
      </c>
      <c r="Q35" s="11"/>
      <c r="R35" s="11"/>
      <c r="S35" s="12">
        <f t="shared" si="2"/>
        <v>0</v>
      </c>
      <c r="T35" s="28">
        <f t="shared" si="3"/>
        <v>0</v>
      </c>
      <c r="U35" s="9"/>
      <c r="V35" s="9"/>
      <c r="W35" s="9"/>
      <c r="X35" s="9"/>
      <c r="Y35" s="9"/>
      <c r="Z35" s="10">
        <f t="shared" si="4"/>
        <v>0</v>
      </c>
      <c r="AA35" s="30">
        <f t="shared" si="8"/>
        <v>0</v>
      </c>
      <c r="AB35" s="32">
        <f t="shared" si="6"/>
        <v>0</v>
      </c>
      <c r="AC35" s="63"/>
    </row>
    <row r="36" spans="1:29" ht="41.4" x14ac:dyDescent="0.3">
      <c r="A36" s="24" t="s">
        <v>36</v>
      </c>
      <c r="B36" s="24" t="s">
        <v>35</v>
      </c>
      <c r="C36" s="24" t="s">
        <v>843</v>
      </c>
      <c r="D36" s="23" t="s">
        <v>862</v>
      </c>
      <c r="E36" s="20"/>
      <c r="F36" s="21"/>
      <c r="G36" s="23"/>
      <c r="H36" s="23"/>
      <c r="I36" s="3" t="s">
        <v>130</v>
      </c>
      <c r="J36" s="9">
        <v>1</v>
      </c>
      <c r="K36" s="9">
        <v>1</v>
      </c>
      <c r="L36" s="10">
        <f t="shared" si="0"/>
        <v>0</v>
      </c>
      <c r="M36" s="10"/>
      <c r="N36" s="10"/>
      <c r="O36" s="10"/>
      <c r="P36" s="38">
        <f t="shared" si="1"/>
        <v>100</v>
      </c>
      <c r="Q36" s="11"/>
      <c r="R36" s="11"/>
      <c r="S36" s="12">
        <f t="shared" si="2"/>
        <v>0</v>
      </c>
      <c r="T36" s="28">
        <f t="shared" si="3"/>
        <v>0</v>
      </c>
      <c r="U36" s="9">
        <v>10</v>
      </c>
      <c r="V36" s="9"/>
      <c r="W36" s="9"/>
      <c r="X36" s="9"/>
      <c r="Y36" s="9">
        <v>10</v>
      </c>
      <c r="Z36" s="10">
        <f t="shared" ref="Z36:Z37" si="16">+U36+Y36</f>
        <v>20</v>
      </c>
      <c r="AA36" s="30">
        <f t="shared" si="8"/>
        <v>100</v>
      </c>
      <c r="AB36" s="32">
        <f t="shared" ref="AB36:AB37" si="17">+(P36+AA36)/2</f>
        <v>100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1</v>
      </c>
      <c r="K37" s="9">
        <v>1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 t="shared" si="16"/>
        <v>20</v>
      </c>
      <c r="AA37" s="30">
        <f t="shared" si="8"/>
        <v>100</v>
      </c>
      <c r="AB37" s="32">
        <f t="shared" si="17"/>
        <v>100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8"/>
        <v>0</v>
      </c>
      <c r="AB38" s="32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 t="s">
        <v>862</v>
      </c>
      <c r="E39" s="20"/>
      <c r="F39" s="21"/>
      <c r="G39" s="23"/>
      <c r="H39" s="23"/>
      <c r="I39" s="3" t="s">
        <v>155</v>
      </c>
      <c r="J39" s="9"/>
      <c r="K39" s="9"/>
      <c r="L39" s="10">
        <f t="shared" si="0"/>
        <v>0</v>
      </c>
      <c r="M39" s="10"/>
      <c r="N39" s="10"/>
      <c r="O39" s="10"/>
      <c r="P39" s="38">
        <f t="shared" si="1"/>
        <v>0</v>
      </c>
      <c r="Q39" s="11"/>
      <c r="R39" s="11"/>
      <c r="S39" s="12">
        <f t="shared" si="2"/>
        <v>0</v>
      </c>
      <c r="T39" s="28">
        <f t="shared" si="3"/>
        <v>0</v>
      </c>
      <c r="U39" s="9"/>
      <c r="V39" s="9"/>
      <c r="W39" s="9"/>
      <c r="X39" s="9"/>
      <c r="Y39" s="9"/>
      <c r="Z39" s="10">
        <f t="shared" si="4"/>
        <v>0</v>
      </c>
      <c r="AA39" s="30">
        <f t="shared" si="8"/>
        <v>0</v>
      </c>
      <c r="AB39" s="32">
        <f t="shared" si="6"/>
        <v>0</v>
      </c>
      <c r="AC39" s="63"/>
    </row>
    <row r="40" spans="1:29" ht="27.6" x14ac:dyDescent="0.3">
      <c r="A40" s="24" t="s">
        <v>84</v>
      </c>
      <c r="B40" s="24" t="s">
        <v>35</v>
      </c>
      <c r="C40" s="24" t="s">
        <v>843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8"/>
        <v>0</v>
      </c>
      <c r="AB40" s="32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8"/>
        <v>0</v>
      </c>
      <c r="AB41" s="32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>+U42+Y42</f>
        <v>0</v>
      </c>
      <c r="AA42" s="30">
        <f t="shared" si="8"/>
        <v>0</v>
      </c>
      <c r="AB42" s="32">
        <f>+(P42+AA42)/2</f>
        <v>0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8"/>
        <v>0</v>
      </c>
      <c r="AB43" s="32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ref="Z44:Z50" si="18">+U44+Y44</f>
        <v>0</v>
      </c>
      <c r="AA44" s="30">
        <f t="shared" si="8"/>
        <v>0</v>
      </c>
      <c r="AB44" s="32">
        <f t="shared" ref="AB44:AB50" si="19">+(P44+AA44)/2</f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18"/>
        <v>0</v>
      </c>
      <c r="AA45" s="30">
        <f t="shared" si="8"/>
        <v>0</v>
      </c>
      <c r="AB45" s="32">
        <f t="shared" si="19"/>
        <v>0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18"/>
        <v>0</v>
      </c>
      <c r="AA46" s="30">
        <f t="shared" si="8"/>
        <v>0</v>
      </c>
      <c r="AB46" s="32">
        <f t="shared" si="19"/>
        <v>0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18"/>
        <v>0</v>
      </c>
      <c r="AA47" s="30">
        <f t="shared" si="8"/>
        <v>0</v>
      </c>
      <c r="AB47" s="32">
        <f t="shared" si="19"/>
        <v>0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18"/>
        <v>0</v>
      </c>
      <c r="AA48" s="30">
        <f t="shared" si="8"/>
        <v>0</v>
      </c>
      <c r="AB48" s="32">
        <f t="shared" si="19"/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 t="shared" si="18"/>
        <v>0</v>
      </c>
      <c r="AA49" s="30">
        <f t="shared" si="8"/>
        <v>0</v>
      </c>
      <c r="AB49" s="32">
        <f t="shared" si="19"/>
        <v>0</v>
      </c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/>
      <c r="K50" s="9"/>
      <c r="L50" s="10">
        <f t="shared" si="0"/>
        <v>0</v>
      </c>
      <c r="M50" s="10"/>
      <c r="N50" s="10"/>
      <c r="O50" s="10"/>
      <c r="P50" s="38">
        <f t="shared" si="1"/>
        <v>0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 t="shared" si="18"/>
        <v>0</v>
      </c>
      <c r="AA50" s="30">
        <f t="shared" si="8"/>
        <v>0</v>
      </c>
      <c r="AB50" s="32">
        <f t="shared" si="19"/>
        <v>0</v>
      </c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8"/>
        <v>0</v>
      </c>
      <c r="AB51" s="32">
        <f t="shared" si="6"/>
        <v>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8"/>
        <v>0</v>
      </c>
      <c r="AB52" s="32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 t="shared" si="4"/>
        <v>0</v>
      </c>
      <c r="AA53" s="30">
        <f t="shared" si="8"/>
        <v>0</v>
      </c>
      <c r="AB53" s="32">
        <f t="shared" si="6"/>
        <v>0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843</v>
      </c>
      <c r="D54" s="23" t="s">
        <v>862</v>
      </c>
      <c r="E54" s="20"/>
      <c r="F54" s="21"/>
      <c r="G54" s="23"/>
      <c r="H54" s="23"/>
      <c r="I54" s="3" t="s">
        <v>190</v>
      </c>
      <c r="J54" s="9"/>
      <c r="K54" s="9"/>
      <c r="L54" s="10">
        <f t="shared" si="0"/>
        <v>0</v>
      </c>
      <c r="M54" s="10"/>
      <c r="N54" s="10"/>
      <c r="O54" s="10"/>
      <c r="P54" s="38">
        <f t="shared" si="1"/>
        <v>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ref="Z54:Z56" si="20">+U54+Y54</f>
        <v>0</v>
      </c>
      <c r="AA54" s="30">
        <f t="shared" si="8"/>
        <v>0</v>
      </c>
      <c r="AB54" s="32">
        <f t="shared" ref="AB54:AB55" si="21">+(P54+AA54)/2</f>
        <v>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/>
      <c r="K55" s="9"/>
      <c r="L55" s="10">
        <f t="shared" si="0"/>
        <v>0</v>
      </c>
      <c r="M55" s="10"/>
      <c r="N55" s="10"/>
      <c r="O55" s="10"/>
      <c r="P55" s="38">
        <f t="shared" si="1"/>
        <v>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si="20"/>
        <v>0</v>
      </c>
      <c r="AA55" s="30">
        <f t="shared" si="8"/>
        <v>0</v>
      </c>
      <c r="AB55" s="32">
        <f t="shared" si="21"/>
        <v>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20"/>
        <v>0</v>
      </c>
      <c r="AA56" s="30">
        <f t="shared" si="8"/>
        <v>0</v>
      </c>
      <c r="AB56" s="32">
        <f t="shared" ref="AB56" si="22">+(P56+AA56)/3</f>
        <v>0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8"/>
        <v>0</v>
      </c>
      <c r="AB57" s="32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2726</v>
      </c>
      <c r="K58" s="67">
        <f>SUM(K10:K55)</f>
        <v>2469</v>
      </c>
      <c r="L58" s="68">
        <f>+J58-K58</f>
        <v>257</v>
      </c>
      <c r="M58" s="43"/>
      <c r="N58" s="43"/>
      <c r="O58" s="43"/>
      <c r="P58" s="33">
        <f>(K58*100)/J58</f>
        <v>90.572267057960389</v>
      </c>
      <c r="Q58" s="122"/>
      <c r="R58" s="123"/>
      <c r="S58" s="124"/>
      <c r="T58" s="33">
        <f t="shared" ref="T58" si="23">AVERAGEIF(T10:T57,"&gt;0")</f>
        <v>150</v>
      </c>
      <c r="U58" s="69">
        <f>AVERAGEIF(U10:U55,"&gt;0")</f>
        <v>9.6428571428571423</v>
      </c>
      <c r="V58" s="69" t="e">
        <f t="shared" ref="V58:X58" si="24">AVERAGEIF(V10:V55,"&gt;0")</f>
        <v>#DIV/0!</v>
      </c>
      <c r="W58" s="69" t="e">
        <f t="shared" si="24"/>
        <v>#DIV/0!</v>
      </c>
      <c r="X58" s="69" t="e">
        <f t="shared" si="24"/>
        <v>#DIV/0!</v>
      </c>
      <c r="Y58" s="69">
        <f>AVERAGEIF(Y10:Y55,"&gt;0")</f>
        <v>10</v>
      </c>
      <c r="Z58" s="70">
        <f>+U58+Y58</f>
        <v>19.642857142857142</v>
      </c>
      <c r="AA58" s="33">
        <f>(Z58*100)/20</f>
        <v>98.214285714285708</v>
      </c>
      <c r="AB58" s="33">
        <f t="shared" ref="AB58" si="25">AVERAGEIF(AB10:AB57,"&gt;0")</f>
        <v>96.184826916432968</v>
      </c>
      <c r="AC58" s="65"/>
    </row>
  </sheetData>
  <autoFilter ref="A9:AC58" xr:uid="{B8467D5C-81DA-48F6-B8EE-838BCCF9B7BA}"/>
  <mergeCells count="18">
    <mergeCell ref="U7:AA7"/>
    <mergeCell ref="AB7:AB8"/>
    <mergeCell ref="AC7:AC8"/>
    <mergeCell ref="Q58:S58"/>
    <mergeCell ref="A7:C7"/>
    <mergeCell ref="D7:D8"/>
    <mergeCell ref="E7:G7"/>
    <mergeCell ref="I7:I8"/>
    <mergeCell ref="J7:P7"/>
    <mergeCell ref="Q7:T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F10:G58 H58" xr:uid="{42BC589A-639E-4401-979C-CA1D46BB89AA}">
      <formula1>INDIRECT(E10)</formula1>
    </dataValidation>
  </dataValidations>
  <pageMargins left="0.7" right="0.7" top="0.75" bottom="0.75" header="0.3" footer="0.3"/>
  <pageSetup scale="71" orientation="landscape" horizontalDpi="360" verticalDpi="360" r:id="rId1"/>
  <rowBreaks count="1" manualBreakCount="1">
    <brk id="36" max="16383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88765AE-1F13-4125-BBE8-D28D7169A6A2}">
          <x14:formula1>
            <xm:f>'Lista desplegable'!$O$13:$O$37</xm:f>
          </x14:formula1>
          <xm:sqref>G4:G5 I4</xm:sqref>
        </x14:dataValidation>
        <x14:dataValidation type="list" allowBlank="1" showInputMessage="1" showErrorMessage="1" xr:uid="{E4289852-C680-4054-BB1C-AA349D7E77E6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0CFB69EF-D52C-4D68-BCAC-2A4040C0B61D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0CEAC2FB-E294-414C-8BA9-B08A0CE54A37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CE4646AC-F199-4E3A-BC45-14B55B8B0B9C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D8B63105-59A2-4BF0-A06B-4A3E00C141D3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ACE16C5F-11F1-4831-9B1F-07B0ED9769B0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74D5F965-B0B5-4C77-A9E3-B25296D1AAD3}">
          <x14:formula1>
            <xm:f>'Lista desplegable'!$A$2:$A$16</xm:f>
          </x14:formula1>
          <xm:sqref>E10:E58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5700-D607-4AB6-86D9-67E7B1BB3263}">
  <dimension ref="A1:AC58"/>
  <sheetViews>
    <sheetView showGridLines="0" view="pageBreakPreview" topLeftCell="A3" zoomScale="124" zoomScaleNormal="100" zoomScaleSheetLayoutView="100" workbookViewId="0">
      <pane xSplit="9" ySplit="7" topLeftCell="J10" activePane="bottomRight" state="frozen"/>
      <selection pane="topRight" activeCell="J3" sqref="J3"/>
      <selection pane="bottomLeft" activeCell="A10" sqref="A10"/>
      <selection pane="bottomRight" activeCell="J58" sqref="J58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0" width="6.5546875" style="1" customWidth="1"/>
    <col min="11" max="11" width="6.6640625" style="1" customWidth="1"/>
    <col min="12" max="12" width="5.1093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49"/>
    </row>
    <row r="2" spans="1:29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283</v>
      </c>
      <c r="J4" s="142"/>
      <c r="K4" s="142"/>
      <c r="L4" s="39"/>
      <c r="M4" s="39"/>
      <c r="N4" s="39"/>
      <c r="O4" s="39"/>
      <c r="P4" s="134" t="s">
        <v>5</v>
      </c>
      <c r="Q4" s="134"/>
      <c r="R4" s="135" t="s">
        <v>284</v>
      </c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46"/>
    </row>
    <row r="5" spans="1:29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39"/>
      <c r="N5" s="39"/>
      <c r="O5" s="39"/>
      <c r="P5" s="134" t="s">
        <v>7</v>
      </c>
      <c r="Q5" s="134"/>
      <c r="R5" s="135" t="s">
        <v>8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46"/>
    </row>
    <row r="7" spans="1:29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29"/>
      <c r="O7" s="129"/>
      <c r="P7" s="129"/>
      <c r="Q7" s="130" t="s">
        <v>14</v>
      </c>
      <c r="R7" s="130"/>
      <c r="S7" s="130"/>
      <c r="T7" s="130"/>
      <c r="U7" s="114" t="s">
        <v>15</v>
      </c>
      <c r="V7" s="115"/>
      <c r="W7" s="115"/>
      <c r="X7" s="115"/>
      <c r="Y7" s="115"/>
      <c r="Z7" s="115"/>
      <c r="AA7" s="116"/>
      <c r="AB7" s="117" t="s">
        <v>16</v>
      </c>
      <c r="AC7" s="143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18"/>
      <c r="AC8" s="143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62"/>
    </row>
    <row r="10" spans="1:29" ht="21.6" customHeight="1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>
        <f>+'EV1-Nancy'!J10+'EV1-Francisca'!J10+'EV1-Alex Alvarado'!J10+'EV1-Alex Castillo'!J10+'EV1-Adalid'!J10+'EV1-Neptaly'!J10+'EV1-Milixa'!J10+'Jennifer Canales'!J10+'EV2-David Ramos'!J10+'EV2-Jhony Amador'!J10+'EV2-Norma Hernández'!J10+'EV2-Goel Garcia'!J10+'EV2-Nubia '!J10+'EV2-Zamir'!J10+'EV2-Yimi'!J10</f>
        <v>1654</v>
      </c>
      <c r="K10" s="9">
        <f>+'EV1-Nancy'!K10+'EV1-Francisca'!K10+'EV1-Alex Alvarado'!K10+'EV1-Alex Castillo'!K10+'EV1-Adalid'!K10+'EV1-Neptaly'!K10+'EV1-Milixa'!K10+'Jennifer Canales'!K10+'EV2-David Ramos'!K10+'EV2-Jhony Amador'!K10+'EV2-Norma Hernández'!K10+'EV2-Goel Garcia'!K10+'EV2-Nubia '!K10+'EV2-Zamir'!K10+'EV2-Yimi'!K10</f>
        <v>1466</v>
      </c>
      <c r="L10" s="10">
        <f t="shared" ref="L10:L57" si="0">+J10-K10</f>
        <v>188</v>
      </c>
      <c r="M10" s="10"/>
      <c r="N10" s="10"/>
      <c r="O10" s="10"/>
      <c r="P10" s="38">
        <f t="shared" ref="P10:P57" si="1">IFERROR(IF(7&lt;&gt;0, K10*100/J10, IF(J10=K10, K10*100/J10, 0)), 0)</f>
        <v>88.633615477629988</v>
      </c>
      <c r="Q10" s="45"/>
      <c r="R10" s="11"/>
      <c r="S10" s="12">
        <f t="shared" ref="S10:S57" si="2">+Q10-R10</f>
        <v>0</v>
      </c>
      <c r="T10" s="28">
        <f t="shared" ref="T10:T57" si="3">IFERROR(IF(S10&lt;&gt;0, Q10*100/R10, IF(Q10=R10, Q10*100/R10, 0)), 0)</f>
        <v>0</v>
      </c>
      <c r="U10" s="11">
        <f>+('EV1-Nancy'!U10+'EV1-Francisca'!U10+'EV1-Alex Alvarado'!U10+'EV1-Alex Castillo'!U10+'EV1-Adalid'!U10+'EV1-Neptaly'!U10+'EV1-Milixa'!U10+'Jennifer Canales'!U10+'EV2-David Ramos'!U10+'EV2-Jhony Amador'!U10+'EV2-Norma Hernández'!U10+'EV2-Goel Garcia'!U10+'EV2-Nubia '!U10+'EV2-Zamir'!U10+'EV2-Yimi'!U10)/8</f>
        <v>8.5</v>
      </c>
      <c r="V10" s="11">
        <f>+('EV1-Nancy'!V10+'EV1-Francisca'!V10+'EV1-Alex Alvarado'!V10+'EV1-Alex Castillo'!V10+'EV1-Adalid'!V10+'EV1-Neptaly'!V10+'EV1-Milixa'!V10+'Jennifer Canales'!V10+'EV2-David Ramos'!V10+'EV2-Jhony Amador'!V10+'EV2-Norma Hernández'!V10+'EV2-Goel Garcia'!V10+'EV2-Nubia '!V10+'EV2-Zamir'!V10+'EV2-Yimi'!V10)/8</f>
        <v>0</v>
      </c>
      <c r="W10" s="11">
        <f>+('EV1-Nancy'!W10+'EV1-Francisca'!W10+'EV1-Alex Alvarado'!W10+'EV1-Alex Castillo'!W10+'EV1-Adalid'!W10+'EV1-Neptaly'!W10+'EV1-Milixa'!W10+'Jennifer Canales'!W10+'EV2-David Ramos'!W10+'EV2-Jhony Amador'!W10+'EV2-Norma Hernández'!W10+'EV2-Goel Garcia'!W10+'EV2-Nubia '!W10+'EV2-Zamir'!W10+'EV2-Yimi'!W10)/8</f>
        <v>0</v>
      </c>
      <c r="X10" s="11">
        <f>+('EV1-Nancy'!X10+'EV1-Francisca'!X10+'EV1-Alex Alvarado'!X10+'EV1-Alex Castillo'!X10+'EV1-Adalid'!X10+'EV1-Neptaly'!X10+'EV1-Milixa'!X10+'Jennifer Canales'!X10+'EV2-David Ramos'!X10+'EV2-Jhony Amador'!X10+'EV2-Norma Hernández'!X10+'EV2-Goel Garcia'!X10+'EV2-Nubia '!X10+'EV2-Zamir'!X10+'EV2-Yimi'!X10)/8</f>
        <v>0</v>
      </c>
      <c r="Y10" s="11">
        <f>+('EV1-Nancy'!Y10+'EV1-Francisca'!Y10+'EV1-Alex Alvarado'!Y10+'EV1-Alex Castillo'!Y10+'EV1-Adalid'!Y10+'EV1-Neptaly'!Y10+'EV1-Milixa'!Y10+'Jennifer Canales'!Y10+'EV2-David Ramos'!Y10+'EV2-Jhony Amador'!Y10+'EV2-Norma Hernández'!Y10+'EV2-Goel Garcia'!Y10+'EV2-Nubia '!Y10+'EV2-Zamir'!Y10+'EV2-Yimi'!Y10)/8</f>
        <v>10</v>
      </c>
      <c r="Z10" s="12">
        <f t="shared" ref="Z10:Z57" si="4">SUM(U10:Y10)</f>
        <v>18.5</v>
      </c>
      <c r="AA10" s="30">
        <f t="shared" ref="AA10" si="5">+Z10*100/20</f>
        <v>92.5</v>
      </c>
      <c r="AB10" s="32">
        <f t="shared" ref="AB10:AB57" si="6">+(T10+P10+AA10)/3</f>
        <v>60.37787182587666</v>
      </c>
      <c r="AC10" s="63"/>
    </row>
    <row r="11" spans="1:29" ht="27.6" x14ac:dyDescent="0.3">
      <c r="A11" s="24" t="s">
        <v>35</v>
      </c>
      <c r="B11" s="24" t="s">
        <v>36</v>
      </c>
      <c r="C11" s="24" t="s">
        <v>843</v>
      </c>
      <c r="D11" s="23" t="s">
        <v>862</v>
      </c>
      <c r="E11" s="20"/>
      <c r="F11" s="21"/>
      <c r="G11" s="22"/>
      <c r="H11" s="22"/>
      <c r="I11" s="3" t="s">
        <v>49</v>
      </c>
      <c r="J11" s="9">
        <f>+'EV1-Nancy'!J11+'EV1-Francisca'!J11+'EV1-Alex Alvarado'!J11+'EV1-Alex Castillo'!J11+'EV1-Adalid'!J11+'EV1-Neptaly'!J11+'EV1-Milixa'!J11+'Jennifer Canales'!J11+'EV2-David Ramos'!J11+'EV2-Jhony Amador'!J11+'EV2-Norma Hernández'!J11+'EV2-Goel Garcia'!J11+'EV2-Nubia '!J11+'EV2-Zamir'!J11+'EV2-Yimi'!J11</f>
        <v>272</v>
      </c>
      <c r="K11" s="9">
        <f>+'EV1-Nancy'!K11+'EV1-Francisca'!K11+'EV1-Alex Alvarado'!K11+'EV1-Alex Castillo'!K11+'EV1-Adalid'!K11+'EV1-Neptaly'!K11+'EV1-Milixa'!K11+'Jennifer Canales'!K11+'EV2-David Ramos'!K11+'EV2-Jhony Amador'!K11+'EV2-Norma Hernández'!K11+'EV2-Goel Garcia'!K11+'EV2-Nubia '!K11+'EV2-Zamir'!K11+'EV2-Yimi'!K11</f>
        <v>268</v>
      </c>
      <c r="L11" s="10">
        <f t="shared" si="0"/>
        <v>4</v>
      </c>
      <c r="M11" s="10"/>
      <c r="N11" s="10"/>
      <c r="O11" s="10"/>
      <c r="P11" s="38">
        <f t="shared" si="1"/>
        <v>98.529411764705884</v>
      </c>
      <c r="Q11" s="11"/>
      <c r="R11" s="11"/>
      <c r="S11" s="12">
        <f t="shared" si="2"/>
        <v>0</v>
      </c>
      <c r="T11" s="28">
        <f t="shared" si="3"/>
        <v>0</v>
      </c>
      <c r="U11" s="11">
        <f>+('EV1-Nancy'!U11+'EV1-Francisca'!U11+'EV1-Alex Alvarado'!U11+'EV1-Alex Castillo'!U11+'EV1-Adalid'!U11+'EV1-Neptaly'!U11+'EV1-Milixa'!U11+'Jennifer Canales'!U11+'EV2-David Ramos'!U11+'EV2-Jhony Amador'!U11+'EV2-Norma Hernández'!U11+'EV2-Goel Garcia'!U11+'EV2-Nubia '!U11+'EV2-Zamir'!U11+'EV2-Yimi'!U11)/8</f>
        <v>9.625</v>
      </c>
      <c r="V11" s="11">
        <f>+('EV1-Nancy'!V11+'EV1-Francisca'!V11+'EV1-Alex Alvarado'!V11+'EV1-Alex Castillo'!V11+'EV1-Adalid'!V11+'EV1-Neptaly'!V11+'EV1-Milixa'!V11+'Jennifer Canales'!V11+'EV2-David Ramos'!V11+'EV2-Jhony Amador'!V11+'EV2-Norma Hernández'!V11+'EV2-Goel Garcia'!V11+'EV2-Nubia '!V11+'EV2-Zamir'!V11+'EV2-Yimi'!V11)/8</f>
        <v>0</v>
      </c>
      <c r="W11" s="11">
        <f>+('EV1-Nancy'!W11+'EV1-Francisca'!W11+'EV1-Alex Alvarado'!W11+'EV1-Alex Castillo'!W11+'EV1-Adalid'!W11+'EV1-Neptaly'!W11+'EV1-Milixa'!W11+'Jennifer Canales'!W11+'EV2-David Ramos'!W11+'EV2-Jhony Amador'!W11+'EV2-Norma Hernández'!W11+'EV2-Goel Garcia'!W11+'EV2-Nubia '!W11+'EV2-Zamir'!W11+'EV2-Yimi'!W11)/8</f>
        <v>0</v>
      </c>
      <c r="X11" s="11">
        <f>+('EV1-Nancy'!X11+'EV1-Francisca'!X11+'EV1-Alex Alvarado'!X11+'EV1-Alex Castillo'!X11+'EV1-Adalid'!X11+'EV1-Neptaly'!X11+'EV1-Milixa'!X11+'Jennifer Canales'!X11+'EV2-David Ramos'!X11+'EV2-Jhony Amador'!X11+'EV2-Norma Hernández'!X11+'EV2-Goel Garcia'!X11+'EV2-Nubia '!X11+'EV2-Zamir'!X11+'EV2-Yimi'!X11)/8</f>
        <v>0</v>
      </c>
      <c r="Y11" s="11">
        <f>+('EV1-Nancy'!Y11+'EV1-Francisca'!Y11+'EV1-Alex Alvarado'!Y11+'EV1-Alex Castillo'!Y11+'EV1-Adalid'!Y11+'EV1-Neptaly'!Y11+'EV1-Milixa'!Y11+'Jennifer Canales'!Y11+'EV2-David Ramos'!Y11+'EV2-Jhony Amador'!Y11+'EV2-Norma Hernández'!Y11+'EV2-Goel Garcia'!Y11+'EV2-Nubia '!Y11+'EV2-Zamir'!Y11+'EV2-Yimi'!Y11)/8</f>
        <v>10</v>
      </c>
      <c r="Z11" s="12">
        <f>+U11+Y11</f>
        <v>19.625</v>
      </c>
      <c r="AA11" s="30">
        <f>+Z11*100/20</f>
        <v>98.125</v>
      </c>
      <c r="AB11" s="32">
        <f>+(P11+AA11)/2</f>
        <v>98.327205882352942</v>
      </c>
      <c r="AC11" s="64"/>
    </row>
    <row r="12" spans="1:29" ht="24" x14ac:dyDescent="0.3">
      <c r="A12" s="24" t="s">
        <v>35</v>
      </c>
      <c r="B12" s="24" t="s">
        <v>35</v>
      </c>
      <c r="C12" s="24" t="s">
        <v>843</v>
      </c>
      <c r="D12" s="23" t="s">
        <v>862</v>
      </c>
      <c r="E12" s="20"/>
      <c r="F12" s="21"/>
      <c r="G12" s="22"/>
      <c r="H12" s="22"/>
      <c r="I12" s="3" t="s">
        <v>1009</v>
      </c>
      <c r="J12" s="9">
        <f>+'EV1-Nancy'!J12+'EV1-Francisca'!J12+'EV1-Alex Alvarado'!J12+'EV1-Alex Castillo'!J12+'EV1-Adalid'!J12+'EV1-Neptaly'!J12+'EV1-Milixa'!J12+'Jennifer Canales'!J12+'EV2-David Ramos'!J12+'EV2-Jhony Amador'!J12+'EV2-Norma Hernández'!J12+'EV2-Goel Garcia'!J12+'EV2-Nubia '!J12+'EV2-Zamir'!J12+'EV2-Yimi'!J12</f>
        <v>292</v>
      </c>
      <c r="K12" s="9">
        <f>+'EV1-Nancy'!K12+'EV1-Francisca'!K12+'EV1-Alex Alvarado'!K12+'EV1-Alex Castillo'!K12+'EV1-Adalid'!K12+'EV1-Neptaly'!K12+'EV1-Milixa'!K12+'Jennifer Canales'!K12+'EV2-David Ramos'!K12+'EV2-Jhony Amador'!K12+'EV2-Norma Hernández'!K12+'EV2-Goel Garcia'!K12+'EV2-Nubia '!K12+'EV2-Zamir'!K12+'EV2-Yimi'!K12</f>
        <v>292</v>
      </c>
      <c r="L12" s="10">
        <f t="shared" si="0"/>
        <v>0</v>
      </c>
      <c r="M12" s="10"/>
      <c r="N12" s="10"/>
      <c r="O12" s="10"/>
      <c r="P12" s="38">
        <f t="shared" si="1"/>
        <v>100</v>
      </c>
      <c r="Q12" s="11"/>
      <c r="R12" s="11"/>
      <c r="S12" s="12">
        <f t="shared" si="2"/>
        <v>0</v>
      </c>
      <c r="T12" s="28">
        <f t="shared" si="3"/>
        <v>0</v>
      </c>
      <c r="U12" s="11">
        <f>+('EV1-Nancy'!U12+'EV1-Francisca'!U12+'EV1-Alex Alvarado'!U12+'EV1-Alex Castillo'!U12+'EV1-Adalid'!U12+'EV1-Neptaly'!U12+'EV1-Milixa'!U12+'Jennifer Canales'!U12+'EV2-David Ramos'!U12+'EV2-Jhony Amador'!U12+'EV2-Norma Hernández'!U12+'EV2-Goel Garcia'!U12+'EV2-Nubia '!U12+'EV2-Zamir'!U12+'EV2-Yimi'!U12)/8</f>
        <v>9.875</v>
      </c>
      <c r="V12" s="11">
        <f>+('EV1-Nancy'!V12+'EV1-Francisca'!V12+'EV1-Alex Alvarado'!V12+'EV1-Alex Castillo'!V12+'EV1-Adalid'!V12+'EV1-Neptaly'!V12+'EV1-Milixa'!V12+'Jennifer Canales'!V12+'EV2-David Ramos'!V12+'EV2-Jhony Amador'!V12+'EV2-Norma Hernández'!V12+'EV2-Goel Garcia'!V12+'EV2-Nubia '!V12+'EV2-Zamir'!V12+'EV2-Yimi'!V12)/8</f>
        <v>1.25</v>
      </c>
      <c r="W12" s="11">
        <f>+('EV1-Nancy'!W12+'EV1-Francisca'!W12+'EV1-Alex Alvarado'!W12+'EV1-Alex Castillo'!W12+'EV1-Adalid'!W12+'EV1-Neptaly'!W12+'EV1-Milixa'!W12+'Jennifer Canales'!W12+'EV2-David Ramos'!W12+'EV2-Jhony Amador'!W12+'EV2-Norma Hernández'!W12+'EV2-Goel Garcia'!W12+'EV2-Nubia '!W12+'EV2-Zamir'!W12+'EV2-Yimi'!W12)/8</f>
        <v>0</v>
      </c>
      <c r="X12" s="11">
        <f>+('EV1-Nancy'!X12+'EV1-Francisca'!X12+'EV1-Alex Alvarado'!X12+'EV1-Alex Castillo'!X12+'EV1-Adalid'!X12+'EV1-Neptaly'!X12+'EV1-Milixa'!X12+'Jennifer Canales'!X12+'EV2-David Ramos'!X12+'EV2-Jhony Amador'!X12+'EV2-Norma Hernández'!X12+'EV2-Goel Garcia'!X12+'EV2-Nubia '!X12+'EV2-Zamir'!X12+'EV2-Yimi'!X12)/8</f>
        <v>0</v>
      </c>
      <c r="Y12" s="11">
        <f>+('EV1-Nancy'!Y12+'EV1-Francisca'!Y12+'EV1-Alex Alvarado'!Y12+'EV1-Alex Castillo'!Y12+'EV1-Adalid'!Y12+'EV1-Neptaly'!Y12+'EV1-Milixa'!Y12+'Jennifer Canales'!Y12+'EV2-David Ramos'!Y12+'EV2-Jhony Amador'!Y12+'EV2-Norma Hernández'!Y12+'EV2-Goel Garcia'!Y12+'EV2-Nubia '!Y12+'EV2-Zamir'!Y12+'EV2-Yimi'!Y12)/8</f>
        <v>10</v>
      </c>
      <c r="Z12" s="12">
        <f t="shared" ref="Z12:Z13" si="7">+U12+Y12</f>
        <v>19.875</v>
      </c>
      <c r="AA12" s="30">
        <f t="shared" ref="AA12:AA57" si="8">+Z12*100/20</f>
        <v>99.375</v>
      </c>
      <c r="AB12" s="32">
        <f t="shared" ref="AB12:AB13" si="9">+(P12+AA12)/2</f>
        <v>99.6875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f>+'EV1-Nancy'!J13+'EV1-Francisca'!J13+'EV1-Alex Alvarado'!J13+'EV1-Alex Castillo'!J13+'EV1-Adalid'!J13+'EV1-Neptaly'!J13+'EV1-Milixa'!J13+'Jennifer Canales'!J13+'EV2-David Ramos'!J13+'EV2-Jhony Amador'!J13+'EV2-Norma Hernández'!J13+'EV2-Goel Garcia'!J13+'EV2-Nubia '!J13+'EV2-Zamir'!J13+'EV2-Yimi'!J13</f>
        <v>1005</v>
      </c>
      <c r="K13" s="9">
        <f>+'EV1-Nancy'!K13+'EV1-Francisca'!K13+'EV1-Alex Alvarado'!K13+'EV1-Alex Castillo'!K13+'EV1-Adalid'!K13+'EV1-Neptaly'!K13+'EV1-Milixa'!K13+'Jennifer Canales'!K13+'EV2-David Ramos'!K13+'EV2-Jhony Amador'!K13+'EV2-Norma Hernández'!K13+'EV2-Goel Garcia'!K13+'EV2-Nubia '!K13+'EV2-Zamir'!K13+'EV2-Yimi'!K13</f>
        <v>916</v>
      </c>
      <c r="L13" s="10">
        <f t="shared" si="0"/>
        <v>89</v>
      </c>
      <c r="M13" s="10"/>
      <c r="N13" s="10"/>
      <c r="O13" s="10"/>
      <c r="P13" s="38">
        <f t="shared" si="1"/>
        <v>91.144278606965173</v>
      </c>
      <c r="Q13" s="11"/>
      <c r="R13" s="11"/>
      <c r="S13" s="12">
        <f t="shared" si="2"/>
        <v>0</v>
      </c>
      <c r="T13" s="28">
        <f t="shared" si="3"/>
        <v>0</v>
      </c>
      <c r="U13" s="11">
        <f>+('EV1-Nancy'!U13+'EV1-Francisca'!U13+'EV1-Alex Alvarado'!U13+'EV1-Alex Castillo'!U13+'EV1-Adalid'!U13+'EV1-Neptaly'!U13+'EV1-Milixa'!U13+'Jennifer Canales'!U13+'EV2-David Ramos'!U13+'EV2-Jhony Amador'!U13+'EV2-Norma Hernández'!U13+'EV2-Goel Garcia'!U13+'EV2-Nubia '!U13+'EV2-Zamir'!U13+'EV2-Yimi'!U13)/8</f>
        <v>17</v>
      </c>
      <c r="V13" s="11">
        <f>+('EV1-Nancy'!V13+'EV1-Francisca'!V13+'EV1-Alex Alvarado'!V13+'EV1-Alex Castillo'!V13+'EV1-Adalid'!V13+'EV1-Neptaly'!V13+'EV1-Milixa'!V13+'Jennifer Canales'!V13+'EV2-David Ramos'!V13+'EV2-Jhony Amador'!V13+'EV2-Norma Hernández'!V13+'EV2-Goel Garcia'!V13+'EV2-Nubia '!V13+'EV2-Zamir'!V13+'EV2-Yimi'!V13)/8</f>
        <v>0</v>
      </c>
      <c r="W13" s="11">
        <f>+('EV1-Nancy'!W13+'EV1-Francisca'!W13+'EV1-Alex Alvarado'!W13+'EV1-Alex Castillo'!W13+'EV1-Adalid'!W13+'EV1-Neptaly'!W13+'EV1-Milixa'!W13+'Jennifer Canales'!W13+'EV2-David Ramos'!W13+'EV2-Jhony Amador'!W13+'EV2-Norma Hernández'!W13+'EV2-Goel Garcia'!W13+'EV2-Nubia '!W13+'EV2-Zamir'!W13+'EV2-Yimi'!W13)/8</f>
        <v>0</v>
      </c>
      <c r="X13" s="11">
        <f>+('EV1-Nancy'!X13+'EV1-Francisca'!X13+'EV1-Alex Alvarado'!X13+'EV1-Alex Castillo'!X13+'EV1-Adalid'!X13+'EV1-Neptaly'!X13+'EV1-Milixa'!X13+'Jennifer Canales'!X13+'EV2-David Ramos'!X13+'EV2-Jhony Amador'!X13+'EV2-Norma Hernández'!X13+'EV2-Goel Garcia'!X13+'EV2-Nubia '!X13+'EV2-Zamir'!X13+'EV2-Yimi'!X13)/8</f>
        <v>0</v>
      </c>
      <c r="Y13" s="11">
        <f>+('EV1-Nancy'!Y13+'EV1-Francisca'!Y13+'EV1-Alex Alvarado'!Y13+'EV1-Alex Castillo'!Y13+'EV1-Adalid'!Y13+'EV1-Neptaly'!Y13+'EV1-Milixa'!Y13+'Jennifer Canales'!Y13+'EV2-David Ramos'!Y13+'EV2-Jhony Amador'!Y13+'EV2-Norma Hernández'!Y13+'EV2-Goel Garcia'!Y13+'EV2-Nubia '!Y13+'EV2-Zamir'!Y13+'EV2-Yimi'!Y13)/8</f>
        <v>18.75</v>
      </c>
      <c r="Z13" s="12">
        <f t="shared" si="7"/>
        <v>35.75</v>
      </c>
      <c r="AA13" s="30">
        <f t="shared" si="8"/>
        <v>178.75</v>
      </c>
      <c r="AB13" s="32">
        <f t="shared" si="9"/>
        <v>134.94713930348257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>
        <f>+'EV1-Nancy'!J14+'EV1-Francisca'!J14+'EV1-Alex Alvarado'!J14+'EV1-Alex Castillo'!J14+'EV1-Adalid'!J14+'EV1-Neptaly'!J14+'EV1-Milixa'!J14+'Jennifer Canales'!J14+'EV2-David Ramos'!J14+'EV2-Jhony Amador'!J14+'EV2-Norma Hernández'!J14+'EV2-Goel Garcia'!J14+'EV2-Nubia '!J14+'EV2-Zamir'!J14+'EV2-Yimi'!J14</f>
        <v>8</v>
      </c>
      <c r="K14" s="9">
        <f>+'EV1-Nancy'!K14+'EV1-Francisca'!K14+'EV1-Alex Alvarado'!K14+'EV1-Alex Castillo'!K14+'EV1-Adalid'!K14+'EV1-Neptaly'!K14+'EV1-Milixa'!K14+'Jennifer Canales'!K14+'EV2-David Ramos'!K14+'EV2-Jhony Amador'!K14+'EV2-Norma Hernández'!K14+'EV2-Goel Garcia'!K14+'EV2-Nubia '!K14+'EV2-Zamir'!K14+'EV2-Yimi'!K14</f>
        <v>0</v>
      </c>
      <c r="L14" s="10">
        <f t="shared" si="0"/>
        <v>8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11">
        <f>+('EV1-Nancy'!U14+'EV1-Francisca'!U14+'EV1-Alex Alvarado'!U14+'EV1-Alex Castillo'!U14+'EV1-Adalid'!U14+'EV1-Neptaly'!U14+'EV1-Milixa'!U14+'Jennifer Canales'!U14+'EV2-David Ramos'!U14+'EV2-Jhony Amador'!U14+'EV2-Norma Hernández'!U14+'EV2-Goel Garcia'!U14+'EV2-Nubia '!U14+'EV2-Zamir'!U14+'EV2-Yimi'!U14)/8</f>
        <v>0</v>
      </c>
      <c r="V14" s="11">
        <f>+('EV1-Nancy'!V14+'EV1-Francisca'!V14+'EV1-Alex Alvarado'!V14+'EV1-Alex Castillo'!V14+'EV1-Adalid'!V14+'EV1-Neptaly'!V14+'EV1-Milixa'!V14+'Jennifer Canales'!V14+'EV2-David Ramos'!V14+'EV2-Jhony Amador'!V14+'EV2-Norma Hernández'!V14+'EV2-Goel Garcia'!V14+'EV2-Nubia '!V14+'EV2-Zamir'!V14+'EV2-Yimi'!V14)/8</f>
        <v>0</v>
      </c>
      <c r="W14" s="11">
        <f>+('EV1-Nancy'!W14+'EV1-Francisca'!W14+'EV1-Alex Alvarado'!W14+'EV1-Alex Castillo'!W14+'EV1-Adalid'!W14+'EV1-Neptaly'!W14+'EV1-Milixa'!W14+'Jennifer Canales'!W14+'EV2-David Ramos'!W14+'EV2-Jhony Amador'!W14+'EV2-Norma Hernández'!W14+'EV2-Goel Garcia'!W14+'EV2-Nubia '!W14+'EV2-Zamir'!W14+'EV2-Yimi'!W14)/8</f>
        <v>0</v>
      </c>
      <c r="X14" s="11">
        <f>+('EV1-Nancy'!X14+'EV1-Francisca'!X14+'EV1-Alex Alvarado'!X14+'EV1-Alex Castillo'!X14+'EV1-Adalid'!X14+'EV1-Neptaly'!X14+'EV1-Milixa'!X14+'Jennifer Canales'!X14+'EV2-David Ramos'!X14+'EV2-Jhony Amador'!X14+'EV2-Norma Hernández'!X14+'EV2-Goel Garcia'!X14+'EV2-Nubia '!X14+'EV2-Zamir'!X14+'EV2-Yimi'!X14)/8</f>
        <v>0</v>
      </c>
      <c r="Y14" s="11">
        <f>+('EV1-Nancy'!Y14+'EV1-Francisca'!Y14+'EV1-Alex Alvarado'!Y14+'EV1-Alex Castillo'!Y14+'EV1-Adalid'!Y14+'EV1-Neptaly'!Y14+'EV1-Milixa'!Y14+'Jennifer Canales'!Y14+'EV2-David Ramos'!Y14+'EV2-Jhony Amador'!Y14+'EV2-Norma Hernández'!Y14+'EV2-Goel Garcia'!Y14+'EV2-Nubia '!Y14+'EV2-Zamir'!Y14+'EV2-Yimi'!Y14)/8</f>
        <v>0</v>
      </c>
      <c r="Z14" s="12">
        <f t="shared" si="4"/>
        <v>0</v>
      </c>
      <c r="AA14" s="30">
        <f t="shared" si="8"/>
        <v>0</v>
      </c>
      <c r="AB14" s="32">
        <f t="shared" si="6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843</v>
      </c>
      <c r="D15" s="23"/>
      <c r="E15" s="20"/>
      <c r="F15" s="21"/>
      <c r="G15" s="22"/>
      <c r="H15" s="22"/>
      <c r="I15" s="3" t="s">
        <v>56</v>
      </c>
      <c r="J15" s="9">
        <f>+'EV1-Nancy'!J15+'EV1-Francisca'!J15+'EV1-Alex Alvarado'!J15+'EV1-Alex Castillo'!J15+'EV1-Adalid'!J15+'EV1-Neptaly'!J15+'EV1-Milixa'!J15+'Jennifer Canales'!J15+'EV2-David Ramos'!J15+'EV2-Jhony Amador'!J15+'EV2-Norma Hernández'!J15+'EV2-Goel Garcia'!J15+'EV2-Nubia '!J15+'EV2-Zamir'!J15+'EV2-Yimi'!J15</f>
        <v>0</v>
      </c>
      <c r="K15" s="9">
        <f>+'EV1-Nancy'!K15+'EV1-Francisca'!K15+'EV1-Alex Alvarado'!K15+'EV1-Alex Castillo'!K15+'EV1-Adalid'!K15+'EV1-Neptaly'!K15+'EV1-Milixa'!K15+'Jennifer Canales'!K15+'EV2-David Ramos'!K15+'EV2-Jhony Amador'!K15+'EV2-Norma Hernández'!K15+'EV2-Goel Garcia'!K15+'EV2-Nubia '!K15+'EV2-Zamir'!K15+'EV2-Yimi'!K15</f>
        <v>0</v>
      </c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11">
        <f>+('EV1-Nancy'!U15+'EV1-Francisca'!U15+'EV1-Alex Alvarado'!U15+'EV1-Alex Castillo'!U15+'EV1-Adalid'!U15+'EV1-Neptaly'!U15+'EV1-Milixa'!U15+'Jennifer Canales'!U15+'EV2-David Ramos'!U15+'EV2-Jhony Amador'!U15+'EV2-Norma Hernández'!U15+'EV2-Goel Garcia'!U15+'EV2-Nubia '!U15+'EV2-Zamir'!U15+'EV2-Yimi'!U15)/8</f>
        <v>0</v>
      </c>
      <c r="V15" s="11">
        <f>+('EV1-Nancy'!V15+'EV1-Francisca'!V15+'EV1-Alex Alvarado'!V15+'EV1-Alex Castillo'!V15+'EV1-Adalid'!V15+'EV1-Neptaly'!V15+'EV1-Milixa'!V15+'Jennifer Canales'!V15+'EV2-David Ramos'!V15+'EV2-Jhony Amador'!V15+'EV2-Norma Hernández'!V15+'EV2-Goel Garcia'!V15+'EV2-Nubia '!V15+'EV2-Zamir'!V15+'EV2-Yimi'!V15)/8</f>
        <v>0</v>
      </c>
      <c r="W15" s="11">
        <f>+('EV1-Nancy'!W15+'EV1-Francisca'!W15+'EV1-Alex Alvarado'!W15+'EV1-Alex Castillo'!W15+'EV1-Adalid'!W15+'EV1-Neptaly'!W15+'EV1-Milixa'!W15+'Jennifer Canales'!W15+'EV2-David Ramos'!W15+'EV2-Jhony Amador'!W15+'EV2-Norma Hernández'!W15+'EV2-Goel Garcia'!W15+'EV2-Nubia '!W15+'EV2-Zamir'!W15+'EV2-Yimi'!W15)/8</f>
        <v>0</v>
      </c>
      <c r="X15" s="11">
        <f>+('EV1-Nancy'!X15+'EV1-Francisca'!X15+'EV1-Alex Alvarado'!X15+'EV1-Alex Castillo'!X15+'EV1-Adalid'!X15+'EV1-Neptaly'!X15+'EV1-Milixa'!X15+'Jennifer Canales'!X15+'EV2-David Ramos'!X15+'EV2-Jhony Amador'!X15+'EV2-Norma Hernández'!X15+'EV2-Goel Garcia'!X15+'EV2-Nubia '!X15+'EV2-Zamir'!X15+'EV2-Yimi'!X15)/8</f>
        <v>0</v>
      </c>
      <c r="Y15" s="11">
        <f>+('EV1-Nancy'!Y15+'EV1-Francisca'!Y15+'EV1-Alex Alvarado'!Y15+'EV1-Alex Castillo'!Y15+'EV1-Adalid'!Y15+'EV1-Neptaly'!Y15+'EV1-Milixa'!Y15+'Jennifer Canales'!Y15+'EV2-David Ramos'!Y15+'EV2-Jhony Amador'!Y15+'EV2-Norma Hernández'!Y15+'EV2-Goel Garcia'!Y15+'EV2-Nubia '!Y15+'EV2-Zamir'!Y15+'EV2-Yimi'!Y15)/8</f>
        <v>0</v>
      </c>
      <c r="Z15" s="12">
        <f t="shared" si="4"/>
        <v>0</v>
      </c>
      <c r="AA15" s="30">
        <f t="shared" si="8"/>
        <v>0</v>
      </c>
      <c r="AB15" s="32">
        <f t="shared" si="6"/>
        <v>0</v>
      </c>
      <c r="AC15" s="63" t="s">
        <v>1051</v>
      </c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>
        <f>+'EV1-Nancy'!J16+'EV1-Francisca'!J16+'EV1-Alex Alvarado'!J16+'EV1-Alex Castillo'!J16+'EV1-Adalid'!J16+'EV1-Neptaly'!J16+'EV1-Milixa'!J16+'Jennifer Canales'!J16+'EV2-David Ramos'!J16+'EV2-Jhony Amador'!J16+'EV2-Norma Hernández'!J16+'EV2-Goel Garcia'!J16+'EV2-Nubia '!J16+'EV2-Zamir'!J16+'EV2-Yimi'!J16</f>
        <v>0</v>
      </c>
      <c r="K16" s="9">
        <f>+'EV1-Nancy'!K16+'EV1-Francisca'!K16+'EV1-Alex Alvarado'!K16+'EV1-Alex Castillo'!K16+'EV1-Adalid'!K16+'EV1-Neptaly'!K16+'EV1-Milixa'!K16+'Jennifer Canales'!K16+'EV2-David Ramos'!K16+'EV2-Jhony Amador'!K16+'EV2-Norma Hernández'!K16+'EV2-Goel Garcia'!K16+'EV2-Nubia '!K16+'EV2-Zamir'!K16+'EV2-Yimi'!K16</f>
        <v>0</v>
      </c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11">
        <f>+('EV1-Nancy'!U16+'EV1-Francisca'!U16+'EV1-Alex Alvarado'!U16+'EV1-Alex Castillo'!U16+'EV1-Adalid'!U16+'EV1-Neptaly'!U16+'EV1-Milixa'!U16+'Jennifer Canales'!U16+'EV2-David Ramos'!U16+'EV2-Jhony Amador'!U16+'EV2-Norma Hernández'!U16+'EV2-Goel Garcia'!U16+'EV2-Nubia '!U16+'EV2-Zamir'!U16+'EV2-Yimi'!U16)/8</f>
        <v>0</v>
      </c>
      <c r="V16" s="11">
        <f>+('EV1-Nancy'!V16+'EV1-Francisca'!V16+'EV1-Alex Alvarado'!V16+'EV1-Alex Castillo'!V16+'EV1-Adalid'!V16+'EV1-Neptaly'!V16+'EV1-Milixa'!V16+'Jennifer Canales'!V16+'EV2-David Ramos'!V16+'EV2-Jhony Amador'!V16+'EV2-Norma Hernández'!V16+'EV2-Goel Garcia'!V16+'EV2-Nubia '!V16+'EV2-Zamir'!V16+'EV2-Yimi'!V16)/8</f>
        <v>0</v>
      </c>
      <c r="W16" s="11">
        <f>+('EV1-Nancy'!W16+'EV1-Francisca'!W16+'EV1-Alex Alvarado'!W16+'EV1-Alex Castillo'!W16+'EV1-Adalid'!W16+'EV1-Neptaly'!W16+'EV1-Milixa'!W16+'Jennifer Canales'!W16+'EV2-David Ramos'!W16+'EV2-Jhony Amador'!W16+'EV2-Norma Hernández'!W16+'EV2-Goel Garcia'!W16+'EV2-Nubia '!W16+'EV2-Zamir'!W16+'EV2-Yimi'!W16)/8</f>
        <v>0</v>
      </c>
      <c r="X16" s="11">
        <f>+('EV1-Nancy'!X16+'EV1-Francisca'!X16+'EV1-Alex Alvarado'!X16+'EV1-Alex Castillo'!X16+'EV1-Adalid'!X16+'EV1-Neptaly'!X16+'EV1-Milixa'!X16+'Jennifer Canales'!X16+'EV2-David Ramos'!X16+'EV2-Jhony Amador'!X16+'EV2-Norma Hernández'!X16+'EV2-Goel Garcia'!X16+'EV2-Nubia '!X16+'EV2-Zamir'!X16+'EV2-Yimi'!X16)/8</f>
        <v>0</v>
      </c>
      <c r="Y16" s="11">
        <f>+('EV1-Nancy'!Y16+'EV1-Francisca'!Y16+'EV1-Alex Alvarado'!Y16+'EV1-Alex Castillo'!Y16+'EV1-Adalid'!Y16+'EV1-Neptaly'!Y16+'EV1-Milixa'!Y16+'Jennifer Canales'!Y16+'EV2-David Ramos'!Y16+'EV2-Jhony Amador'!Y16+'EV2-Norma Hernández'!Y16+'EV2-Goel Garcia'!Y16+'EV2-Nubia '!Y16+'EV2-Zamir'!Y16+'EV2-Yimi'!Y16)/8</f>
        <v>0</v>
      </c>
      <c r="Z16" s="12">
        <f t="shared" si="4"/>
        <v>0</v>
      </c>
      <c r="AA16" s="30">
        <f t="shared" si="8"/>
        <v>0</v>
      </c>
      <c r="AB16" s="32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>
        <f>+'EV1-Nancy'!J17+'EV1-Francisca'!J17+'EV1-Alex Alvarado'!J17+'EV1-Alex Castillo'!J17+'EV1-Adalid'!J17+'EV1-Neptaly'!J17+'EV1-Milixa'!J17+'Jennifer Canales'!J17+'EV2-David Ramos'!J17+'EV2-Jhony Amador'!J17+'EV2-Norma Hernández'!J17+'EV2-Goel Garcia'!J17+'EV2-Nubia '!J17+'EV2-Zamir'!J17+'EV2-Yimi'!J17</f>
        <v>512</v>
      </c>
      <c r="K17" s="9">
        <f>+'EV1-Nancy'!K17+'EV1-Francisca'!K17+'EV1-Alex Alvarado'!K17+'EV1-Alex Castillo'!K17+'EV1-Adalid'!K17+'EV1-Neptaly'!K17+'EV1-Milixa'!K17+'Jennifer Canales'!K17+'EV2-David Ramos'!K17+'EV2-Jhony Amador'!K17+'EV2-Norma Hernández'!K17+'EV2-Goel Garcia'!K17+'EV2-Nubia '!K17+'EV2-Zamir'!K17+'EV2-Yimi'!K17</f>
        <v>507</v>
      </c>
      <c r="L17" s="10">
        <f t="shared" si="0"/>
        <v>5</v>
      </c>
      <c r="M17" s="10"/>
      <c r="N17" s="10"/>
      <c r="O17" s="10"/>
      <c r="P17" s="38">
        <f t="shared" si="1"/>
        <v>99.0234375</v>
      </c>
      <c r="Q17" s="11"/>
      <c r="R17" s="11"/>
      <c r="S17" s="12">
        <f t="shared" si="2"/>
        <v>0</v>
      </c>
      <c r="T17" s="28">
        <f t="shared" si="3"/>
        <v>0</v>
      </c>
      <c r="U17" s="11">
        <f>+('EV1-Nancy'!U17+'EV1-Francisca'!U17+'EV1-Alex Alvarado'!U17+'EV1-Alex Castillo'!U17+'EV1-Adalid'!U17+'EV1-Neptaly'!U17+'EV1-Milixa'!U17+'Jennifer Canales'!U17+'EV2-David Ramos'!U17+'EV2-Jhony Amador'!U17+'EV2-Norma Hernández'!U17+'EV2-Goel Garcia'!U17+'EV2-Nubia '!U17+'EV2-Zamir'!U17+'EV2-Yimi'!U17)/8</f>
        <v>9.75</v>
      </c>
      <c r="V17" s="11">
        <f>+('EV1-Nancy'!V17+'EV1-Francisca'!V17+'EV1-Alex Alvarado'!V17+'EV1-Alex Castillo'!V17+'EV1-Adalid'!V17+'EV1-Neptaly'!V17+'EV1-Milixa'!V17+'Jennifer Canales'!V17+'EV2-David Ramos'!V17+'EV2-Jhony Amador'!V17+'EV2-Norma Hernández'!V17+'EV2-Goel Garcia'!V17+'EV2-Nubia '!V17+'EV2-Zamir'!V17+'EV2-Yimi'!V17)/8</f>
        <v>0</v>
      </c>
      <c r="W17" s="11">
        <f>+('EV1-Nancy'!W17+'EV1-Francisca'!W17+'EV1-Alex Alvarado'!W17+'EV1-Alex Castillo'!W17+'EV1-Adalid'!W17+'EV1-Neptaly'!W17+'EV1-Milixa'!W17+'Jennifer Canales'!W17+'EV2-David Ramos'!W17+'EV2-Jhony Amador'!W17+'EV2-Norma Hernández'!W17+'EV2-Goel Garcia'!W17+'EV2-Nubia '!W17+'EV2-Zamir'!W17+'EV2-Yimi'!W17)/8</f>
        <v>0</v>
      </c>
      <c r="X17" s="11">
        <f>+('EV1-Nancy'!X17+'EV1-Francisca'!X17+'EV1-Alex Alvarado'!X17+'EV1-Alex Castillo'!X17+'EV1-Adalid'!X17+'EV1-Neptaly'!X17+'EV1-Milixa'!X17+'Jennifer Canales'!X17+'EV2-David Ramos'!X17+'EV2-Jhony Amador'!X17+'EV2-Norma Hernández'!X17+'EV2-Goel Garcia'!X17+'EV2-Nubia '!X17+'EV2-Zamir'!X17+'EV2-Yimi'!X17)/8</f>
        <v>0</v>
      </c>
      <c r="Y17" s="11">
        <f>+('EV1-Nancy'!Y17+'EV1-Francisca'!Y17+'EV1-Alex Alvarado'!Y17+'EV1-Alex Castillo'!Y17+'EV1-Adalid'!Y17+'EV1-Neptaly'!Y17+'EV1-Milixa'!Y17+'Jennifer Canales'!Y17+'EV2-David Ramos'!Y17+'EV2-Jhony Amador'!Y17+'EV2-Norma Hernández'!Y17+'EV2-Goel Garcia'!Y17+'EV2-Nubia '!Y17+'EV2-Zamir'!Y17+'EV2-Yimi'!Y17)/8</f>
        <v>9.375</v>
      </c>
      <c r="Z17" s="12">
        <f t="shared" si="4"/>
        <v>19.125</v>
      </c>
      <c r="AA17" s="30">
        <f t="shared" si="8"/>
        <v>95.625</v>
      </c>
      <c r="AB17" s="32">
        <f t="shared" si="6"/>
        <v>64.8828125</v>
      </c>
      <c r="AC17" s="63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>
        <f>+'EV1-Nancy'!J18+'EV1-Francisca'!J18+'EV1-Alex Alvarado'!J18+'EV1-Alex Castillo'!J18+'EV1-Adalid'!J18+'EV1-Neptaly'!J18+'EV1-Milixa'!J18+'Jennifer Canales'!J18+'EV2-David Ramos'!J18+'EV2-Jhony Amador'!J18+'EV2-Norma Hernández'!J18+'EV2-Goel Garcia'!J18+'EV2-Nubia '!J18+'EV2-Zamir'!J18+'EV2-Yimi'!J18</f>
        <v>0</v>
      </c>
      <c r="K18" s="9">
        <f>+'EV1-Nancy'!K18+'EV1-Francisca'!K18+'EV1-Alex Alvarado'!K18+'EV1-Alex Castillo'!K18+'EV1-Adalid'!K18+'EV1-Neptaly'!K18+'EV1-Milixa'!K18+'Jennifer Canales'!K18+'EV2-David Ramos'!K18+'EV2-Jhony Amador'!K18+'EV2-Norma Hernández'!K18+'EV2-Goel Garcia'!K18+'EV2-Nubia '!K18+'EV2-Zamir'!K18+'EV2-Yimi'!K18</f>
        <v>0</v>
      </c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11">
        <f>+('EV1-Nancy'!U18+'EV1-Francisca'!U18+'EV1-Alex Alvarado'!U18+'EV1-Alex Castillo'!U18+'EV1-Adalid'!U18+'EV1-Neptaly'!U18+'EV1-Milixa'!U18+'Jennifer Canales'!U18+'EV2-David Ramos'!U18+'EV2-Jhony Amador'!U18+'EV2-Norma Hernández'!U18+'EV2-Goel Garcia'!U18+'EV2-Nubia '!U18+'EV2-Zamir'!U18+'EV2-Yimi'!U18)/8</f>
        <v>0</v>
      </c>
      <c r="V18" s="11">
        <f>+('EV1-Nancy'!V18+'EV1-Francisca'!V18+'EV1-Alex Alvarado'!V18+'EV1-Alex Castillo'!V18+'EV1-Adalid'!V18+'EV1-Neptaly'!V18+'EV1-Milixa'!V18+'Jennifer Canales'!V18+'EV2-David Ramos'!V18+'EV2-Jhony Amador'!V18+'EV2-Norma Hernández'!V18+'EV2-Goel Garcia'!V18+'EV2-Nubia '!V18+'EV2-Zamir'!V18+'EV2-Yimi'!V18)/8</f>
        <v>0</v>
      </c>
      <c r="W18" s="11">
        <f>+('EV1-Nancy'!W18+'EV1-Francisca'!W18+'EV1-Alex Alvarado'!W18+'EV1-Alex Castillo'!W18+'EV1-Adalid'!W18+'EV1-Neptaly'!W18+'EV1-Milixa'!W18+'Jennifer Canales'!W18+'EV2-David Ramos'!W18+'EV2-Jhony Amador'!W18+'EV2-Norma Hernández'!W18+'EV2-Goel Garcia'!W18+'EV2-Nubia '!W18+'EV2-Zamir'!W18+'EV2-Yimi'!W18)/8</f>
        <v>0</v>
      </c>
      <c r="X18" s="11">
        <f>+('EV1-Nancy'!X18+'EV1-Francisca'!X18+'EV1-Alex Alvarado'!X18+'EV1-Alex Castillo'!X18+'EV1-Adalid'!X18+'EV1-Neptaly'!X18+'EV1-Milixa'!X18+'Jennifer Canales'!X18+'EV2-David Ramos'!X18+'EV2-Jhony Amador'!X18+'EV2-Norma Hernández'!X18+'EV2-Goel Garcia'!X18+'EV2-Nubia '!X18+'EV2-Zamir'!X18+'EV2-Yimi'!X18)/8</f>
        <v>0</v>
      </c>
      <c r="Y18" s="11">
        <f>+('EV1-Nancy'!Y18+'EV1-Francisca'!Y18+'EV1-Alex Alvarado'!Y18+'EV1-Alex Castillo'!Y18+'EV1-Adalid'!Y18+'EV1-Neptaly'!Y18+'EV1-Milixa'!Y18+'Jennifer Canales'!Y18+'EV2-David Ramos'!Y18+'EV2-Jhony Amador'!Y18+'EV2-Norma Hernández'!Y18+'EV2-Goel Garcia'!Y18+'EV2-Nubia '!Y18+'EV2-Zamir'!Y18+'EV2-Yimi'!Y18)/8</f>
        <v>0</v>
      </c>
      <c r="Z18" s="12">
        <f t="shared" si="4"/>
        <v>0</v>
      </c>
      <c r="AA18" s="30">
        <f t="shared" si="8"/>
        <v>0</v>
      </c>
      <c r="AB18" s="32">
        <f t="shared" si="6"/>
        <v>0</v>
      </c>
      <c r="AC18" s="64"/>
    </row>
    <row r="19" spans="1:29" ht="41.4" x14ac:dyDescent="0.3">
      <c r="A19" s="24" t="s">
        <v>35</v>
      </c>
      <c r="B19" s="24"/>
      <c r="C19" s="24" t="s">
        <v>843</v>
      </c>
      <c r="D19" s="23" t="s">
        <v>862</v>
      </c>
      <c r="E19" s="20"/>
      <c r="F19" s="21"/>
      <c r="G19" s="23"/>
      <c r="H19" s="23"/>
      <c r="I19" s="3" t="s">
        <v>77</v>
      </c>
      <c r="J19" s="9">
        <f>+'EV1-Nancy'!J19+'EV1-Francisca'!J19+'EV1-Alex Alvarado'!J19+'EV1-Alex Castillo'!J19+'EV1-Adalid'!J19+'EV1-Neptaly'!J19+'EV1-Milixa'!J19+'Jennifer Canales'!J19+'EV2-David Ramos'!J19+'EV2-Jhony Amador'!J19+'EV2-Norma Hernández'!J19+'EV2-Goel Garcia'!J19+'EV2-Nubia '!J19+'EV2-Zamir'!J19+'EV2-Yimi'!J19</f>
        <v>139</v>
      </c>
      <c r="K19" s="9">
        <f>+'EV1-Nancy'!K19+'EV1-Francisca'!K19+'EV1-Alex Alvarado'!K19+'EV1-Alex Castillo'!K19+'EV1-Adalid'!K19+'EV1-Neptaly'!K19+'EV1-Milixa'!K19+'Jennifer Canales'!K19+'EV2-David Ramos'!K19+'EV2-Jhony Amador'!K19+'EV2-Norma Hernández'!K19+'EV2-Goel Garcia'!K19+'EV2-Nubia '!K19+'EV2-Zamir'!K19+'EV2-Yimi'!K19</f>
        <v>62</v>
      </c>
      <c r="L19" s="10">
        <v>0</v>
      </c>
      <c r="M19" s="10"/>
      <c r="N19" s="10"/>
      <c r="O19" s="10"/>
      <c r="P19" s="38">
        <f t="shared" si="1"/>
        <v>44.60431654676259</v>
      </c>
      <c r="Q19" s="11"/>
      <c r="R19" s="11"/>
      <c r="S19" s="12">
        <f t="shared" si="2"/>
        <v>0</v>
      </c>
      <c r="T19" s="28">
        <f t="shared" si="3"/>
        <v>0</v>
      </c>
      <c r="U19" s="11">
        <f>+('EV1-Nancy'!U19+'EV1-Francisca'!U19+'EV1-Alex Alvarado'!U19+'EV1-Alex Castillo'!U19+'EV1-Adalid'!U19+'EV1-Neptaly'!U19+'EV1-Milixa'!U19+'Jennifer Canales'!U19+'EV2-David Ramos'!U19+'EV2-Jhony Amador'!U19+'EV2-Norma Hernández'!U19+'EV2-Goel Garcia'!U19+'EV2-Nubia '!U19+'EV2-Zamir'!U19+'EV2-Yimi'!U19)/8</f>
        <v>4.625</v>
      </c>
      <c r="V19" s="11">
        <f>+('EV1-Nancy'!V19+'EV1-Francisca'!V19+'EV1-Alex Alvarado'!V19+'EV1-Alex Castillo'!V19+'EV1-Adalid'!V19+'EV1-Neptaly'!V19+'EV1-Milixa'!V19+'Jennifer Canales'!V19+'EV2-David Ramos'!V19+'EV2-Jhony Amador'!V19+'EV2-Norma Hernández'!V19+'EV2-Goel Garcia'!V19+'EV2-Nubia '!V19+'EV2-Zamir'!V19+'EV2-Yimi'!V19)/8</f>
        <v>0</v>
      </c>
      <c r="W19" s="11">
        <f>+('EV1-Nancy'!W19+'EV1-Francisca'!W19+'EV1-Alex Alvarado'!W19+'EV1-Alex Castillo'!W19+'EV1-Adalid'!W19+'EV1-Neptaly'!W19+'EV1-Milixa'!W19+'Jennifer Canales'!W19+'EV2-David Ramos'!W19+'EV2-Jhony Amador'!W19+'EV2-Norma Hernández'!W19+'EV2-Goel Garcia'!W19+'EV2-Nubia '!W19+'EV2-Zamir'!W19+'EV2-Yimi'!W19)/8</f>
        <v>0</v>
      </c>
      <c r="X19" s="11">
        <f>+('EV1-Nancy'!X19+'EV1-Francisca'!X19+'EV1-Alex Alvarado'!X19+'EV1-Alex Castillo'!X19+'EV1-Adalid'!X19+'EV1-Neptaly'!X19+'EV1-Milixa'!X19+'Jennifer Canales'!X19+'EV2-David Ramos'!X19+'EV2-Jhony Amador'!X19+'EV2-Norma Hernández'!X19+'EV2-Goel Garcia'!X19+'EV2-Nubia '!X19+'EV2-Zamir'!X19+'EV2-Yimi'!X19)/8</f>
        <v>0</v>
      </c>
      <c r="Y19" s="11">
        <f>+('EV1-Nancy'!Y19+'EV1-Francisca'!Y19+'EV1-Alex Alvarado'!Y19+'EV1-Alex Castillo'!Y19+'EV1-Adalid'!Y19+'EV1-Neptaly'!Y19+'EV1-Milixa'!Y19+'Jennifer Canales'!Y19+'EV2-David Ramos'!Y19+'EV2-Jhony Amador'!Y19+'EV2-Norma Hernández'!Y19+'EV2-Goel Garcia'!Y19+'EV2-Nubia '!Y19+'EV2-Zamir'!Y19+'EV2-Yimi'!Y19)/8</f>
        <v>10</v>
      </c>
      <c r="Z19" s="12">
        <f t="shared" ref="Z19:Z20" si="10">+U19+Y19</f>
        <v>14.625</v>
      </c>
      <c r="AA19" s="30">
        <f t="shared" si="8"/>
        <v>73.125</v>
      </c>
      <c r="AB19" s="32">
        <f t="shared" ref="AB19:AB20" si="11">+(P19+AA19)/2</f>
        <v>58.864658273381295</v>
      </c>
      <c r="AC19" s="63" t="s">
        <v>1052</v>
      </c>
    </row>
    <row r="20" spans="1:29" ht="27.6" x14ac:dyDescent="0.3">
      <c r="A20" s="24" t="s">
        <v>35</v>
      </c>
      <c r="B20" s="24"/>
      <c r="C20" s="24" t="s">
        <v>853</v>
      </c>
      <c r="D20" s="23" t="s">
        <v>862</v>
      </c>
      <c r="E20" s="20"/>
      <c r="F20" s="21"/>
      <c r="G20" s="23"/>
      <c r="H20" s="23"/>
      <c r="I20" s="3" t="s">
        <v>78</v>
      </c>
      <c r="J20" s="9">
        <f>+'EV1-Nancy'!J20+'EV1-Francisca'!J20+'EV1-Alex Alvarado'!J20+'EV1-Alex Castillo'!J20+'EV1-Adalid'!J20+'EV1-Neptaly'!J20+'EV1-Milixa'!J20+'Jennifer Canales'!J20+'EV2-David Ramos'!J20+'EV2-Jhony Amador'!J20+'EV2-Norma Hernández'!J20+'EV2-Goel Garcia'!J20+'EV2-Nubia '!J20+'EV2-Zamir'!J20+'EV2-Yimi'!J20</f>
        <v>9</v>
      </c>
      <c r="K20" s="9">
        <f>+'EV1-Nancy'!K20+'EV1-Francisca'!K20+'EV1-Alex Alvarado'!K20+'EV1-Alex Castillo'!K20+'EV1-Adalid'!K20+'EV1-Neptaly'!K20+'EV1-Milixa'!K20+'Jennifer Canales'!K20+'EV2-David Ramos'!K20+'EV2-Jhony Amador'!K20+'EV2-Norma Hernández'!K20+'EV2-Goel Garcia'!K20+'EV2-Nubia '!K20+'EV2-Zamir'!K20+'EV2-Yimi'!K20</f>
        <v>9</v>
      </c>
      <c r="L20" s="10">
        <f t="shared" si="0"/>
        <v>0</v>
      </c>
      <c r="M20" s="10"/>
      <c r="N20" s="10"/>
      <c r="O20" s="10"/>
      <c r="P20" s="38">
        <f t="shared" si="1"/>
        <v>100</v>
      </c>
      <c r="Q20" s="11"/>
      <c r="R20" s="11"/>
      <c r="S20" s="12">
        <f t="shared" si="2"/>
        <v>0</v>
      </c>
      <c r="T20" s="28">
        <f t="shared" si="3"/>
        <v>0</v>
      </c>
      <c r="U20" s="11">
        <f>+('EV1-Nancy'!U20+'EV1-Francisca'!U20+'EV1-Alex Alvarado'!U20+'EV1-Alex Castillo'!U20+'EV1-Adalid'!U20+'EV1-Neptaly'!U20+'EV1-Milixa'!U20+'Jennifer Canales'!U20+'EV2-David Ramos'!U20+'EV2-Jhony Amador'!U20+'EV2-Norma Hernández'!U20+'EV2-Goel Garcia'!U20+'EV2-Nubia '!U20+'EV2-Zamir'!U20+'EV2-Yimi'!U20)/8</f>
        <v>9.375</v>
      </c>
      <c r="V20" s="11">
        <f>+('EV1-Nancy'!V20+'EV1-Francisca'!V20+'EV1-Alex Alvarado'!V20+'EV1-Alex Castillo'!V20+'EV1-Adalid'!V20+'EV1-Neptaly'!V20+'EV1-Milixa'!V20+'Jennifer Canales'!V20+'EV2-David Ramos'!V20+'EV2-Jhony Amador'!V20+'EV2-Norma Hernández'!V20+'EV2-Goel Garcia'!V20+'EV2-Nubia '!V20+'EV2-Zamir'!V20+'EV2-Yimi'!V20)/8</f>
        <v>0</v>
      </c>
      <c r="W20" s="11">
        <f>+('EV1-Nancy'!W20+'EV1-Francisca'!W20+'EV1-Alex Alvarado'!W20+'EV1-Alex Castillo'!W20+'EV1-Adalid'!W20+'EV1-Neptaly'!W20+'EV1-Milixa'!W20+'Jennifer Canales'!W20+'EV2-David Ramos'!W20+'EV2-Jhony Amador'!W20+'EV2-Norma Hernández'!W20+'EV2-Goel Garcia'!W20+'EV2-Nubia '!W20+'EV2-Zamir'!W20+'EV2-Yimi'!W20)/8</f>
        <v>0</v>
      </c>
      <c r="X20" s="11">
        <f>+('EV1-Nancy'!X20+'EV1-Francisca'!X20+'EV1-Alex Alvarado'!X20+'EV1-Alex Castillo'!X20+'EV1-Adalid'!X20+'EV1-Neptaly'!X20+'EV1-Milixa'!X20+'Jennifer Canales'!X20+'EV2-David Ramos'!X20+'EV2-Jhony Amador'!X20+'EV2-Norma Hernández'!X20+'EV2-Goel Garcia'!X20+'EV2-Nubia '!X20+'EV2-Zamir'!X20+'EV2-Yimi'!X20)/8</f>
        <v>0</v>
      </c>
      <c r="Y20" s="11">
        <f>+('EV1-Nancy'!Y20+'EV1-Francisca'!Y20+'EV1-Alex Alvarado'!Y20+'EV1-Alex Castillo'!Y20+'EV1-Adalid'!Y20+'EV1-Neptaly'!Y20+'EV1-Milixa'!Y20+'Jennifer Canales'!Y20+'EV2-David Ramos'!Y20+'EV2-Jhony Amador'!Y20+'EV2-Norma Hernández'!Y20+'EV2-Goel Garcia'!Y20+'EV2-Nubia '!Y20+'EV2-Zamir'!Y20+'EV2-Yimi'!Y20)/8</f>
        <v>10</v>
      </c>
      <c r="Z20" s="12">
        <f t="shared" si="10"/>
        <v>19.375</v>
      </c>
      <c r="AA20" s="30">
        <f t="shared" si="8"/>
        <v>96.875</v>
      </c>
      <c r="AB20" s="32">
        <f t="shared" si="11"/>
        <v>98.4375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>
        <f>+'EV1-Nancy'!J21+'EV1-Francisca'!J21+'EV1-Alex Alvarado'!J21+'EV1-Alex Castillo'!J21+'EV1-Adalid'!J21+'EV1-Neptaly'!J21+'EV1-Milixa'!J21+'Jennifer Canales'!J21+'EV2-David Ramos'!J21+'EV2-Jhony Amador'!J21+'EV2-Norma Hernández'!J21+'EV2-Goel Garcia'!J21+'EV2-Nubia '!J21+'EV2-Zamir'!J21+'EV2-Yimi'!J21</f>
        <v>1</v>
      </c>
      <c r="K21" s="9">
        <f>+'EV1-Nancy'!K21+'EV1-Francisca'!K21+'EV1-Alex Alvarado'!K21+'EV1-Alex Castillo'!K21+'EV1-Adalid'!K21+'EV1-Neptaly'!K21+'EV1-Milixa'!K21+'Jennifer Canales'!K21+'EV2-David Ramos'!K21+'EV2-Jhony Amador'!K21+'EV2-Norma Hernández'!K21+'EV2-Goel Garcia'!K21+'EV2-Nubia '!K21+'EV2-Zamir'!K21+'EV2-Yimi'!K21</f>
        <v>1</v>
      </c>
      <c r="L21" s="10">
        <f t="shared" si="0"/>
        <v>0</v>
      </c>
      <c r="M21" s="10"/>
      <c r="N21" s="10"/>
      <c r="O21" s="10"/>
      <c r="P21" s="38">
        <f t="shared" si="1"/>
        <v>100</v>
      </c>
      <c r="Q21" s="11"/>
      <c r="R21" s="11"/>
      <c r="S21" s="12">
        <f t="shared" si="2"/>
        <v>0</v>
      </c>
      <c r="T21" s="28">
        <f t="shared" si="3"/>
        <v>0</v>
      </c>
      <c r="U21" s="11">
        <f>+('EV1-Nancy'!U21+'EV1-Francisca'!U21+'EV1-Alex Alvarado'!U21+'EV1-Alex Castillo'!U21+'EV1-Adalid'!U21+'EV1-Neptaly'!U21+'EV1-Milixa'!U21+'Jennifer Canales'!U21+'EV2-David Ramos'!U21+'EV2-Jhony Amador'!U21+'EV2-Norma Hernández'!U21+'EV2-Goel Garcia'!U21+'EV2-Nubia '!U21+'EV2-Zamir'!U21+'EV2-Yimi'!U21)/8</f>
        <v>0</v>
      </c>
      <c r="V21" s="11">
        <f>+('EV1-Nancy'!V21+'EV1-Francisca'!V21+'EV1-Alex Alvarado'!V21+'EV1-Alex Castillo'!V21+'EV1-Adalid'!V21+'EV1-Neptaly'!V21+'EV1-Milixa'!V21+'Jennifer Canales'!V21+'EV2-David Ramos'!V21+'EV2-Jhony Amador'!V21+'EV2-Norma Hernández'!V21+'EV2-Goel Garcia'!V21+'EV2-Nubia '!V21+'EV2-Zamir'!V21+'EV2-Yimi'!V21)/8</f>
        <v>0</v>
      </c>
      <c r="W21" s="11">
        <f>+('EV1-Nancy'!W21+'EV1-Francisca'!W21+'EV1-Alex Alvarado'!W21+'EV1-Alex Castillo'!W21+'EV1-Adalid'!W21+'EV1-Neptaly'!W21+'EV1-Milixa'!W21+'Jennifer Canales'!W21+'EV2-David Ramos'!W21+'EV2-Jhony Amador'!W21+'EV2-Norma Hernández'!W21+'EV2-Goel Garcia'!W21+'EV2-Nubia '!W21+'EV2-Zamir'!W21+'EV2-Yimi'!W21)/8</f>
        <v>0</v>
      </c>
      <c r="X21" s="11">
        <f>+('EV1-Nancy'!X21+'EV1-Francisca'!X21+'EV1-Alex Alvarado'!X21+'EV1-Alex Castillo'!X21+'EV1-Adalid'!X21+'EV1-Neptaly'!X21+'EV1-Milixa'!X21+'Jennifer Canales'!X21+'EV2-David Ramos'!X21+'EV2-Jhony Amador'!X21+'EV2-Norma Hernández'!X21+'EV2-Goel Garcia'!X21+'EV2-Nubia '!X21+'EV2-Zamir'!X21+'EV2-Yimi'!X21)/8</f>
        <v>0</v>
      </c>
      <c r="Y21" s="11">
        <f>+('EV1-Nancy'!Y21+'EV1-Francisca'!Y21+'EV1-Alex Alvarado'!Y21+'EV1-Alex Castillo'!Y21+'EV1-Adalid'!Y21+'EV1-Neptaly'!Y21+'EV1-Milixa'!Y21+'Jennifer Canales'!Y21+'EV2-David Ramos'!Y21+'EV2-Jhony Amador'!Y21+'EV2-Norma Hernández'!Y21+'EV2-Goel Garcia'!Y21+'EV2-Nubia '!Y21+'EV2-Zamir'!Y21+'EV2-Yimi'!Y21)/8</f>
        <v>0</v>
      </c>
      <c r="Z21" s="12">
        <f t="shared" si="4"/>
        <v>0</v>
      </c>
      <c r="AA21" s="30">
        <f t="shared" si="8"/>
        <v>0</v>
      </c>
      <c r="AB21" s="32">
        <f t="shared" si="6"/>
        <v>33.333333333333336</v>
      </c>
      <c r="AC21" s="64"/>
    </row>
    <row r="22" spans="1:29" ht="27.6" x14ac:dyDescent="0.3">
      <c r="A22" s="24" t="s">
        <v>79</v>
      </c>
      <c r="B22" s="24" t="s">
        <v>35</v>
      </c>
      <c r="C22" s="24" t="s">
        <v>843</v>
      </c>
      <c r="D22" s="23" t="s">
        <v>862</v>
      </c>
      <c r="E22" s="20"/>
      <c r="F22" s="21"/>
      <c r="G22" s="23"/>
      <c r="H22" s="23"/>
      <c r="I22" s="3" t="s">
        <v>88</v>
      </c>
      <c r="J22" s="9">
        <f>+'EV1-Nancy'!J22+'EV1-Francisca'!J22+'EV1-Alex Alvarado'!J22+'EV1-Alex Castillo'!J22+'EV1-Adalid'!J22+'EV1-Neptaly'!J22+'EV1-Milixa'!J22+'Jennifer Canales'!J22+'EV2-David Ramos'!J22+'EV2-Jhony Amador'!J22+'EV2-Norma Hernández'!J22+'EV2-Goel Garcia'!J22+'EV2-Nubia '!J22+'EV2-Zamir'!J22+'EV2-Yimi'!J22</f>
        <v>8</v>
      </c>
      <c r="K22" s="9">
        <f>+'EV1-Nancy'!K22+'EV1-Francisca'!K22+'EV1-Alex Alvarado'!K22+'EV1-Alex Castillo'!K22+'EV1-Adalid'!K22+'EV1-Neptaly'!K22+'EV1-Milixa'!K22+'Jennifer Canales'!K22+'EV2-David Ramos'!K22+'EV2-Jhony Amador'!K22+'EV2-Norma Hernández'!K22+'EV2-Goel Garcia'!K22+'EV2-Nubia '!K22+'EV2-Zamir'!K22+'EV2-Yimi'!K22</f>
        <v>8</v>
      </c>
      <c r="L22" s="10">
        <f t="shared" si="0"/>
        <v>0</v>
      </c>
      <c r="M22" s="10"/>
      <c r="N22" s="10"/>
      <c r="O22" s="10"/>
      <c r="P22" s="38">
        <f t="shared" si="1"/>
        <v>100</v>
      </c>
      <c r="Q22" s="11"/>
      <c r="R22" s="11"/>
      <c r="S22" s="12">
        <f t="shared" si="2"/>
        <v>0</v>
      </c>
      <c r="T22" s="28">
        <f t="shared" si="3"/>
        <v>0</v>
      </c>
      <c r="U22" s="11">
        <f>+('EV1-Nancy'!U22+'EV1-Francisca'!U22+'EV1-Alex Alvarado'!U22+'EV1-Alex Castillo'!U22+'EV1-Adalid'!U22+'EV1-Neptaly'!U22+'EV1-Milixa'!U22+'Jennifer Canales'!U22+'EV2-David Ramos'!U22+'EV2-Jhony Amador'!U22+'EV2-Norma Hernández'!U22+'EV2-Goel Garcia'!U22+'EV2-Nubia '!U22+'EV2-Zamir'!U22+'EV2-Yimi'!U22)/8</f>
        <v>8.75</v>
      </c>
      <c r="V22" s="11">
        <f>+('EV1-Nancy'!V22+'EV1-Francisca'!V22+'EV1-Alex Alvarado'!V22+'EV1-Alex Castillo'!V22+'EV1-Adalid'!V22+'EV1-Neptaly'!V22+'EV1-Milixa'!V22+'Jennifer Canales'!V22+'EV2-David Ramos'!V22+'EV2-Jhony Amador'!V22+'EV2-Norma Hernández'!V22+'EV2-Goel Garcia'!V22+'EV2-Nubia '!V22+'EV2-Zamir'!V22+'EV2-Yimi'!V22)/8</f>
        <v>0</v>
      </c>
      <c r="W22" s="11">
        <f>+('EV1-Nancy'!W22+'EV1-Francisca'!W22+'EV1-Alex Alvarado'!W22+'EV1-Alex Castillo'!W22+'EV1-Adalid'!W22+'EV1-Neptaly'!W22+'EV1-Milixa'!W22+'Jennifer Canales'!W22+'EV2-David Ramos'!W22+'EV2-Jhony Amador'!W22+'EV2-Norma Hernández'!W22+'EV2-Goel Garcia'!W22+'EV2-Nubia '!W22+'EV2-Zamir'!W22+'EV2-Yimi'!W22)/8</f>
        <v>0</v>
      </c>
      <c r="X22" s="11">
        <f>+('EV1-Nancy'!X22+'EV1-Francisca'!X22+'EV1-Alex Alvarado'!X22+'EV1-Alex Castillo'!X22+'EV1-Adalid'!X22+'EV1-Neptaly'!X22+'EV1-Milixa'!X22+'Jennifer Canales'!X22+'EV2-David Ramos'!X22+'EV2-Jhony Amador'!X22+'EV2-Norma Hernández'!X22+'EV2-Goel Garcia'!X22+'EV2-Nubia '!X22+'EV2-Zamir'!X22+'EV2-Yimi'!X22)/8</f>
        <v>0</v>
      </c>
      <c r="Y22" s="11">
        <f>+('EV1-Nancy'!Y22+'EV1-Francisca'!Y22+'EV1-Alex Alvarado'!Y22+'EV1-Alex Castillo'!Y22+'EV1-Adalid'!Y22+'EV1-Neptaly'!Y22+'EV1-Milixa'!Y22+'Jennifer Canales'!Y22+'EV2-David Ramos'!Y22+'EV2-Jhony Amador'!Y22+'EV2-Norma Hernández'!Y22+'EV2-Goel Garcia'!Y22+'EV2-Nubia '!Y22+'EV2-Zamir'!Y22+'EV2-Yimi'!Y22)/8</f>
        <v>8.75</v>
      </c>
      <c r="Z22" s="12">
        <f>+U22+Y22</f>
        <v>17.5</v>
      </c>
      <c r="AA22" s="30">
        <f t="shared" si="8"/>
        <v>87.5</v>
      </c>
      <c r="AB22" s="32">
        <f>+(P22+AA22)/2</f>
        <v>93.75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>
        <f>+'EV1-Nancy'!J23+'EV1-Francisca'!J23+'EV1-Alex Alvarado'!J23+'EV1-Alex Castillo'!J23+'EV1-Adalid'!J23+'EV1-Neptaly'!J23+'EV1-Milixa'!J23+'Jennifer Canales'!J23+'EV2-David Ramos'!J23+'EV2-Jhony Amador'!J23+'EV2-Norma Hernández'!J23+'EV2-Goel Garcia'!J23+'EV2-Nubia '!J23+'EV2-Zamir'!J23+'EV2-Yimi'!J23</f>
        <v>0</v>
      </c>
      <c r="K23" s="9">
        <f>+'EV1-Nancy'!K23+'EV1-Francisca'!K23+'EV1-Alex Alvarado'!K23+'EV1-Alex Castillo'!K23+'EV1-Adalid'!K23+'EV1-Neptaly'!K23+'EV1-Milixa'!K23+'Jennifer Canales'!K23+'EV2-David Ramos'!K23+'EV2-Jhony Amador'!K23+'EV2-Norma Hernández'!K23+'EV2-Goel Garcia'!K23+'EV2-Nubia '!K23+'EV2-Zamir'!K23+'EV2-Yimi'!K23</f>
        <v>0</v>
      </c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11">
        <f>+('EV1-Nancy'!U23+'EV1-Francisca'!U23+'EV1-Alex Alvarado'!U23+'EV1-Alex Castillo'!U23+'EV1-Adalid'!U23+'EV1-Neptaly'!U23+'EV1-Milixa'!U23+'Jennifer Canales'!U23+'EV2-David Ramos'!U23+'EV2-Jhony Amador'!U23+'EV2-Norma Hernández'!U23+'EV2-Goel Garcia'!U23+'EV2-Nubia '!U23+'EV2-Zamir'!U23+'EV2-Yimi'!U23)/8</f>
        <v>0</v>
      </c>
      <c r="V23" s="11">
        <f>+('EV1-Nancy'!V23+'EV1-Francisca'!V23+'EV1-Alex Alvarado'!V23+'EV1-Alex Castillo'!V23+'EV1-Adalid'!V23+'EV1-Neptaly'!V23+'EV1-Milixa'!V23+'Jennifer Canales'!V23+'EV2-David Ramos'!V23+'EV2-Jhony Amador'!V23+'EV2-Norma Hernández'!V23+'EV2-Goel Garcia'!V23+'EV2-Nubia '!V23+'EV2-Zamir'!V23+'EV2-Yimi'!V23)/8</f>
        <v>0</v>
      </c>
      <c r="W23" s="11">
        <f>+('EV1-Nancy'!W23+'EV1-Francisca'!W23+'EV1-Alex Alvarado'!W23+'EV1-Alex Castillo'!W23+'EV1-Adalid'!W23+'EV1-Neptaly'!W23+'EV1-Milixa'!W23+'Jennifer Canales'!W23+'EV2-David Ramos'!W23+'EV2-Jhony Amador'!W23+'EV2-Norma Hernández'!W23+'EV2-Goel Garcia'!W23+'EV2-Nubia '!W23+'EV2-Zamir'!W23+'EV2-Yimi'!W23)/8</f>
        <v>0</v>
      </c>
      <c r="X23" s="11">
        <f>+('EV1-Nancy'!X23+'EV1-Francisca'!X23+'EV1-Alex Alvarado'!X23+'EV1-Alex Castillo'!X23+'EV1-Adalid'!X23+'EV1-Neptaly'!X23+'EV1-Milixa'!X23+'Jennifer Canales'!X23+'EV2-David Ramos'!X23+'EV2-Jhony Amador'!X23+'EV2-Norma Hernández'!X23+'EV2-Goel Garcia'!X23+'EV2-Nubia '!X23+'EV2-Zamir'!X23+'EV2-Yimi'!X23)/8</f>
        <v>0</v>
      </c>
      <c r="Y23" s="11">
        <f>+('EV1-Nancy'!Y23+'EV1-Francisca'!Y23+'EV1-Alex Alvarado'!Y23+'EV1-Alex Castillo'!Y23+'EV1-Adalid'!Y23+'EV1-Neptaly'!Y23+'EV1-Milixa'!Y23+'Jennifer Canales'!Y23+'EV2-David Ramos'!Y23+'EV2-Jhony Amador'!Y23+'EV2-Norma Hernández'!Y23+'EV2-Goel Garcia'!Y23+'EV2-Nubia '!Y23+'EV2-Zamir'!Y23+'EV2-Yimi'!Y23)/8</f>
        <v>0</v>
      </c>
      <c r="Z23" s="12">
        <f t="shared" si="4"/>
        <v>0</v>
      </c>
      <c r="AA23" s="30">
        <f t="shared" si="8"/>
        <v>0</v>
      </c>
      <c r="AB23" s="32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f>+'EV1-Nancy'!J24+'EV1-Francisca'!J24+'EV1-Alex Alvarado'!J24+'EV1-Alex Castillo'!J24+'EV1-Adalid'!J24+'EV1-Neptaly'!J24+'EV1-Milixa'!J24+'Jennifer Canales'!J24+'EV2-David Ramos'!J24+'EV2-Jhony Amador'!J24+'EV2-Norma Hernández'!J24+'EV2-Goel Garcia'!J24+'EV2-Nubia '!J24+'EV2-Zamir'!J24+'EV2-Yimi'!J24</f>
        <v>15</v>
      </c>
      <c r="K24" s="9">
        <f>+'EV1-Nancy'!K24+'EV1-Francisca'!K24+'EV1-Alex Alvarado'!K24+'EV1-Alex Castillo'!K24+'EV1-Adalid'!K24+'EV1-Neptaly'!K24+'EV1-Milixa'!K24+'Jennifer Canales'!K24+'EV2-David Ramos'!K24+'EV2-Jhony Amador'!K24+'EV2-Norma Hernández'!K24+'EV2-Goel Garcia'!K24+'EV2-Nubia '!K24+'EV2-Zamir'!K24+'EV2-Yimi'!K24</f>
        <v>15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11">
        <f>+('EV1-Nancy'!U24+'EV1-Francisca'!U24+'EV1-Alex Alvarado'!U24+'EV1-Alex Castillo'!U24+'EV1-Adalid'!U24+'EV1-Neptaly'!U24+'EV1-Milixa'!U24+'Jennifer Canales'!U24+'EV2-David Ramos'!U24+'EV2-Jhony Amador'!U24+'EV2-Norma Hernández'!U24+'EV2-Goel Garcia'!U24+'EV2-Nubia '!U24+'EV2-Zamir'!U24+'EV2-Yimi'!U24)/8</f>
        <v>18.625</v>
      </c>
      <c r="V24" s="11">
        <f>+('EV1-Nancy'!V24+'EV1-Francisca'!V24+'EV1-Alex Alvarado'!V24+'EV1-Alex Castillo'!V24+'EV1-Adalid'!V24+'EV1-Neptaly'!V24+'EV1-Milixa'!V24+'Jennifer Canales'!V24+'EV2-David Ramos'!V24+'EV2-Jhony Amador'!V24+'EV2-Norma Hernández'!V24+'EV2-Goel Garcia'!V24+'EV2-Nubia '!V24+'EV2-Zamir'!V24+'EV2-Yimi'!V24)/8</f>
        <v>0</v>
      </c>
      <c r="W24" s="11">
        <f>+('EV1-Nancy'!W24+'EV1-Francisca'!W24+'EV1-Alex Alvarado'!W24+'EV1-Alex Castillo'!W24+'EV1-Adalid'!W24+'EV1-Neptaly'!W24+'EV1-Milixa'!W24+'Jennifer Canales'!W24+'EV2-David Ramos'!W24+'EV2-Jhony Amador'!W24+'EV2-Norma Hernández'!W24+'EV2-Goel Garcia'!W24+'EV2-Nubia '!W24+'EV2-Zamir'!W24+'EV2-Yimi'!W24)/8</f>
        <v>0</v>
      </c>
      <c r="X24" s="11">
        <f>+('EV1-Nancy'!X24+'EV1-Francisca'!X24+'EV1-Alex Alvarado'!X24+'EV1-Alex Castillo'!X24+'EV1-Adalid'!X24+'EV1-Neptaly'!X24+'EV1-Milixa'!X24+'Jennifer Canales'!X24+'EV2-David Ramos'!X24+'EV2-Jhony Amador'!X24+'EV2-Norma Hernández'!X24+'EV2-Goel Garcia'!X24+'EV2-Nubia '!X24+'EV2-Zamir'!X24+'EV2-Yimi'!X24)/8</f>
        <v>0</v>
      </c>
      <c r="Y24" s="11">
        <f>+('EV1-Nancy'!Y24+'EV1-Francisca'!Y24+'EV1-Alex Alvarado'!Y24+'EV1-Alex Castillo'!Y24+'EV1-Adalid'!Y24+'EV1-Neptaly'!Y24+'EV1-Milixa'!Y24+'Jennifer Canales'!Y24+'EV2-David Ramos'!Y24+'EV2-Jhony Amador'!Y24+'EV2-Norma Hernández'!Y24+'EV2-Goel Garcia'!Y24+'EV2-Nubia '!Y24+'EV2-Zamir'!Y24+'EV2-Yimi'!Y24)/8</f>
        <v>18.625</v>
      </c>
      <c r="Z24" s="12">
        <f>+U24+Y24</f>
        <v>37.25</v>
      </c>
      <c r="AA24" s="30">
        <f t="shared" si="8"/>
        <v>186.25</v>
      </c>
      <c r="AB24" s="32">
        <f>+(P24+AA24)/2</f>
        <v>143.125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>
        <f>+'EV1-Nancy'!J25+'EV1-Francisca'!J25+'EV1-Alex Alvarado'!J25+'EV1-Alex Castillo'!J25+'EV1-Adalid'!J25+'EV1-Neptaly'!J25+'EV1-Milixa'!J25+'Jennifer Canales'!J25+'EV2-David Ramos'!J25+'EV2-Jhony Amador'!J25+'EV2-Norma Hernández'!J25+'EV2-Goel Garcia'!J25+'EV2-Nubia '!J25+'EV2-Zamir'!J25+'EV2-Yimi'!J25</f>
        <v>0</v>
      </c>
      <c r="K25" s="9">
        <f>+'EV1-Nancy'!K25+'EV1-Francisca'!K25+'EV1-Alex Alvarado'!K25+'EV1-Alex Castillo'!K25+'EV1-Adalid'!K25+'EV1-Neptaly'!K25+'EV1-Milixa'!K25+'Jennifer Canales'!K25+'EV2-David Ramos'!K25+'EV2-Jhony Amador'!K25+'EV2-Norma Hernández'!K25+'EV2-Goel Garcia'!K25+'EV2-Nubia '!K25+'EV2-Zamir'!K25+'EV2-Yimi'!K25</f>
        <v>0</v>
      </c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11">
        <f>+('EV1-Nancy'!U25+'EV1-Francisca'!U25+'EV1-Alex Alvarado'!U25+'EV1-Alex Castillo'!U25+'EV1-Adalid'!U25+'EV1-Neptaly'!U25+'EV1-Milixa'!U25+'Jennifer Canales'!U25+'EV2-David Ramos'!U25+'EV2-Jhony Amador'!U25+'EV2-Norma Hernández'!U25+'EV2-Goel Garcia'!U25+'EV2-Nubia '!U25+'EV2-Zamir'!U25+'EV2-Yimi'!U25)/8</f>
        <v>0</v>
      </c>
      <c r="V25" s="11">
        <f>+('EV1-Nancy'!V25+'EV1-Francisca'!V25+'EV1-Alex Alvarado'!V25+'EV1-Alex Castillo'!V25+'EV1-Adalid'!V25+'EV1-Neptaly'!V25+'EV1-Milixa'!V25+'Jennifer Canales'!V25+'EV2-David Ramos'!V25+'EV2-Jhony Amador'!V25+'EV2-Norma Hernández'!V25+'EV2-Goel Garcia'!V25+'EV2-Nubia '!V25+'EV2-Zamir'!V25+'EV2-Yimi'!V25)/8</f>
        <v>0</v>
      </c>
      <c r="W25" s="11">
        <f>+('EV1-Nancy'!W25+'EV1-Francisca'!W25+'EV1-Alex Alvarado'!W25+'EV1-Alex Castillo'!W25+'EV1-Adalid'!W25+'EV1-Neptaly'!W25+'EV1-Milixa'!W25+'Jennifer Canales'!W25+'EV2-David Ramos'!W25+'EV2-Jhony Amador'!W25+'EV2-Norma Hernández'!W25+'EV2-Goel Garcia'!W25+'EV2-Nubia '!W25+'EV2-Zamir'!W25+'EV2-Yimi'!W25)/8</f>
        <v>0</v>
      </c>
      <c r="X25" s="11">
        <f>+('EV1-Nancy'!X25+'EV1-Francisca'!X25+'EV1-Alex Alvarado'!X25+'EV1-Alex Castillo'!X25+'EV1-Adalid'!X25+'EV1-Neptaly'!X25+'EV1-Milixa'!X25+'Jennifer Canales'!X25+'EV2-David Ramos'!X25+'EV2-Jhony Amador'!X25+'EV2-Norma Hernández'!X25+'EV2-Goel Garcia'!X25+'EV2-Nubia '!X25+'EV2-Zamir'!X25+'EV2-Yimi'!X25)/8</f>
        <v>0</v>
      </c>
      <c r="Y25" s="11">
        <f>+('EV1-Nancy'!Y25+'EV1-Francisca'!Y25+'EV1-Alex Alvarado'!Y25+'EV1-Alex Castillo'!Y25+'EV1-Adalid'!Y25+'EV1-Neptaly'!Y25+'EV1-Milixa'!Y25+'Jennifer Canales'!Y25+'EV2-David Ramos'!Y25+'EV2-Jhony Amador'!Y25+'EV2-Norma Hernández'!Y25+'EV2-Goel Garcia'!Y25+'EV2-Nubia '!Y25+'EV2-Zamir'!Y25+'EV2-Yimi'!Y25)/8</f>
        <v>0</v>
      </c>
      <c r="Z25" s="12">
        <f t="shared" si="4"/>
        <v>0</v>
      </c>
      <c r="AA25" s="30">
        <f t="shared" si="8"/>
        <v>0</v>
      </c>
      <c r="AB25" s="32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843</v>
      </c>
      <c r="D26" s="23" t="s">
        <v>862</v>
      </c>
      <c r="E26" s="20"/>
      <c r="F26" s="21"/>
      <c r="G26" s="23"/>
      <c r="H26" s="23"/>
      <c r="I26" s="3" t="s">
        <v>108</v>
      </c>
      <c r="J26" s="9">
        <f>+'EV1-Nancy'!J26+'EV1-Francisca'!J26+'EV1-Alex Alvarado'!J26+'EV1-Alex Castillo'!J26+'EV1-Adalid'!J26+'EV1-Neptaly'!J26+'EV1-Milixa'!J26+'Jennifer Canales'!J26+'EV2-David Ramos'!J26+'EV2-Jhony Amador'!J26+'EV2-Norma Hernández'!J26+'EV2-Goel Garcia'!J26+'EV2-Nubia '!J26+'EV2-Zamir'!J26+'EV2-Yimi'!J26</f>
        <v>9050</v>
      </c>
      <c r="K26" s="9">
        <f>+'EV1-Nancy'!K26+'EV1-Francisca'!K26+'EV1-Alex Alvarado'!K26+'EV1-Alex Castillo'!K26+'EV1-Adalid'!K26+'EV1-Neptaly'!K26+'EV1-Milixa'!K26+'Jennifer Canales'!K26+'EV2-David Ramos'!K26+'EV2-Jhony Amador'!K26+'EV2-Norma Hernández'!K26+'EV2-Goel Garcia'!K26+'EV2-Nubia '!K26+'EV2-Zamir'!K26+'EV2-Yimi'!K26</f>
        <v>8621</v>
      </c>
      <c r="L26" s="10">
        <f t="shared" si="0"/>
        <v>429</v>
      </c>
      <c r="M26" s="10"/>
      <c r="N26" s="10"/>
      <c r="O26" s="10"/>
      <c r="P26" s="38">
        <f t="shared" si="1"/>
        <v>95.259668508287291</v>
      </c>
      <c r="Q26" s="11"/>
      <c r="R26" s="11"/>
      <c r="S26" s="12">
        <f t="shared" si="2"/>
        <v>0</v>
      </c>
      <c r="T26" s="28">
        <f t="shared" si="3"/>
        <v>0</v>
      </c>
      <c r="U26" s="11">
        <f>+('EV1-Nancy'!U26+'EV1-Francisca'!U26+'EV1-Alex Alvarado'!U26+'EV1-Alex Castillo'!U26+'EV1-Adalid'!U26+'EV1-Neptaly'!U26+'EV1-Milixa'!U26+'Jennifer Canales'!U26+'EV2-David Ramos'!U26+'EV2-Jhony Amador'!U26+'EV2-Norma Hernández'!U26+'EV2-Goel Garcia'!U26+'EV2-Nubia '!U26+'EV2-Zamir'!U26+'EV2-Yimi'!U26)/8</f>
        <v>9.625</v>
      </c>
      <c r="V26" s="11">
        <f>+('EV1-Nancy'!V26+'EV1-Francisca'!V26+'EV1-Alex Alvarado'!V26+'EV1-Alex Castillo'!V26+'EV1-Adalid'!V26+'EV1-Neptaly'!V26+'EV1-Milixa'!V26+'Jennifer Canales'!V26+'EV2-David Ramos'!V26+'EV2-Jhony Amador'!V26+'EV2-Norma Hernández'!V26+'EV2-Goel Garcia'!V26+'EV2-Nubia '!V26+'EV2-Zamir'!V26+'EV2-Yimi'!V26)/8</f>
        <v>0</v>
      </c>
      <c r="W26" s="11">
        <f>+('EV1-Nancy'!W26+'EV1-Francisca'!W26+'EV1-Alex Alvarado'!W26+'EV1-Alex Castillo'!W26+'EV1-Adalid'!W26+'EV1-Neptaly'!W26+'EV1-Milixa'!W26+'Jennifer Canales'!W26+'EV2-David Ramos'!W26+'EV2-Jhony Amador'!W26+'EV2-Norma Hernández'!W26+'EV2-Goel Garcia'!W26+'EV2-Nubia '!W26+'EV2-Zamir'!W26+'EV2-Yimi'!W26)/8</f>
        <v>0</v>
      </c>
      <c r="X26" s="11">
        <f>+('EV1-Nancy'!X26+'EV1-Francisca'!X26+'EV1-Alex Alvarado'!X26+'EV1-Alex Castillo'!X26+'EV1-Adalid'!X26+'EV1-Neptaly'!X26+'EV1-Milixa'!X26+'Jennifer Canales'!X26+'EV2-David Ramos'!X26+'EV2-Jhony Amador'!X26+'EV2-Norma Hernández'!X26+'EV2-Goel Garcia'!X26+'EV2-Nubia '!X26+'EV2-Zamir'!X26+'EV2-Yimi'!X26)/8</f>
        <v>0</v>
      </c>
      <c r="Y26" s="11">
        <f>+('EV1-Nancy'!Y26+'EV1-Francisca'!Y26+'EV1-Alex Alvarado'!Y26+'EV1-Alex Castillo'!Y26+'EV1-Adalid'!Y26+'EV1-Neptaly'!Y26+'EV1-Milixa'!Y26+'Jennifer Canales'!Y26+'EV2-David Ramos'!Y26+'EV2-Jhony Amador'!Y26+'EV2-Norma Hernández'!Y26+'EV2-Goel Garcia'!Y26+'EV2-Nubia '!Y26+'EV2-Zamir'!Y26+'EV2-Yimi'!Y26)/8</f>
        <v>10</v>
      </c>
      <c r="Z26" s="12">
        <f>+U26+Y26</f>
        <v>19.625</v>
      </c>
      <c r="AA26" s="30">
        <f t="shared" si="8"/>
        <v>98.125</v>
      </c>
      <c r="AB26" s="32">
        <f>+(P26+AA26)/2</f>
        <v>96.692334254143645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>
        <f>+'EV1-Nancy'!J27+'EV1-Francisca'!J27+'EV1-Alex Alvarado'!J27+'EV1-Alex Castillo'!J27+'EV1-Adalid'!J27+'EV1-Neptaly'!J27+'EV1-Milixa'!J27+'Jennifer Canales'!J27+'EV2-David Ramos'!J27+'EV2-Jhony Amador'!J27+'EV2-Norma Hernández'!J27+'EV2-Goel Garcia'!J27+'EV2-Nubia '!J27+'EV2-Zamir'!J27+'EV2-Yimi'!J27</f>
        <v>0</v>
      </c>
      <c r="K27" s="9">
        <f>+'EV1-Nancy'!K27+'EV1-Francisca'!K27+'EV1-Alex Alvarado'!K27+'EV1-Alex Castillo'!K27+'EV1-Adalid'!K27+'EV1-Neptaly'!K27+'EV1-Milixa'!K27+'Jennifer Canales'!K27+'EV2-David Ramos'!K27+'EV2-Jhony Amador'!K27+'EV2-Norma Hernández'!K27+'EV2-Goel Garcia'!K27+'EV2-Nubia '!K27+'EV2-Zamir'!K27+'EV2-Yimi'!K27</f>
        <v>0</v>
      </c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11">
        <f>+('EV1-Nancy'!U27+'EV1-Francisca'!U27+'EV1-Alex Alvarado'!U27+'EV1-Alex Castillo'!U27+'EV1-Adalid'!U27+'EV1-Neptaly'!U27+'EV1-Milixa'!U27+'Jennifer Canales'!U27+'EV2-David Ramos'!U27+'EV2-Jhony Amador'!U27+'EV2-Norma Hernández'!U27+'EV2-Goel Garcia'!U27+'EV2-Nubia '!U27+'EV2-Zamir'!U27+'EV2-Yimi'!U27)/8</f>
        <v>0</v>
      </c>
      <c r="V27" s="11">
        <f>+('EV1-Nancy'!V27+'EV1-Francisca'!V27+'EV1-Alex Alvarado'!V27+'EV1-Alex Castillo'!V27+'EV1-Adalid'!V27+'EV1-Neptaly'!V27+'EV1-Milixa'!V27+'Jennifer Canales'!V27+'EV2-David Ramos'!V27+'EV2-Jhony Amador'!V27+'EV2-Norma Hernández'!V27+'EV2-Goel Garcia'!V27+'EV2-Nubia '!V27+'EV2-Zamir'!V27+'EV2-Yimi'!V27)/8</f>
        <v>0</v>
      </c>
      <c r="W27" s="11">
        <f>+('EV1-Nancy'!W27+'EV1-Francisca'!W27+'EV1-Alex Alvarado'!W27+'EV1-Alex Castillo'!W27+'EV1-Adalid'!W27+'EV1-Neptaly'!W27+'EV1-Milixa'!W27+'Jennifer Canales'!W27+'EV2-David Ramos'!W27+'EV2-Jhony Amador'!W27+'EV2-Norma Hernández'!W27+'EV2-Goel Garcia'!W27+'EV2-Nubia '!W27+'EV2-Zamir'!W27+'EV2-Yimi'!W27)/8</f>
        <v>0</v>
      </c>
      <c r="X27" s="11">
        <f>+('EV1-Nancy'!X27+'EV1-Francisca'!X27+'EV1-Alex Alvarado'!X27+'EV1-Alex Castillo'!X27+'EV1-Adalid'!X27+'EV1-Neptaly'!X27+'EV1-Milixa'!X27+'Jennifer Canales'!X27+'EV2-David Ramos'!X27+'EV2-Jhony Amador'!X27+'EV2-Norma Hernández'!X27+'EV2-Goel Garcia'!X27+'EV2-Nubia '!X27+'EV2-Zamir'!X27+'EV2-Yimi'!X27)/8</f>
        <v>0</v>
      </c>
      <c r="Y27" s="11">
        <f>+('EV1-Nancy'!Y27+'EV1-Francisca'!Y27+'EV1-Alex Alvarado'!Y27+'EV1-Alex Castillo'!Y27+'EV1-Adalid'!Y27+'EV1-Neptaly'!Y27+'EV1-Milixa'!Y27+'Jennifer Canales'!Y27+'EV2-David Ramos'!Y27+'EV2-Jhony Amador'!Y27+'EV2-Norma Hernández'!Y27+'EV2-Goel Garcia'!Y27+'EV2-Nubia '!Y27+'EV2-Zamir'!Y27+'EV2-Yimi'!Y27)/8</f>
        <v>0</v>
      </c>
      <c r="Z27" s="12">
        <f t="shared" si="4"/>
        <v>0</v>
      </c>
      <c r="AA27" s="30">
        <f t="shared" si="8"/>
        <v>0</v>
      </c>
      <c r="AB27" s="32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>
        <f>+'EV1-Nancy'!J28+'EV1-Francisca'!J28+'EV1-Alex Alvarado'!J28+'EV1-Alex Castillo'!J28+'EV1-Adalid'!J28+'EV1-Neptaly'!J28+'EV1-Milixa'!J28+'Jennifer Canales'!J28+'EV2-David Ramos'!J28+'EV2-Jhony Amador'!J28+'EV2-Norma Hernández'!J28+'EV2-Goel Garcia'!J28+'EV2-Nubia '!J28+'EV2-Zamir'!J28+'EV2-Yimi'!J28</f>
        <v>1875</v>
      </c>
      <c r="K28" s="9">
        <f>+'EV1-Nancy'!K28+'EV1-Francisca'!K28+'EV1-Alex Alvarado'!K28+'EV1-Alex Castillo'!K28+'EV1-Adalid'!K28+'EV1-Neptaly'!K28+'EV1-Milixa'!K28+'Jennifer Canales'!K28+'EV2-David Ramos'!K28+'EV2-Jhony Amador'!K28+'EV2-Norma Hernández'!K28+'EV2-Goel Garcia'!K28+'EV2-Nubia '!K28+'EV2-Zamir'!K28+'EV2-Yimi'!K28</f>
        <v>1787</v>
      </c>
      <c r="L28" s="10">
        <f t="shared" si="0"/>
        <v>88</v>
      </c>
      <c r="M28" s="10"/>
      <c r="N28" s="10"/>
      <c r="O28" s="10"/>
      <c r="P28" s="38">
        <f t="shared" si="1"/>
        <v>95.306666666666672</v>
      </c>
      <c r="Q28" s="11"/>
      <c r="R28" s="11"/>
      <c r="S28" s="12">
        <f t="shared" si="2"/>
        <v>0</v>
      </c>
      <c r="T28" s="28">
        <f t="shared" si="3"/>
        <v>0</v>
      </c>
      <c r="U28" s="11">
        <f>+('EV1-Nancy'!U28+'EV1-Francisca'!U28+'EV1-Alex Alvarado'!U28+'EV1-Alex Castillo'!U28+'EV1-Adalid'!U28+'EV1-Neptaly'!U28+'EV1-Milixa'!U28+'Jennifer Canales'!U28+'EV2-David Ramos'!U28+'EV2-Jhony Amador'!U28+'EV2-Norma Hernández'!U28+'EV2-Goel Garcia'!U28+'EV2-Nubia '!U28+'EV2-Zamir'!U28+'EV2-Yimi'!U28)/8</f>
        <v>9.375</v>
      </c>
      <c r="V28" s="11">
        <f>+('EV1-Nancy'!V28+'EV1-Francisca'!V28+'EV1-Alex Alvarado'!V28+'EV1-Alex Castillo'!V28+'EV1-Adalid'!V28+'EV1-Neptaly'!V28+'EV1-Milixa'!V28+'Jennifer Canales'!V28+'EV2-David Ramos'!V28+'EV2-Jhony Amador'!V28+'EV2-Norma Hernández'!V28+'EV2-Goel Garcia'!V28+'EV2-Nubia '!V28+'EV2-Zamir'!V28+'EV2-Yimi'!V28)/8</f>
        <v>0</v>
      </c>
      <c r="W28" s="11">
        <f>+('EV1-Nancy'!W28+'EV1-Francisca'!W28+'EV1-Alex Alvarado'!W28+'EV1-Alex Castillo'!W28+'EV1-Adalid'!W28+'EV1-Neptaly'!W28+'EV1-Milixa'!W28+'Jennifer Canales'!W28+'EV2-David Ramos'!W28+'EV2-Jhony Amador'!W28+'EV2-Norma Hernández'!W28+'EV2-Goel Garcia'!W28+'EV2-Nubia '!W28+'EV2-Zamir'!W28+'EV2-Yimi'!W28)/8</f>
        <v>0</v>
      </c>
      <c r="X28" s="11">
        <f>+('EV1-Nancy'!X28+'EV1-Francisca'!X28+'EV1-Alex Alvarado'!X28+'EV1-Alex Castillo'!X28+'EV1-Adalid'!X28+'EV1-Neptaly'!X28+'EV1-Milixa'!X28+'Jennifer Canales'!X28+'EV2-David Ramos'!X28+'EV2-Jhony Amador'!X28+'EV2-Norma Hernández'!X28+'EV2-Goel Garcia'!X28+'EV2-Nubia '!X28+'EV2-Zamir'!X28+'EV2-Yimi'!X28)/8</f>
        <v>0</v>
      </c>
      <c r="Y28" s="11">
        <f>+('EV1-Nancy'!Y28+'EV1-Francisca'!Y28+'EV1-Alex Alvarado'!Y28+'EV1-Alex Castillo'!Y28+'EV1-Adalid'!Y28+'EV1-Neptaly'!Y28+'EV1-Milixa'!Y28+'Jennifer Canales'!Y28+'EV2-David Ramos'!Y28+'EV2-Jhony Amador'!Y28+'EV2-Norma Hernández'!Y28+'EV2-Goel Garcia'!Y28+'EV2-Nubia '!Y28+'EV2-Zamir'!Y28+'EV2-Yimi'!Y28)/8</f>
        <v>10</v>
      </c>
      <c r="Z28" s="12">
        <f t="shared" si="4"/>
        <v>19.375</v>
      </c>
      <c r="AA28" s="30">
        <f t="shared" si="8"/>
        <v>96.875</v>
      </c>
      <c r="AB28" s="32">
        <f t="shared" si="6"/>
        <v>64.060555555555553</v>
      </c>
      <c r="AC28" s="63"/>
    </row>
    <row r="29" spans="1:29" ht="27.6" x14ac:dyDescent="0.3">
      <c r="A29" s="24" t="s">
        <v>35</v>
      </c>
      <c r="B29" s="24" t="s">
        <v>64</v>
      </c>
      <c r="C29" s="24" t="s">
        <v>843</v>
      </c>
      <c r="D29" s="23" t="s">
        <v>862</v>
      </c>
      <c r="E29" s="20"/>
      <c r="F29" s="21"/>
      <c r="G29" s="23"/>
      <c r="H29" s="23"/>
      <c r="I29" s="3" t="s">
        <v>114</v>
      </c>
      <c r="J29" s="9">
        <f>+'EV1-Nancy'!J29+'EV1-Francisca'!J29+'EV1-Alex Alvarado'!J29+'EV1-Alex Castillo'!J29+'EV1-Adalid'!J29+'EV1-Neptaly'!J29+'EV1-Milixa'!J29+'Jennifer Canales'!J29+'EV2-David Ramos'!J29+'EV2-Jhony Amador'!J29+'EV2-Norma Hernández'!J29+'EV2-Goel Garcia'!J29+'EV2-Nubia '!J29+'EV2-Zamir'!J29+'EV2-Yimi'!J29</f>
        <v>9851</v>
      </c>
      <c r="K29" s="9">
        <f>+'EV1-Nancy'!K29+'EV1-Francisca'!K29+'EV1-Alex Alvarado'!K29+'EV1-Alex Castillo'!K29+'EV1-Adalid'!K29+'EV1-Neptaly'!K29+'EV1-Milixa'!K29+'Jennifer Canales'!K29+'EV2-David Ramos'!K29+'EV2-Jhony Amador'!K29+'EV2-Norma Hernández'!K29+'EV2-Goel Garcia'!K29+'EV2-Nubia '!K29+'EV2-Zamir'!K29+'EV2-Yimi'!K29</f>
        <v>9074</v>
      </c>
      <c r="L29" s="10">
        <f t="shared" si="0"/>
        <v>777</v>
      </c>
      <c r="M29" s="10"/>
      <c r="N29" s="10"/>
      <c r="O29" s="10"/>
      <c r="P29" s="38">
        <f t="shared" si="1"/>
        <v>92.112475890772515</v>
      </c>
      <c r="Q29" s="11"/>
      <c r="R29" s="11"/>
      <c r="S29" s="12">
        <f t="shared" si="2"/>
        <v>0</v>
      </c>
      <c r="T29" s="28">
        <f t="shared" si="3"/>
        <v>0</v>
      </c>
      <c r="U29" s="11">
        <f>+('EV1-Nancy'!U29+'EV1-Francisca'!U29+'EV1-Alex Alvarado'!U29+'EV1-Alex Castillo'!U29+'EV1-Adalid'!U29+'EV1-Neptaly'!U29+'EV1-Milixa'!U29+'Jennifer Canales'!U29+'EV2-David Ramos'!U29+'EV2-Jhony Amador'!U29+'EV2-Norma Hernández'!U29+'EV2-Goel Garcia'!U29+'EV2-Nubia '!U29+'EV2-Zamir'!U29+'EV2-Yimi'!U29)/8</f>
        <v>9.25</v>
      </c>
      <c r="V29" s="11">
        <f>+('EV1-Nancy'!V29+'EV1-Francisca'!V29+'EV1-Alex Alvarado'!V29+'EV1-Alex Castillo'!V29+'EV1-Adalid'!V29+'EV1-Neptaly'!V29+'EV1-Milixa'!V29+'Jennifer Canales'!V29+'EV2-David Ramos'!V29+'EV2-Jhony Amador'!V29+'EV2-Norma Hernández'!V29+'EV2-Goel Garcia'!V29+'EV2-Nubia '!V29+'EV2-Zamir'!V29+'EV2-Yimi'!V29)/8</f>
        <v>0</v>
      </c>
      <c r="W29" s="11">
        <f>+('EV1-Nancy'!W29+'EV1-Francisca'!W29+'EV1-Alex Alvarado'!W29+'EV1-Alex Castillo'!W29+'EV1-Adalid'!W29+'EV1-Neptaly'!W29+'EV1-Milixa'!W29+'Jennifer Canales'!W29+'EV2-David Ramos'!W29+'EV2-Jhony Amador'!W29+'EV2-Norma Hernández'!W29+'EV2-Goel Garcia'!W29+'EV2-Nubia '!W29+'EV2-Zamir'!W29+'EV2-Yimi'!W29)/8</f>
        <v>0</v>
      </c>
      <c r="X29" s="11">
        <f>+('EV1-Nancy'!X29+'EV1-Francisca'!X29+'EV1-Alex Alvarado'!X29+'EV1-Alex Castillo'!X29+'EV1-Adalid'!X29+'EV1-Neptaly'!X29+'EV1-Milixa'!X29+'Jennifer Canales'!X29+'EV2-David Ramos'!X29+'EV2-Jhony Amador'!X29+'EV2-Norma Hernández'!X29+'EV2-Goel Garcia'!X29+'EV2-Nubia '!X29+'EV2-Zamir'!X29+'EV2-Yimi'!X29)/8</f>
        <v>0</v>
      </c>
      <c r="Y29" s="11">
        <f>+('EV1-Nancy'!Y29+'EV1-Francisca'!Y29+'EV1-Alex Alvarado'!Y29+'EV1-Alex Castillo'!Y29+'EV1-Adalid'!Y29+'EV1-Neptaly'!Y29+'EV1-Milixa'!Y29+'Jennifer Canales'!Y29+'EV2-David Ramos'!Y29+'EV2-Jhony Amador'!Y29+'EV2-Norma Hernández'!Y29+'EV2-Goel Garcia'!Y29+'EV2-Nubia '!Y29+'EV2-Zamir'!Y29+'EV2-Yimi'!Y29)/8</f>
        <v>10</v>
      </c>
      <c r="Z29" s="12">
        <f t="shared" ref="Z29:Z30" si="12">+U29+Y29</f>
        <v>19.25</v>
      </c>
      <c r="AA29" s="30">
        <f t="shared" si="8"/>
        <v>96.25</v>
      </c>
      <c r="AB29" s="32">
        <f t="shared" ref="AB29:AB30" si="13">+(P29+AA29)/2</f>
        <v>94.181237945386258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 t="s">
        <v>862</v>
      </c>
      <c r="E30" s="20"/>
      <c r="F30" s="21"/>
      <c r="G30" s="23"/>
      <c r="H30" s="23"/>
      <c r="I30" s="3" t="s">
        <v>115</v>
      </c>
      <c r="J30" s="9">
        <f>+'EV1-Nancy'!J30+'EV1-Francisca'!J30+'EV1-Alex Alvarado'!J30+'EV1-Alex Castillo'!J30+'EV1-Adalid'!J30+'EV1-Neptaly'!J30+'EV1-Milixa'!J30+'Jennifer Canales'!J30+'EV2-David Ramos'!J30+'EV2-Jhony Amador'!J30+'EV2-Norma Hernández'!J30+'EV2-Goel Garcia'!J30+'EV2-Nubia '!J30+'EV2-Zamir'!J30+'EV2-Yimi'!J30</f>
        <v>9</v>
      </c>
      <c r="K30" s="9">
        <f>+'EV1-Nancy'!K30+'EV1-Francisca'!K30+'EV1-Alex Alvarado'!K30+'EV1-Alex Castillo'!K30+'EV1-Adalid'!K30+'EV1-Neptaly'!K30+'EV1-Milixa'!K30+'Jennifer Canales'!K30+'EV2-David Ramos'!K30+'EV2-Jhony Amador'!K30+'EV2-Norma Hernández'!K30+'EV2-Goel Garcia'!K30+'EV2-Nubia '!K30+'EV2-Zamir'!K30+'EV2-Yimi'!K30</f>
        <v>9</v>
      </c>
      <c r="L30" s="10">
        <f t="shared" si="0"/>
        <v>0</v>
      </c>
      <c r="M30" s="10"/>
      <c r="N30" s="10"/>
      <c r="O30" s="10"/>
      <c r="P30" s="38">
        <f t="shared" si="1"/>
        <v>100</v>
      </c>
      <c r="Q30" s="11"/>
      <c r="R30" s="11"/>
      <c r="S30" s="12">
        <f t="shared" si="2"/>
        <v>0</v>
      </c>
      <c r="T30" s="28">
        <f t="shared" si="3"/>
        <v>0</v>
      </c>
      <c r="U30" s="11">
        <f>+('EV1-Nancy'!U30+'EV1-Francisca'!U30+'EV1-Alex Alvarado'!U30+'EV1-Alex Castillo'!U30+'EV1-Adalid'!U30+'EV1-Neptaly'!U30+'EV1-Milixa'!U30+'Jennifer Canales'!U30+'EV2-David Ramos'!U30+'EV2-Jhony Amador'!U30+'EV2-Norma Hernández'!U30+'EV2-Goel Garcia'!U30+'EV2-Nubia '!U30+'EV2-Zamir'!U30+'EV2-Yimi'!U30)/8</f>
        <v>10</v>
      </c>
      <c r="V30" s="11">
        <f>+('EV1-Nancy'!V30+'EV1-Francisca'!V30+'EV1-Alex Alvarado'!V30+'EV1-Alex Castillo'!V30+'EV1-Adalid'!V30+'EV1-Neptaly'!V30+'EV1-Milixa'!V30+'Jennifer Canales'!V30+'EV2-David Ramos'!V30+'EV2-Jhony Amador'!V30+'EV2-Norma Hernández'!V30+'EV2-Goel Garcia'!V30+'EV2-Nubia '!V30+'EV2-Zamir'!V30+'EV2-Yimi'!V30)/8</f>
        <v>0</v>
      </c>
      <c r="W30" s="11">
        <f>+('EV1-Nancy'!W30+'EV1-Francisca'!W30+'EV1-Alex Alvarado'!W30+'EV1-Alex Castillo'!W30+'EV1-Adalid'!W30+'EV1-Neptaly'!W30+'EV1-Milixa'!W30+'Jennifer Canales'!W30+'EV2-David Ramos'!W30+'EV2-Jhony Amador'!W30+'EV2-Norma Hernández'!W30+'EV2-Goel Garcia'!W30+'EV2-Nubia '!W30+'EV2-Zamir'!W30+'EV2-Yimi'!W30)/8</f>
        <v>0</v>
      </c>
      <c r="X30" s="11">
        <f>+('EV1-Nancy'!X30+'EV1-Francisca'!X30+'EV1-Alex Alvarado'!X30+'EV1-Alex Castillo'!X30+'EV1-Adalid'!X30+'EV1-Neptaly'!X30+'EV1-Milixa'!X30+'Jennifer Canales'!X30+'EV2-David Ramos'!X30+'EV2-Jhony Amador'!X30+'EV2-Norma Hernández'!X30+'EV2-Goel Garcia'!X30+'EV2-Nubia '!X30+'EV2-Zamir'!X30+'EV2-Yimi'!X30)/8</f>
        <v>0</v>
      </c>
      <c r="Y30" s="11">
        <f>+('EV1-Nancy'!Y30+'EV1-Francisca'!Y30+'EV1-Alex Alvarado'!Y30+'EV1-Alex Castillo'!Y30+'EV1-Adalid'!Y30+'EV1-Neptaly'!Y30+'EV1-Milixa'!Y30+'Jennifer Canales'!Y30+'EV2-David Ramos'!Y30+'EV2-Jhony Amador'!Y30+'EV2-Norma Hernández'!Y30+'EV2-Goel Garcia'!Y30+'EV2-Nubia '!Y30+'EV2-Zamir'!Y30+'EV2-Yimi'!Y30)/8</f>
        <v>10</v>
      </c>
      <c r="Z30" s="12">
        <f t="shared" si="12"/>
        <v>20</v>
      </c>
      <c r="AA30" s="30">
        <f t="shared" si="8"/>
        <v>100</v>
      </c>
      <c r="AB30" s="32">
        <f t="shared" si="13"/>
        <v>100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>
        <f>+'EV1-Nancy'!J31+'EV1-Francisca'!J31+'EV1-Alex Alvarado'!J31+'EV1-Alex Castillo'!J31+'EV1-Adalid'!J31+'EV1-Neptaly'!J31+'EV1-Milixa'!J31+'Jennifer Canales'!J31+'EV2-David Ramos'!J31+'EV2-Jhony Amador'!J31+'EV2-Norma Hernández'!J31+'EV2-Goel Garcia'!J31+'EV2-Nubia '!J31+'EV2-Zamir'!J31+'EV2-Yimi'!J31</f>
        <v>0</v>
      </c>
      <c r="K31" s="9">
        <f>+'EV1-Nancy'!K31+'EV1-Francisca'!K31+'EV1-Alex Alvarado'!K31+'EV1-Alex Castillo'!K31+'EV1-Adalid'!K31+'EV1-Neptaly'!K31+'EV1-Milixa'!K31+'Jennifer Canales'!K31+'EV2-David Ramos'!K31+'EV2-Jhony Amador'!K31+'EV2-Norma Hernández'!K31+'EV2-Goel Garcia'!K31+'EV2-Nubia '!K31+'EV2-Zamir'!K31+'EV2-Yimi'!K31</f>
        <v>0</v>
      </c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11">
        <f>+('EV1-Nancy'!U31+'EV1-Francisca'!U31+'EV1-Alex Alvarado'!U31+'EV1-Alex Castillo'!U31+'EV1-Adalid'!U31+'EV1-Neptaly'!U31+'EV1-Milixa'!U31+'Jennifer Canales'!U31+'EV2-David Ramos'!U31+'EV2-Jhony Amador'!U31+'EV2-Norma Hernández'!U31+'EV2-Goel Garcia'!U31+'EV2-Nubia '!U31+'EV2-Zamir'!U31+'EV2-Yimi'!U31)/8</f>
        <v>0</v>
      </c>
      <c r="V31" s="11">
        <f>+('EV1-Nancy'!V31+'EV1-Francisca'!V31+'EV1-Alex Alvarado'!V31+'EV1-Alex Castillo'!V31+'EV1-Adalid'!V31+'EV1-Neptaly'!V31+'EV1-Milixa'!V31+'Jennifer Canales'!V31+'EV2-David Ramos'!V31+'EV2-Jhony Amador'!V31+'EV2-Norma Hernández'!V31+'EV2-Goel Garcia'!V31+'EV2-Nubia '!V31+'EV2-Zamir'!V31+'EV2-Yimi'!V31)/8</f>
        <v>0</v>
      </c>
      <c r="W31" s="11">
        <f>+('EV1-Nancy'!W31+'EV1-Francisca'!W31+'EV1-Alex Alvarado'!W31+'EV1-Alex Castillo'!W31+'EV1-Adalid'!W31+'EV1-Neptaly'!W31+'EV1-Milixa'!W31+'Jennifer Canales'!W31+'EV2-David Ramos'!W31+'EV2-Jhony Amador'!W31+'EV2-Norma Hernández'!W31+'EV2-Goel Garcia'!W31+'EV2-Nubia '!W31+'EV2-Zamir'!W31+'EV2-Yimi'!W31)/8</f>
        <v>0</v>
      </c>
      <c r="X31" s="11">
        <f>+('EV1-Nancy'!X31+'EV1-Francisca'!X31+'EV1-Alex Alvarado'!X31+'EV1-Alex Castillo'!X31+'EV1-Adalid'!X31+'EV1-Neptaly'!X31+'EV1-Milixa'!X31+'Jennifer Canales'!X31+'EV2-David Ramos'!X31+'EV2-Jhony Amador'!X31+'EV2-Norma Hernández'!X31+'EV2-Goel Garcia'!X31+'EV2-Nubia '!X31+'EV2-Zamir'!X31+'EV2-Yimi'!X31)/8</f>
        <v>0</v>
      </c>
      <c r="Y31" s="11">
        <f>+('EV1-Nancy'!Y31+'EV1-Francisca'!Y31+'EV1-Alex Alvarado'!Y31+'EV1-Alex Castillo'!Y31+'EV1-Adalid'!Y31+'EV1-Neptaly'!Y31+'EV1-Milixa'!Y31+'Jennifer Canales'!Y31+'EV2-David Ramos'!Y31+'EV2-Jhony Amador'!Y31+'EV2-Norma Hernández'!Y31+'EV2-Goel Garcia'!Y31+'EV2-Nubia '!Y31+'EV2-Zamir'!Y31+'EV2-Yimi'!Y31)/8</f>
        <v>0</v>
      </c>
      <c r="Z31" s="12">
        <f t="shared" si="4"/>
        <v>0</v>
      </c>
      <c r="AA31" s="30">
        <f t="shared" si="8"/>
        <v>0</v>
      </c>
      <c r="AB31" s="32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>
        <f>+'EV1-Nancy'!J32+'EV1-Francisca'!J32+'EV1-Alex Alvarado'!J32+'EV1-Alex Castillo'!J32+'EV1-Adalid'!J32+'EV1-Neptaly'!J32+'EV1-Milixa'!J32+'Jennifer Canales'!J32+'EV2-David Ramos'!J32+'EV2-Jhony Amador'!J32+'EV2-Norma Hernández'!J32+'EV2-Goel Garcia'!J32+'EV2-Nubia '!J32+'EV2-Zamir'!J32+'EV2-Yimi'!J32</f>
        <v>44</v>
      </c>
      <c r="K32" s="9">
        <f>+'EV1-Nancy'!K32+'EV1-Francisca'!K32+'EV1-Alex Alvarado'!K32+'EV1-Alex Castillo'!K32+'EV1-Adalid'!K32+'EV1-Neptaly'!K32+'EV1-Milixa'!K32+'Jennifer Canales'!K32+'EV2-David Ramos'!K32+'EV2-Jhony Amador'!K32+'EV2-Norma Hernández'!K32+'EV2-Goel Garcia'!K32+'EV2-Nubia '!K32+'EV2-Zamir'!K32+'EV2-Yimi'!K32</f>
        <v>44</v>
      </c>
      <c r="L32" s="10">
        <f t="shared" si="0"/>
        <v>0</v>
      </c>
      <c r="M32" s="10"/>
      <c r="N32" s="10"/>
      <c r="O32" s="10"/>
      <c r="P32" s="38">
        <f t="shared" si="1"/>
        <v>100</v>
      </c>
      <c r="Q32" s="11"/>
      <c r="R32" s="11"/>
      <c r="S32" s="12">
        <f t="shared" si="2"/>
        <v>0</v>
      </c>
      <c r="T32" s="28">
        <f t="shared" si="3"/>
        <v>0</v>
      </c>
      <c r="U32" s="11">
        <f>+('EV1-Nancy'!U32+'EV1-Francisca'!U32+'EV1-Alex Alvarado'!U32+'EV1-Alex Castillo'!U32+'EV1-Adalid'!U32+'EV1-Neptaly'!U32+'EV1-Milixa'!U32+'Jennifer Canales'!U32+'EV2-David Ramos'!U32+'EV2-Jhony Amador'!U32+'EV2-Norma Hernández'!U32+'EV2-Goel Garcia'!U32+'EV2-Nubia '!U32+'EV2-Zamir'!U32+'EV2-Yimi'!U32)/8</f>
        <v>10</v>
      </c>
      <c r="V32" s="11">
        <f>+('EV1-Nancy'!V32+'EV1-Francisca'!V32+'EV1-Alex Alvarado'!V32+'EV1-Alex Castillo'!V32+'EV1-Adalid'!V32+'EV1-Neptaly'!V32+'EV1-Milixa'!V32+'Jennifer Canales'!V32+'EV2-David Ramos'!V32+'EV2-Jhony Amador'!V32+'EV2-Norma Hernández'!V32+'EV2-Goel Garcia'!V32+'EV2-Nubia '!V32+'EV2-Zamir'!V32+'EV2-Yimi'!V32)/8</f>
        <v>0</v>
      </c>
      <c r="W32" s="11">
        <f>+('EV1-Nancy'!W32+'EV1-Francisca'!W32+'EV1-Alex Alvarado'!W32+'EV1-Alex Castillo'!W32+'EV1-Adalid'!W32+'EV1-Neptaly'!W32+'EV1-Milixa'!W32+'Jennifer Canales'!W32+'EV2-David Ramos'!W32+'EV2-Jhony Amador'!W32+'EV2-Norma Hernández'!W32+'EV2-Goel Garcia'!W32+'EV2-Nubia '!W32+'EV2-Zamir'!W32+'EV2-Yimi'!W32)/8</f>
        <v>0</v>
      </c>
      <c r="X32" s="11">
        <f>+('EV1-Nancy'!X32+'EV1-Francisca'!X32+'EV1-Alex Alvarado'!X32+'EV1-Alex Castillo'!X32+'EV1-Adalid'!X32+'EV1-Neptaly'!X32+'EV1-Milixa'!X32+'Jennifer Canales'!X32+'EV2-David Ramos'!X32+'EV2-Jhony Amador'!X32+'EV2-Norma Hernández'!X32+'EV2-Goel Garcia'!X32+'EV2-Nubia '!X32+'EV2-Zamir'!X32+'EV2-Yimi'!X32)/8</f>
        <v>0</v>
      </c>
      <c r="Y32" s="11">
        <f>+('EV1-Nancy'!Y32+'EV1-Francisca'!Y32+'EV1-Alex Alvarado'!Y32+'EV1-Alex Castillo'!Y32+'EV1-Adalid'!Y32+'EV1-Neptaly'!Y32+'EV1-Milixa'!Y32+'Jennifer Canales'!Y32+'EV2-David Ramos'!Y32+'EV2-Jhony Amador'!Y32+'EV2-Norma Hernández'!Y32+'EV2-Goel Garcia'!Y32+'EV2-Nubia '!Y32+'EV2-Zamir'!Y32+'EV2-Yimi'!Y32)/8</f>
        <v>10</v>
      </c>
      <c r="Z32" s="12">
        <f t="shared" si="4"/>
        <v>20</v>
      </c>
      <c r="AA32" s="30">
        <f t="shared" si="8"/>
        <v>100</v>
      </c>
      <c r="AB32" s="32">
        <f t="shared" si="6"/>
        <v>66.666666666666671</v>
      </c>
      <c r="AC32" s="63"/>
    </row>
    <row r="33" spans="1:29" ht="27.6" x14ac:dyDescent="0.3">
      <c r="A33" s="24" t="s">
        <v>36</v>
      </c>
      <c r="B33" s="24" t="s">
        <v>35</v>
      </c>
      <c r="C33" s="24" t="s">
        <v>843</v>
      </c>
      <c r="D33" s="23" t="s">
        <v>862</v>
      </c>
      <c r="E33" s="20"/>
      <c r="F33" s="21"/>
      <c r="G33" s="23"/>
      <c r="H33" s="23"/>
      <c r="I33" s="3" t="s">
        <v>127</v>
      </c>
      <c r="J33" s="9">
        <f>+'EV1-Nancy'!J33+'EV1-Francisca'!J33+'EV1-Alex Alvarado'!J33+'EV1-Alex Castillo'!J33+'EV1-Adalid'!J33+'EV1-Neptaly'!J33+'EV1-Milixa'!J33+'Jennifer Canales'!J33+'EV2-David Ramos'!J33+'EV2-Jhony Amador'!J33+'EV2-Norma Hernández'!J33+'EV2-Goel Garcia'!J33+'EV2-Nubia '!J33+'EV2-Zamir'!J33+'EV2-Yimi'!J33</f>
        <v>14</v>
      </c>
      <c r="K33" s="9">
        <f>+'EV1-Nancy'!K33+'EV1-Francisca'!K33+'EV1-Alex Alvarado'!K33+'EV1-Alex Castillo'!K33+'EV1-Adalid'!K33+'EV1-Neptaly'!K33+'EV1-Milixa'!K33+'Jennifer Canales'!K33+'EV2-David Ramos'!K33+'EV2-Jhony Amador'!K33+'EV2-Norma Hernández'!K33+'EV2-Goel Garcia'!K33+'EV2-Nubia '!K33+'EV2-Zamir'!K33+'EV2-Yimi'!K33</f>
        <v>14</v>
      </c>
      <c r="L33" s="10">
        <f t="shared" si="0"/>
        <v>0</v>
      </c>
      <c r="M33" s="10"/>
      <c r="N33" s="10"/>
      <c r="O33" s="10"/>
      <c r="P33" s="38">
        <f t="shared" si="1"/>
        <v>100</v>
      </c>
      <c r="Q33" s="11"/>
      <c r="R33" s="11"/>
      <c r="S33" s="12">
        <f t="shared" si="2"/>
        <v>0</v>
      </c>
      <c r="T33" s="28">
        <f t="shared" si="3"/>
        <v>0</v>
      </c>
      <c r="U33" s="11">
        <f>+('EV1-Nancy'!U33+'EV1-Francisca'!U33+'EV1-Alex Alvarado'!U33+'EV1-Alex Castillo'!U33+'EV1-Adalid'!U33+'EV1-Neptaly'!U33+'EV1-Milixa'!U33+'Jennifer Canales'!U33+'EV2-David Ramos'!U33+'EV2-Jhony Amador'!U33+'EV2-Norma Hernández'!U33+'EV2-Goel Garcia'!U33+'EV2-Nubia '!U33+'EV2-Zamir'!U33+'EV2-Yimi'!U33)/8</f>
        <v>10</v>
      </c>
      <c r="V33" s="11">
        <f>+('EV1-Nancy'!V33+'EV1-Francisca'!V33+'EV1-Alex Alvarado'!V33+'EV1-Alex Castillo'!V33+'EV1-Adalid'!V33+'EV1-Neptaly'!V33+'EV1-Milixa'!V33+'Jennifer Canales'!V33+'EV2-David Ramos'!V33+'EV2-Jhony Amador'!V33+'EV2-Norma Hernández'!V33+'EV2-Goel Garcia'!V33+'EV2-Nubia '!V33+'EV2-Zamir'!V33+'EV2-Yimi'!V33)/8</f>
        <v>0</v>
      </c>
      <c r="W33" s="11">
        <f>+('EV1-Nancy'!W33+'EV1-Francisca'!W33+'EV1-Alex Alvarado'!W33+'EV1-Alex Castillo'!W33+'EV1-Adalid'!W33+'EV1-Neptaly'!W33+'EV1-Milixa'!W33+'Jennifer Canales'!W33+'EV2-David Ramos'!W33+'EV2-Jhony Amador'!W33+'EV2-Norma Hernández'!W33+'EV2-Goel Garcia'!W33+'EV2-Nubia '!W33+'EV2-Zamir'!W33+'EV2-Yimi'!W33)/8</f>
        <v>0</v>
      </c>
      <c r="X33" s="11">
        <f>+('EV1-Nancy'!X33+'EV1-Francisca'!X33+'EV1-Alex Alvarado'!X33+'EV1-Alex Castillo'!X33+'EV1-Adalid'!X33+'EV1-Neptaly'!X33+'EV1-Milixa'!X33+'Jennifer Canales'!X33+'EV2-David Ramos'!X33+'EV2-Jhony Amador'!X33+'EV2-Norma Hernández'!X33+'EV2-Goel Garcia'!X33+'EV2-Nubia '!X33+'EV2-Zamir'!X33+'EV2-Yimi'!X33)/8</f>
        <v>0</v>
      </c>
      <c r="Y33" s="11">
        <f>+('EV1-Nancy'!Y33+'EV1-Francisca'!Y33+'EV1-Alex Alvarado'!Y33+'EV1-Alex Castillo'!Y33+'EV1-Adalid'!Y33+'EV1-Neptaly'!Y33+'EV1-Milixa'!Y33+'Jennifer Canales'!Y33+'EV2-David Ramos'!Y33+'EV2-Jhony Amador'!Y33+'EV2-Norma Hernández'!Y33+'EV2-Goel Garcia'!Y33+'EV2-Nubia '!Y33+'EV2-Zamir'!Y33+'EV2-Yimi'!Y33)/8</f>
        <v>10</v>
      </c>
      <c r="Z33" s="12">
        <f t="shared" ref="Z33:Z34" si="14">+U33+Y33</f>
        <v>20</v>
      </c>
      <c r="AA33" s="30">
        <f t="shared" si="8"/>
        <v>100</v>
      </c>
      <c r="AB33" s="32">
        <f t="shared" ref="AB33:AB34" si="15">+(P33+AA33)/2</f>
        <v>100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f>+'EV1-Nancy'!J34+'EV1-Francisca'!J34+'EV1-Alex Alvarado'!J34+'EV1-Alex Castillo'!J34+'EV1-Adalid'!J34+'EV1-Neptaly'!J34+'EV1-Milixa'!J34+'Jennifer Canales'!J34+'EV2-David Ramos'!J34+'EV2-Jhony Amador'!J34+'EV2-Norma Hernández'!J34+'EV2-Goel Garcia'!J34+'EV2-Nubia '!J34+'EV2-Zamir'!J34+'EV2-Yimi'!J34</f>
        <v>19</v>
      </c>
      <c r="K34" s="9">
        <f>+'EV1-Nancy'!K34+'EV1-Francisca'!K34+'EV1-Alex Alvarado'!K34+'EV1-Alex Castillo'!K34+'EV1-Adalid'!K34+'EV1-Neptaly'!K34+'EV1-Milixa'!K34+'Jennifer Canales'!K34+'EV2-David Ramos'!K34+'EV2-Jhony Amador'!K34+'EV2-Norma Hernández'!K34+'EV2-Goel Garcia'!K34+'EV2-Nubia '!K34+'EV2-Zamir'!K34+'EV2-Yimi'!K34</f>
        <v>18</v>
      </c>
      <c r="L34" s="10">
        <f t="shared" si="0"/>
        <v>1</v>
      </c>
      <c r="M34" s="10"/>
      <c r="N34" s="10"/>
      <c r="O34" s="10"/>
      <c r="P34" s="38">
        <f t="shared" si="1"/>
        <v>94.736842105263165</v>
      </c>
      <c r="Q34" s="11"/>
      <c r="R34" s="11"/>
      <c r="S34" s="12">
        <f t="shared" si="2"/>
        <v>0</v>
      </c>
      <c r="T34" s="28">
        <f t="shared" si="3"/>
        <v>0</v>
      </c>
      <c r="U34" s="11">
        <f>+('EV1-Nancy'!U34+'EV1-Francisca'!U34+'EV1-Alex Alvarado'!U34+'EV1-Alex Castillo'!U34+'EV1-Adalid'!U34+'EV1-Neptaly'!U34+'EV1-Milixa'!U34+'Jennifer Canales'!U34+'EV2-David Ramos'!U34+'EV2-Jhony Amador'!U34+'EV2-Norma Hernández'!U34+'EV2-Goel Garcia'!U34+'EV2-Nubia '!U34+'EV2-Zamir'!U34+'EV2-Yimi'!U34)/8</f>
        <v>18.75</v>
      </c>
      <c r="V34" s="11">
        <f>+('EV1-Nancy'!V34+'EV1-Francisca'!V34+'EV1-Alex Alvarado'!V34+'EV1-Alex Castillo'!V34+'EV1-Adalid'!V34+'EV1-Neptaly'!V34+'EV1-Milixa'!V34+'Jennifer Canales'!V34+'EV2-David Ramos'!V34+'EV2-Jhony Amador'!V34+'EV2-Norma Hernández'!V34+'EV2-Goel Garcia'!V34+'EV2-Nubia '!V34+'EV2-Zamir'!V34+'EV2-Yimi'!V34)/8</f>
        <v>0</v>
      </c>
      <c r="W34" s="11">
        <f>+('EV1-Nancy'!W34+'EV1-Francisca'!W34+'EV1-Alex Alvarado'!W34+'EV1-Alex Castillo'!W34+'EV1-Adalid'!W34+'EV1-Neptaly'!W34+'EV1-Milixa'!W34+'Jennifer Canales'!W34+'EV2-David Ramos'!W34+'EV2-Jhony Amador'!W34+'EV2-Norma Hernández'!W34+'EV2-Goel Garcia'!W34+'EV2-Nubia '!W34+'EV2-Zamir'!W34+'EV2-Yimi'!W34)/8</f>
        <v>0</v>
      </c>
      <c r="X34" s="11">
        <f>+('EV1-Nancy'!X34+'EV1-Francisca'!X34+'EV1-Alex Alvarado'!X34+'EV1-Alex Castillo'!X34+'EV1-Adalid'!X34+'EV1-Neptaly'!X34+'EV1-Milixa'!X34+'Jennifer Canales'!X34+'EV2-David Ramos'!X34+'EV2-Jhony Amador'!X34+'EV2-Norma Hernández'!X34+'EV2-Goel Garcia'!X34+'EV2-Nubia '!X34+'EV2-Zamir'!X34+'EV2-Yimi'!X34)/8</f>
        <v>0</v>
      </c>
      <c r="Y34" s="11">
        <f>+('EV1-Nancy'!Y34+'EV1-Francisca'!Y34+'EV1-Alex Alvarado'!Y34+'EV1-Alex Castillo'!Y34+'EV1-Adalid'!Y34+'EV1-Neptaly'!Y34+'EV1-Milixa'!Y34+'Jennifer Canales'!Y34+'EV2-David Ramos'!Y34+'EV2-Jhony Amador'!Y34+'EV2-Norma Hernández'!Y34+'EV2-Goel Garcia'!Y34+'EV2-Nubia '!Y34+'EV2-Zamir'!Y34+'EV2-Yimi'!Y34)/8</f>
        <v>18.75</v>
      </c>
      <c r="Z34" s="12">
        <f t="shared" si="14"/>
        <v>37.5</v>
      </c>
      <c r="AA34" s="30">
        <f t="shared" si="8"/>
        <v>187.5</v>
      </c>
      <c r="AB34" s="32">
        <f t="shared" si="15"/>
        <v>141.11842105263159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>
        <f>+'EV1-Nancy'!J35+'EV1-Francisca'!J35+'EV1-Alex Alvarado'!J35+'EV1-Alex Castillo'!J35+'EV1-Adalid'!J35+'EV1-Neptaly'!J35+'EV1-Milixa'!J35+'Jennifer Canales'!J35+'EV2-David Ramos'!J35+'EV2-Jhony Amador'!J35+'EV2-Norma Hernández'!J35+'EV2-Goel Garcia'!J35+'EV2-Nubia '!J35+'EV2-Zamir'!J35+'EV2-Yimi'!J35</f>
        <v>83</v>
      </c>
      <c r="K35" s="9">
        <f>+'EV1-Nancy'!K35+'EV1-Francisca'!K35+'EV1-Alex Alvarado'!K35+'EV1-Alex Castillo'!K35+'EV1-Adalid'!K35+'EV1-Neptaly'!K35+'EV1-Milixa'!K35+'Jennifer Canales'!K35+'EV2-David Ramos'!K35+'EV2-Jhony Amador'!K35+'EV2-Norma Hernández'!K35+'EV2-Goel Garcia'!K35+'EV2-Nubia '!K35+'EV2-Zamir'!K35+'EV2-Yimi'!K35</f>
        <v>77</v>
      </c>
      <c r="L35" s="10">
        <f t="shared" si="0"/>
        <v>6</v>
      </c>
      <c r="M35" s="10"/>
      <c r="N35" s="10"/>
      <c r="O35" s="10"/>
      <c r="P35" s="38">
        <f t="shared" si="1"/>
        <v>92.771084337349393</v>
      </c>
      <c r="Q35" s="11"/>
      <c r="R35" s="11"/>
      <c r="S35" s="12">
        <f t="shared" si="2"/>
        <v>0</v>
      </c>
      <c r="T35" s="28">
        <f t="shared" si="3"/>
        <v>0</v>
      </c>
      <c r="U35" s="11">
        <f>+('EV1-Nancy'!U35+'EV1-Francisca'!U35+'EV1-Alex Alvarado'!U35+'EV1-Alex Castillo'!U35+'EV1-Adalid'!U35+'EV1-Neptaly'!U35+'EV1-Milixa'!U35+'Jennifer Canales'!U35+'EV2-David Ramos'!U35+'EV2-Jhony Amador'!U35+'EV2-Norma Hernández'!U35+'EV2-Goel Garcia'!U35+'EV2-Nubia '!U35+'EV2-Zamir'!U35+'EV2-Yimi'!U35)/8</f>
        <v>9.375</v>
      </c>
      <c r="V35" s="11">
        <f>+('EV1-Nancy'!V35+'EV1-Francisca'!V35+'EV1-Alex Alvarado'!V35+'EV1-Alex Castillo'!V35+'EV1-Adalid'!V35+'EV1-Neptaly'!V35+'EV1-Milixa'!V35+'Jennifer Canales'!V35+'EV2-David Ramos'!V35+'EV2-Jhony Amador'!V35+'EV2-Norma Hernández'!V35+'EV2-Goel Garcia'!V35+'EV2-Nubia '!V35+'EV2-Zamir'!V35+'EV2-Yimi'!V35)/8</f>
        <v>1.25</v>
      </c>
      <c r="W35" s="11">
        <f>+('EV1-Nancy'!W35+'EV1-Francisca'!W35+'EV1-Alex Alvarado'!W35+'EV1-Alex Castillo'!W35+'EV1-Adalid'!W35+'EV1-Neptaly'!W35+'EV1-Milixa'!W35+'Jennifer Canales'!W35+'EV2-David Ramos'!W35+'EV2-Jhony Amador'!W35+'EV2-Norma Hernández'!W35+'EV2-Goel Garcia'!W35+'EV2-Nubia '!W35+'EV2-Zamir'!W35+'EV2-Yimi'!W35)/8</f>
        <v>0</v>
      </c>
      <c r="X35" s="11">
        <f>+('EV1-Nancy'!X35+'EV1-Francisca'!X35+'EV1-Alex Alvarado'!X35+'EV1-Alex Castillo'!X35+'EV1-Adalid'!X35+'EV1-Neptaly'!X35+'EV1-Milixa'!X35+'Jennifer Canales'!X35+'EV2-David Ramos'!X35+'EV2-Jhony Amador'!X35+'EV2-Norma Hernández'!X35+'EV2-Goel Garcia'!X35+'EV2-Nubia '!X35+'EV2-Zamir'!X35+'EV2-Yimi'!X35)/8</f>
        <v>0</v>
      </c>
      <c r="Y35" s="11">
        <f>+('EV1-Nancy'!Y35+'EV1-Francisca'!Y35+'EV1-Alex Alvarado'!Y35+'EV1-Alex Castillo'!Y35+'EV1-Adalid'!Y35+'EV1-Neptaly'!Y35+'EV1-Milixa'!Y35+'Jennifer Canales'!Y35+'EV2-David Ramos'!Y35+'EV2-Jhony Amador'!Y35+'EV2-Norma Hernández'!Y35+'EV2-Goel Garcia'!Y35+'EV2-Nubia '!Y35+'EV2-Zamir'!Y35+'EV2-Yimi'!Y35)/8</f>
        <v>10</v>
      </c>
      <c r="Z35" s="12">
        <f t="shared" si="4"/>
        <v>20.625</v>
      </c>
      <c r="AA35" s="30">
        <f t="shared" si="8"/>
        <v>103.125</v>
      </c>
      <c r="AB35" s="32">
        <f t="shared" si="6"/>
        <v>65.298694779116474</v>
      </c>
      <c r="AC35" s="63"/>
    </row>
    <row r="36" spans="1:29" ht="41.4" x14ac:dyDescent="0.3">
      <c r="A36" s="24" t="s">
        <v>36</v>
      </c>
      <c r="B36" s="24" t="s">
        <v>35</v>
      </c>
      <c r="C36" s="24" t="s">
        <v>843</v>
      </c>
      <c r="D36" s="23" t="s">
        <v>862</v>
      </c>
      <c r="E36" s="20"/>
      <c r="F36" s="21"/>
      <c r="G36" s="23"/>
      <c r="H36" s="23"/>
      <c r="I36" s="3" t="s">
        <v>130</v>
      </c>
      <c r="J36" s="9">
        <f>+'EV1-Nancy'!J36+'EV1-Francisca'!J36+'EV1-Alex Alvarado'!J36+'EV1-Alex Castillo'!J36+'EV1-Adalid'!J36+'EV1-Neptaly'!J36+'EV1-Milixa'!J36+'Jennifer Canales'!J36+'EV2-David Ramos'!J36+'EV2-Jhony Amador'!J36+'EV2-Norma Hernández'!J36+'EV2-Goel Garcia'!J36+'EV2-Nubia '!J36+'EV2-Zamir'!J36+'EV2-Yimi'!J36</f>
        <v>14</v>
      </c>
      <c r="K36" s="9">
        <f>+'EV1-Nancy'!K36+'EV1-Francisca'!K36+'EV1-Alex Alvarado'!K36+'EV1-Alex Castillo'!K36+'EV1-Adalid'!K36+'EV1-Neptaly'!K36+'EV1-Milixa'!K36+'Jennifer Canales'!K36+'EV2-David Ramos'!K36+'EV2-Jhony Amador'!K36+'EV2-Norma Hernández'!K36+'EV2-Goel Garcia'!K36+'EV2-Nubia '!K36+'EV2-Zamir'!K36+'EV2-Yimi'!K36</f>
        <v>14</v>
      </c>
      <c r="L36" s="10">
        <f t="shared" si="0"/>
        <v>0</v>
      </c>
      <c r="M36" s="10"/>
      <c r="N36" s="10"/>
      <c r="O36" s="10"/>
      <c r="P36" s="38">
        <f t="shared" si="1"/>
        <v>100</v>
      </c>
      <c r="Q36" s="11"/>
      <c r="R36" s="11"/>
      <c r="S36" s="12">
        <f t="shared" si="2"/>
        <v>0</v>
      </c>
      <c r="T36" s="28">
        <f t="shared" si="3"/>
        <v>0</v>
      </c>
      <c r="U36" s="11">
        <f>+('EV1-Nancy'!U36+'EV1-Francisca'!U36+'EV1-Alex Alvarado'!U36+'EV1-Alex Castillo'!U36+'EV1-Adalid'!U36+'EV1-Neptaly'!U36+'EV1-Milixa'!U36+'Jennifer Canales'!U36+'EV2-David Ramos'!U36+'EV2-Jhony Amador'!U36+'EV2-Norma Hernández'!U36+'EV2-Goel Garcia'!U36+'EV2-Nubia '!U36+'EV2-Zamir'!U36+'EV2-Yimi'!U36)/8</f>
        <v>10</v>
      </c>
      <c r="V36" s="11">
        <f>+('EV1-Nancy'!V36+'EV1-Francisca'!V36+'EV1-Alex Alvarado'!V36+'EV1-Alex Castillo'!V36+'EV1-Adalid'!V36+'EV1-Neptaly'!V36+'EV1-Milixa'!V36+'Jennifer Canales'!V36+'EV2-David Ramos'!V36+'EV2-Jhony Amador'!V36+'EV2-Norma Hernández'!V36+'EV2-Goel Garcia'!V36+'EV2-Nubia '!V36+'EV2-Zamir'!V36+'EV2-Yimi'!V36)/8</f>
        <v>0</v>
      </c>
      <c r="W36" s="11">
        <f>+('EV1-Nancy'!W36+'EV1-Francisca'!W36+'EV1-Alex Alvarado'!W36+'EV1-Alex Castillo'!W36+'EV1-Adalid'!W36+'EV1-Neptaly'!W36+'EV1-Milixa'!W36+'Jennifer Canales'!W36+'EV2-David Ramos'!W36+'EV2-Jhony Amador'!W36+'EV2-Norma Hernández'!W36+'EV2-Goel Garcia'!W36+'EV2-Nubia '!W36+'EV2-Zamir'!W36+'EV2-Yimi'!W36)/8</f>
        <v>0</v>
      </c>
      <c r="X36" s="11">
        <f>+('EV1-Nancy'!X36+'EV1-Francisca'!X36+'EV1-Alex Alvarado'!X36+'EV1-Alex Castillo'!X36+'EV1-Adalid'!X36+'EV1-Neptaly'!X36+'EV1-Milixa'!X36+'Jennifer Canales'!X36+'EV2-David Ramos'!X36+'EV2-Jhony Amador'!X36+'EV2-Norma Hernández'!X36+'EV2-Goel Garcia'!X36+'EV2-Nubia '!X36+'EV2-Zamir'!X36+'EV2-Yimi'!X36)/8</f>
        <v>0</v>
      </c>
      <c r="Y36" s="11">
        <f>+('EV1-Nancy'!Y36+'EV1-Francisca'!Y36+'EV1-Alex Alvarado'!Y36+'EV1-Alex Castillo'!Y36+'EV1-Adalid'!Y36+'EV1-Neptaly'!Y36+'EV1-Milixa'!Y36+'Jennifer Canales'!Y36+'EV2-David Ramos'!Y36+'EV2-Jhony Amador'!Y36+'EV2-Norma Hernández'!Y36+'EV2-Goel Garcia'!Y36+'EV2-Nubia '!Y36+'EV2-Zamir'!Y36+'EV2-Yimi'!Y36)/8</f>
        <v>10</v>
      </c>
      <c r="Z36" s="12">
        <f t="shared" ref="Z36:Z37" si="16">+U36+Y36</f>
        <v>20</v>
      </c>
      <c r="AA36" s="30">
        <f t="shared" si="8"/>
        <v>100</v>
      </c>
      <c r="AB36" s="32">
        <f t="shared" ref="AB36:AB37" si="17">+(P36+AA36)/2</f>
        <v>100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f>+'EV1-Nancy'!J37+'EV1-Francisca'!J37+'EV1-Alex Alvarado'!J37+'EV1-Alex Castillo'!J37+'EV1-Adalid'!J37+'EV1-Neptaly'!J37+'EV1-Milixa'!J37+'Jennifer Canales'!J37+'EV2-David Ramos'!J37+'EV2-Jhony Amador'!J37+'EV2-Norma Hernández'!J37+'EV2-Goel Garcia'!J37+'EV2-Nubia '!J37+'EV2-Zamir'!J37+'EV2-Yimi'!J37</f>
        <v>20</v>
      </c>
      <c r="K37" s="9">
        <f>+'EV1-Nancy'!K37+'EV1-Francisca'!K37+'EV1-Alex Alvarado'!K37+'EV1-Alex Castillo'!K37+'EV1-Adalid'!K37+'EV1-Neptaly'!K37+'EV1-Milixa'!K37+'Jennifer Canales'!K37+'EV2-David Ramos'!K37+'EV2-Jhony Amador'!K37+'EV2-Norma Hernández'!K37+'EV2-Goel Garcia'!K37+'EV2-Nubia '!K37+'EV2-Zamir'!K37+'EV2-Yimi'!K37</f>
        <v>19</v>
      </c>
      <c r="L37" s="10">
        <f t="shared" si="0"/>
        <v>1</v>
      </c>
      <c r="M37" s="10"/>
      <c r="N37" s="10"/>
      <c r="O37" s="10"/>
      <c r="P37" s="38">
        <f t="shared" si="1"/>
        <v>95</v>
      </c>
      <c r="Q37" s="11"/>
      <c r="R37" s="11"/>
      <c r="S37" s="12">
        <f t="shared" si="2"/>
        <v>0</v>
      </c>
      <c r="T37" s="28">
        <f t="shared" si="3"/>
        <v>0</v>
      </c>
      <c r="U37" s="11">
        <f>+('EV1-Nancy'!U37+'EV1-Francisca'!U37+'EV1-Alex Alvarado'!U37+'EV1-Alex Castillo'!U37+'EV1-Adalid'!U37+'EV1-Neptaly'!U37+'EV1-Milixa'!U37+'Jennifer Canales'!U37+'EV2-David Ramos'!U37+'EV2-Jhony Amador'!U37+'EV2-Norma Hernández'!U37+'EV2-Goel Garcia'!U37+'EV2-Nubia '!U37+'EV2-Zamir'!U37+'EV2-Yimi'!U37)/8</f>
        <v>18.125</v>
      </c>
      <c r="V37" s="11">
        <f>+('EV1-Nancy'!V37+'EV1-Francisca'!V37+'EV1-Alex Alvarado'!V37+'EV1-Alex Castillo'!V37+'EV1-Adalid'!V37+'EV1-Neptaly'!V37+'EV1-Milixa'!V37+'Jennifer Canales'!V37+'EV2-David Ramos'!V37+'EV2-Jhony Amador'!V37+'EV2-Norma Hernández'!V37+'EV2-Goel Garcia'!V37+'EV2-Nubia '!V37+'EV2-Zamir'!V37+'EV2-Yimi'!V37)/8</f>
        <v>0</v>
      </c>
      <c r="W37" s="11">
        <f>+('EV1-Nancy'!W37+'EV1-Francisca'!W37+'EV1-Alex Alvarado'!W37+'EV1-Alex Castillo'!W37+'EV1-Adalid'!W37+'EV1-Neptaly'!W37+'EV1-Milixa'!W37+'Jennifer Canales'!W37+'EV2-David Ramos'!W37+'EV2-Jhony Amador'!W37+'EV2-Norma Hernández'!W37+'EV2-Goel Garcia'!W37+'EV2-Nubia '!W37+'EV2-Zamir'!W37+'EV2-Yimi'!W37)/8</f>
        <v>0</v>
      </c>
      <c r="X37" s="11">
        <f>+('EV1-Nancy'!X37+'EV1-Francisca'!X37+'EV1-Alex Alvarado'!X37+'EV1-Alex Castillo'!X37+'EV1-Adalid'!X37+'EV1-Neptaly'!X37+'EV1-Milixa'!X37+'Jennifer Canales'!X37+'EV2-David Ramos'!X37+'EV2-Jhony Amador'!X37+'EV2-Norma Hernández'!X37+'EV2-Goel Garcia'!X37+'EV2-Nubia '!X37+'EV2-Zamir'!X37+'EV2-Yimi'!X37)/8</f>
        <v>0</v>
      </c>
      <c r="Y37" s="11">
        <f>+('EV1-Nancy'!Y37+'EV1-Francisca'!Y37+'EV1-Alex Alvarado'!Y37+'EV1-Alex Castillo'!Y37+'EV1-Adalid'!Y37+'EV1-Neptaly'!Y37+'EV1-Milixa'!Y37+'Jennifer Canales'!Y37+'EV2-David Ramos'!Y37+'EV2-Jhony Amador'!Y37+'EV2-Norma Hernández'!Y37+'EV2-Goel Garcia'!Y37+'EV2-Nubia '!Y37+'EV2-Zamir'!Y37+'EV2-Yimi'!Y37)/8</f>
        <v>18.75</v>
      </c>
      <c r="Z37" s="12">
        <f t="shared" si="16"/>
        <v>36.875</v>
      </c>
      <c r="AA37" s="30">
        <f t="shared" si="8"/>
        <v>184.375</v>
      </c>
      <c r="AB37" s="32">
        <f t="shared" si="17"/>
        <v>139.6875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>
        <f>+'EV1-Nancy'!J38+'EV1-Francisca'!J38+'EV1-Alex Alvarado'!J38+'EV1-Alex Castillo'!J38+'EV1-Adalid'!J38+'EV1-Neptaly'!J38+'EV1-Milixa'!J38+'Jennifer Canales'!J38+'EV2-David Ramos'!J38+'EV2-Jhony Amador'!J38+'EV2-Norma Hernández'!J38+'EV2-Goel Garcia'!J38+'EV2-Nubia '!J38+'EV2-Zamir'!J38+'EV2-Yimi'!J38</f>
        <v>0</v>
      </c>
      <c r="K38" s="9">
        <f>+'EV1-Nancy'!K38+'EV1-Francisca'!K38+'EV1-Alex Alvarado'!K38+'EV1-Alex Castillo'!K38+'EV1-Adalid'!K38+'EV1-Neptaly'!K38+'EV1-Milixa'!K38+'Jennifer Canales'!K38+'EV2-David Ramos'!K38+'EV2-Jhony Amador'!K38+'EV2-Norma Hernández'!K38+'EV2-Goel Garcia'!K38+'EV2-Nubia '!K38+'EV2-Zamir'!K38+'EV2-Yimi'!K38</f>
        <v>0</v>
      </c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11">
        <f>+('EV1-Nancy'!U38+'EV1-Francisca'!U38+'EV1-Alex Alvarado'!U38+'EV1-Alex Castillo'!U38+'EV1-Adalid'!U38+'EV1-Neptaly'!U38+'EV1-Milixa'!U38+'Jennifer Canales'!U38+'EV2-David Ramos'!U38+'EV2-Jhony Amador'!U38+'EV2-Norma Hernández'!U38+'EV2-Goel Garcia'!U38+'EV2-Nubia '!U38+'EV2-Zamir'!U38+'EV2-Yimi'!U38)/8</f>
        <v>0</v>
      </c>
      <c r="V38" s="11">
        <f>+('EV1-Nancy'!V38+'EV1-Francisca'!V38+'EV1-Alex Alvarado'!V38+'EV1-Alex Castillo'!V38+'EV1-Adalid'!V38+'EV1-Neptaly'!V38+'EV1-Milixa'!V38+'Jennifer Canales'!V38+'EV2-David Ramos'!V38+'EV2-Jhony Amador'!V38+'EV2-Norma Hernández'!V38+'EV2-Goel Garcia'!V38+'EV2-Nubia '!V38+'EV2-Zamir'!V38+'EV2-Yimi'!V38)/8</f>
        <v>0</v>
      </c>
      <c r="W38" s="11">
        <f>+('EV1-Nancy'!W38+'EV1-Francisca'!W38+'EV1-Alex Alvarado'!W38+'EV1-Alex Castillo'!W38+'EV1-Adalid'!W38+'EV1-Neptaly'!W38+'EV1-Milixa'!W38+'Jennifer Canales'!W38+'EV2-David Ramos'!W38+'EV2-Jhony Amador'!W38+'EV2-Norma Hernández'!W38+'EV2-Goel Garcia'!W38+'EV2-Nubia '!W38+'EV2-Zamir'!W38+'EV2-Yimi'!W38)/8</f>
        <v>0</v>
      </c>
      <c r="X38" s="11">
        <f>+('EV1-Nancy'!X38+'EV1-Francisca'!X38+'EV1-Alex Alvarado'!X38+'EV1-Alex Castillo'!X38+'EV1-Adalid'!X38+'EV1-Neptaly'!X38+'EV1-Milixa'!X38+'Jennifer Canales'!X38+'EV2-David Ramos'!X38+'EV2-Jhony Amador'!X38+'EV2-Norma Hernández'!X38+'EV2-Goel Garcia'!X38+'EV2-Nubia '!X38+'EV2-Zamir'!X38+'EV2-Yimi'!X38)/8</f>
        <v>0</v>
      </c>
      <c r="Y38" s="11">
        <f>+('EV1-Nancy'!Y38+'EV1-Francisca'!Y38+'EV1-Alex Alvarado'!Y38+'EV1-Alex Castillo'!Y38+'EV1-Adalid'!Y38+'EV1-Neptaly'!Y38+'EV1-Milixa'!Y38+'Jennifer Canales'!Y38+'EV2-David Ramos'!Y38+'EV2-Jhony Amador'!Y38+'EV2-Norma Hernández'!Y38+'EV2-Goel Garcia'!Y38+'EV2-Nubia '!Y38+'EV2-Zamir'!Y38+'EV2-Yimi'!Y38)/8</f>
        <v>0</v>
      </c>
      <c r="Z38" s="12">
        <f t="shared" si="4"/>
        <v>0</v>
      </c>
      <c r="AA38" s="30">
        <f t="shared" si="8"/>
        <v>0</v>
      </c>
      <c r="AB38" s="32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 t="s">
        <v>862</v>
      </c>
      <c r="E39" s="20"/>
      <c r="F39" s="21"/>
      <c r="G39" s="23"/>
      <c r="H39" s="23"/>
      <c r="I39" s="3" t="s">
        <v>155</v>
      </c>
      <c r="J39" s="9">
        <f>+'EV1-Nancy'!J39+'EV1-Francisca'!J39+'EV1-Alex Alvarado'!J39+'EV1-Alex Castillo'!J39+'EV1-Adalid'!J39+'EV1-Neptaly'!J39+'EV1-Milixa'!J39+'Jennifer Canales'!J39+'EV2-David Ramos'!J39+'EV2-Jhony Amador'!J39+'EV2-Norma Hernández'!J39+'EV2-Goel Garcia'!J39+'EV2-Nubia '!J39+'EV2-Zamir'!J39+'EV2-Yimi'!J39</f>
        <v>6</v>
      </c>
      <c r="K39" s="9">
        <f>+'EV1-Nancy'!K39+'EV1-Francisca'!K39+'EV1-Alex Alvarado'!K39+'EV1-Alex Castillo'!K39+'EV1-Adalid'!K39+'EV1-Neptaly'!K39+'EV1-Milixa'!K39+'Jennifer Canales'!K39+'EV2-David Ramos'!K39+'EV2-Jhony Amador'!K39+'EV2-Norma Hernández'!K39+'EV2-Goel Garcia'!K39+'EV2-Nubia '!K39+'EV2-Zamir'!K39+'EV2-Yimi'!K39</f>
        <v>6</v>
      </c>
      <c r="L39" s="10">
        <f t="shared" si="0"/>
        <v>0</v>
      </c>
      <c r="M39" s="10"/>
      <c r="N39" s="10"/>
      <c r="O39" s="10"/>
      <c r="P39" s="38">
        <f t="shared" si="1"/>
        <v>100</v>
      </c>
      <c r="Q39" s="11"/>
      <c r="R39" s="11"/>
      <c r="S39" s="12">
        <f t="shared" si="2"/>
        <v>0</v>
      </c>
      <c r="T39" s="28">
        <f t="shared" si="3"/>
        <v>0</v>
      </c>
      <c r="U39" s="11">
        <f>+('EV1-Nancy'!U39+'EV1-Francisca'!U39+'EV1-Alex Alvarado'!U39+'EV1-Alex Castillo'!U39+'EV1-Adalid'!U39+'EV1-Neptaly'!U39+'EV1-Milixa'!U39+'Jennifer Canales'!U39+'EV2-David Ramos'!U39+'EV2-Jhony Amador'!U39+'EV2-Norma Hernández'!U39+'EV2-Goel Garcia'!U39+'EV2-Nubia '!U39+'EV2-Zamir'!U39+'EV2-Yimi'!U39)/8</f>
        <v>5</v>
      </c>
      <c r="V39" s="11">
        <f>+('EV1-Nancy'!V39+'EV1-Francisca'!V39+'EV1-Alex Alvarado'!V39+'EV1-Alex Castillo'!V39+'EV1-Adalid'!V39+'EV1-Neptaly'!V39+'EV1-Milixa'!V39+'Jennifer Canales'!V39+'EV2-David Ramos'!V39+'EV2-Jhony Amador'!V39+'EV2-Norma Hernández'!V39+'EV2-Goel Garcia'!V39+'EV2-Nubia '!V39+'EV2-Zamir'!V39+'EV2-Yimi'!V39)/8</f>
        <v>0</v>
      </c>
      <c r="W39" s="11">
        <f>+('EV1-Nancy'!W39+'EV1-Francisca'!W39+'EV1-Alex Alvarado'!W39+'EV1-Alex Castillo'!W39+'EV1-Adalid'!W39+'EV1-Neptaly'!W39+'EV1-Milixa'!W39+'Jennifer Canales'!W39+'EV2-David Ramos'!W39+'EV2-Jhony Amador'!W39+'EV2-Norma Hernández'!W39+'EV2-Goel Garcia'!W39+'EV2-Nubia '!W39+'EV2-Zamir'!W39+'EV2-Yimi'!W39)/8</f>
        <v>0</v>
      </c>
      <c r="X39" s="11">
        <f>+('EV1-Nancy'!X39+'EV1-Francisca'!X39+'EV1-Alex Alvarado'!X39+'EV1-Alex Castillo'!X39+'EV1-Adalid'!X39+'EV1-Neptaly'!X39+'EV1-Milixa'!X39+'Jennifer Canales'!X39+'EV2-David Ramos'!X39+'EV2-Jhony Amador'!X39+'EV2-Norma Hernández'!X39+'EV2-Goel Garcia'!X39+'EV2-Nubia '!X39+'EV2-Zamir'!X39+'EV2-Yimi'!X39)/8</f>
        <v>0</v>
      </c>
      <c r="Y39" s="11">
        <f>+('EV1-Nancy'!Y39+'EV1-Francisca'!Y39+'EV1-Alex Alvarado'!Y39+'EV1-Alex Castillo'!Y39+'EV1-Adalid'!Y39+'EV1-Neptaly'!Y39+'EV1-Milixa'!Y39+'Jennifer Canales'!Y39+'EV2-David Ramos'!Y39+'EV2-Jhony Amador'!Y39+'EV2-Norma Hernández'!Y39+'EV2-Goel Garcia'!Y39+'EV2-Nubia '!Y39+'EV2-Zamir'!Y39+'EV2-Yimi'!Y39)/8</f>
        <v>5</v>
      </c>
      <c r="Z39" s="12">
        <f t="shared" si="4"/>
        <v>10</v>
      </c>
      <c r="AA39" s="30">
        <f t="shared" si="8"/>
        <v>50</v>
      </c>
      <c r="AB39" s="32">
        <f t="shared" si="6"/>
        <v>50</v>
      </c>
      <c r="AC39" s="63"/>
    </row>
    <row r="40" spans="1:29" ht="27.6" x14ac:dyDescent="0.3">
      <c r="A40" s="24" t="s">
        <v>84</v>
      </c>
      <c r="B40" s="24" t="s">
        <v>35</v>
      </c>
      <c r="C40" s="24" t="s">
        <v>843</v>
      </c>
      <c r="D40" s="23"/>
      <c r="E40" s="20"/>
      <c r="F40" s="21"/>
      <c r="G40" s="23"/>
      <c r="H40" s="23"/>
      <c r="I40" s="3" t="s">
        <v>156</v>
      </c>
      <c r="J40" s="9">
        <f>+'EV1-Nancy'!J40+'EV1-Francisca'!J40+'EV1-Alex Alvarado'!J40+'EV1-Alex Castillo'!J40+'EV1-Adalid'!J40+'EV1-Neptaly'!J40+'EV1-Milixa'!J40+'Jennifer Canales'!J40+'EV2-David Ramos'!J40+'EV2-Jhony Amador'!J40+'EV2-Norma Hernández'!J40+'EV2-Goel Garcia'!J40+'EV2-Nubia '!J40+'EV2-Zamir'!J40+'EV2-Yimi'!J40</f>
        <v>0</v>
      </c>
      <c r="K40" s="9">
        <f>+'EV1-Nancy'!K40+'EV1-Francisca'!K40+'EV1-Alex Alvarado'!K40+'EV1-Alex Castillo'!K40+'EV1-Adalid'!K40+'EV1-Neptaly'!K40+'EV1-Milixa'!K40+'Jennifer Canales'!K40+'EV2-David Ramos'!K40+'EV2-Jhony Amador'!K40+'EV2-Norma Hernández'!K40+'EV2-Goel Garcia'!K40+'EV2-Nubia '!K40+'EV2-Zamir'!K40+'EV2-Yimi'!K40</f>
        <v>0</v>
      </c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11">
        <f>+('EV1-Nancy'!U40+'EV1-Francisca'!U40+'EV1-Alex Alvarado'!U40+'EV1-Alex Castillo'!U40+'EV1-Adalid'!U40+'EV1-Neptaly'!U40+'EV1-Milixa'!U40+'Jennifer Canales'!U40+'EV2-David Ramos'!U40+'EV2-Jhony Amador'!U40+'EV2-Norma Hernández'!U40+'EV2-Goel Garcia'!U40+'EV2-Nubia '!U40+'EV2-Zamir'!U40+'EV2-Yimi'!U40)/8</f>
        <v>0</v>
      </c>
      <c r="V40" s="11">
        <f>+('EV1-Nancy'!V40+'EV1-Francisca'!V40+'EV1-Alex Alvarado'!V40+'EV1-Alex Castillo'!V40+'EV1-Adalid'!V40+'EV1-Neptaly'!V40+'EV1-Milixa'!V40+'Jennifer Canales'!V40+'EV2-David Ramos'!V40+'EV2-Jhony Amador'!V40+'EV2-Norma Hernández'!V40+'EV2-Goel Garcia'!V40+'EV2-Nubia '!V40+'EV2-Zamir'!V40+'EV2-Yimi'!V40)/8</f>
        <v>0</v>
      </c>
      <c r="W40" s="11">
        <f>+('EV1-Nancy'!W40+'EV1-Francisca'!W40+'EV1-Alex Alvarado'!W40+'EV1-Alex Castillo'!W40+'EV1-Adalid'!W40+'EV1-Neptaly'!W40+'EV1-Milixa'!W40+'Jennifer Canales'!W40+'EV2-David Ramos'!W40+'EV2-Jhony Amador'!W40+'EV2-Norma Hernández'!W40+'EV2-Goel Garcia'!W40+'EV2-Nubia '!W40+'EV2-Zamir'!W40+'EV2-Yimi'!W40)/8</f>
        <v>0</v>
      </c>
      <c r="X40" s="11">
        <f>+('EV1-Nancy'!X40+'EV1-Francisca'!X40+'EV1-Alex Alvarado'!X40+'EV1-Alex Castillo'!X40+'EV1-Adalid'!X40+'EV1-Neptaly'!X40+'EV1-Milixa'!X40+'Jennifer Canales'!X40+'EV2-David Ramos'!X40+'EV2-Jhony Amador'!X40+'EV2-Norma Hernández'!X40+'EV2-Goel Garcia'!X40+'EV2-Nubia '!X40+'EV2-Zamir'!X40+'EV2-Yimi'!X40)/8</f>
        <v>0</v>
      </c>
      <c r="Y40" s="11">
        <f>+('EV1-Nancy'!Y40+'EV1-Francisca'!Y40+'EV1-Alex Alvarado'!Y40+'EV1-Alex Castillo'!Y40+'EV1-Adalid'!Y40+'EV1-Neptaly'!Y40+'EV1-Milixa'!Y40+'Jennifer Canales'!Y40+'EV2-David Ramos'!Y40+'EV2-Jhony Amador'!Y40+'EV2-Norma Hernández'!Y40+'EV2-Goel Garcia'!Y40+'EV2-Nubia '!Y40+'EV2-Zamir'!Y40+'EV2-Yimi'!Y40)/8</f>
        <v>0</v>
      </c>
      <c r="Z40" s="12">
        <f t="shared" si="4"/>
        <v>0</v>
      </c>
      <c r="AA40" s="30">
        <f t="shared" si="8"/>
        <v>0</v>
      </c>
      <c r="AB40" s="32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>
        <f>+'EV1-Nancy'!J41+'EV1-Francisca'!J41+'EV1-Alex Alvarado'!J41+'EV1-Alex Castillo'!J41+'EV1-Adalid'!J41+'EV1-Neptaly'!J41+'EV1-Milixa'!J41+'Jennifer Canales'!J41+'EV2-David Ramos'!J41+'EV2-Jhony Amador'!J41+'EV2-Norma Hernández'!J41+'EV2-Goel Garcia'!J41+'EV2-Nubia '!J41+'EV2-Zamir'!J41+'EV2-Yimi'!J41</f>
        <v>0</v>
      </c>
      <c r="K41" s="9">
        <f>+'EV1-Nancy'!K41+'EV1-Francisca'!K41+'EV1-Alex Alvarado'!K41+'EV1-Alex Castillo'!K41+'EV1-Adalid'!K41+'EV1-Neptaly'!K41+'EV1-Milixa'!K41+'Jennifer Canales'!K41+'EV2-David Ramos'!K41+'EV2-Jhony Amador'!K41+'EV2-Norma Hernández'!K41+'EV2-Goel Garcia'!K41+'EV2-Nubia '!K41+'EV2-Zamir'!K41+'EV2-Yimi'!K41</f>
        <v>0</v>
      </c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11">
        <f>+('EV1-Nancy'!U41+'EV1-Francisca'!U41+'EV1-Alex Alvarado'!U41+'EV1-Alex Castillo'!U41+'EV1-Adalid'!U41+'EV1-Neptaly'!U41+'EV1-Milixa'!U41+'Jennifer Canales'!U41+'EV2-David Ramos'!U41+'EV2-Jhony Amador'!U41+'EV2-Norma Hernández'!U41+'EV2-Goel Garcia'!U41+'EV2-Nubia '!U41+'EV2-Zamir'!U41+'EV2-Yimi'!U41)/8</f>
        <v>0</v>
      </c>
      <c r="V41" s="11">
        <f>+('EV1-Nancy'!V41+'EV1-Francisca'!V41+'EV1-Alex Alvarado'!V41+'EV1-Alex Castillo'!V41+'EV1-Adalid'!V41+'EV1-Neptaly'!V41+'EV1-Milixa'!V41+'Jennifer Canales'!V41+'EV2-David Ramos'!V41+'EV2-Jhony Amador'!V41+'EV2-Norma Hernández'!V41+'EV2-Goel Garcia'!V41+'EV2-Nubia '!V41+'EV2-Zamir'!V41+'EV2-Yimi'!V41)/8</f>
        <v>0</v>
      </c>
      <c r="W41" s="11">
        <f>+('EV1-Nancy'!W41+'EV1-Francisca'!W41+'EV1-Alex Alvarado'!W41+'EV1-Alex Castillo'!W41+'EV1-Adalid'!W41+'EV1-Neptaly'!W41+'EV1-Milixa'!W41+'Jennifer Canales'!W41+'EV2-David Ramos'!W41+'EV2-Jhony Amador'!W41+'EV2-Norma Hernández'!W41+'EV2-Goel Garcia'!W41+'EV2-Nubia '!W41+'EV2-Zamir'!W41+'EV2-Yimi'!W41)/8</f>
        <v>0</v>
      </c>
      <c r="X41" s="11">
        <f>+('EV1-Nancy'!X41+'EV1-Francisca'!X41+'EV1-Alex Alvarado'!X41+'EV1-Alex Castillo'!X41+'EV1-Adalid'!X41+'EV1-Neptaly'!X41+'EV1-Milixa'!X41+'Jennifer Canales'!X41+'EV2-David Ramos'!X41+'EV2-Jhony Amador'!X41+'EV2-Norma Hernández'!X41+'EV2-Goel Garcia'!X41+'EV2-Nubia '!X41+'EV2-Zamir'!X41+'EV2-Yimi'!X41)/8</f>
        <v>0</v>
      </c>
      <c r="Y41" s="11">
        <f>+('EV1-Nancy'!Y41+'EV1-Francisca'!Y41+'EV1-Alex Alvarado'!Y41+'EV1-Alex Castillo'!Y41+'EV1-Adalid'!Y41+'EV1-Neptaly'!Y41+'EV1-Milixa'!Y41+'Jennifer Canales'!Y41+'EV2-David Ramos'!Y41+'EV2-Jhony Amador'!Y41+'EV2-Norma Hernández'!Y41+'EV2-Goel Garcia'!Y41+'EV2-Nubia '!Y41+'EV2-Zamir'!Y41+'EV2-Yimi'!Y41)/8</f>
        <v>0</v>
      </c>
      <c r="Z41" s="12">
        <f t="shared" si="4"/>
        <v>0</v>
      </c>
      <c r="AA41" s="30">
        <f t="shared" si="8"/>
        <v>0</v>
      </c>
      <c r="AB41" s="32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>
        <f>+'EV1-Nancy'!J42+'EV1-Francisca'!J42+'EV1-Alex Alvarado'!J42+'EV1-Alex Castillo'!J42+'EV1-Adalid'!J42+'EV1-Neptaly'!J42+'EV1-Milixa'!J42+'Jennifer Canales'!J42+'EV2-David Ramos'!J42+'EV2-Jhony Amador'!J42+'EV2-Norma Hernández'!J42+'EV2-Goel Garcia'!J42+'EV2-Nubia '!J42+'EV2-Zamir'!J42+'EV2-Yimi'!J42</f>
        <v>2</v>
      </c>
      <c r="K42" s="9">
        <f>+'EV1-Nancy'!K42+'EV1-Francisca'!K42+'EV1-Alex Alvarado'!K42+'EV1-Alex Castillo'!K42+'EV1-Adalid'!K42+'EV1-Neptaly'!K42+'EV1-Milixa'!K42+'Jennifer Canales'!K42+'EV2-David Ramos'!K42+'EV2-Jhony Amador'!K42+'EV2-Norma Hernández'!K42+'EV2-Goel Garcia'!K42+'EV2-Nubia '!K42+'EV2-Zamir'!K42+'EV2-Yimi'!K42</f>
        <v>2</v>
      </c>
      <c r="L42" s="10">
        <f t="shared" si="0"/>
        <v>0</v>
      </c>
      <c r="M42" s="10"/>
      <c r="N42" s="10"/>
      <c r="O42" s="10"/>
      <c r="P42" s="38">
        <f t="shared" si="1"/>
        <v>100</v>
      </c>
      <c r="Q42" s="11"/>
      <c r="R42" s="11"/>
      <c r="S42" s="12">
        <f t="shared" si="2"/>
        <v>0</v>
      </c>
      <c r="T42" s="28">
        <f t="shared" si="3"/>
        <v>0</v>
      </c>
      <c r="U42" s="11">
        <f>+('EV1-Nancy'!U42+'EV1-Francisca'!U42+'EV1-Alex Alvarado'!U42+'EV1-Alex Castillo'!U42+'EV1-Adalid'!U42+'EV1-Neptaly'!U42+'EV1-Milixa'!U42+'Jennifer Canales'!U42+'EV2-David Ramos'!U42+'EV2-Jhony Amador'!U42+'EV2-Norma Hernández'!U42+'EV2-Goel Garcia'!U42+'EV2-Nubia '!U42+'EV2-Zamir'!U42+'EV2-Yimi'!U42)/8</f>
        <v>1.25</v>
      </c>
      <c r="V42" s="11">
        <f>+('EV1-Nancy'!V42+'EV1-Francisca'!V42+'EV1-Alex Alvarado'!V42+'EV1-Alex Castillo'!V42+'EV1-Adalid'!V42+'EV1-Neptaly'!V42+'EV1-Milixa'!V42+'Jennifer Canales'!V42+'EV2-David Ramos'!V42+'EV2-Jhony Amador'!V42+'EV2-Norma Hernández'!V42+'EV2-Goel Garcia'!V42+'EV2-Nubia '!V42+'EV2-Zamir'!V42+'EV2-Yimi'!V42)/8</f>
        <v>0</v>
      </c>
      <c r="W42" s="11">
        <f>+('EV1-Nancy'!W42+'EV1-Francisca'!W42+'EV1-Alex Alvarado'!W42+'EV1-Alex Castillo'!W42+'EV1-Adalid'!W42+'EV1-Neptaly'!W42+'EV1-Milixa'!W42+'Jennifer Canales'!W42+'EV2-David Ramos'!W42+'EV2-Jhony Amador'!W42+'EV2-Norma Hernández'!W42+'EV2-Goel Garcia'!W42+'EV2-Nubia '!W42+'EV2-Zamir'!W42+'EV2-Yimi'!W42)/8</f>
        <v>0</v>
      </c>
      <c r="X42" s="11">
        <f>+('EV1-Nancy'!X42+'EV1-Francisca'!X42+'EV1-Alex Alvarado'!X42+'EV1-Alex Castillo'!X42+'EV1-Adalid'!X42+'EV1-Neptaly'!X42+'EV1-Milixa'!X42+'Jennifer Canales'!X42+'EV2-David Ramos'!X42+'EV2-Jhony Amador'!X42+'EV2-Norma Hernández'!X42+'EV2-Goel Garcia'!X42+'EV2-Nubia '!X42+'EV2-Zamir'!X42+'EV2-Yimi'!X42)/8</f>
        <v>0</v>
      </c>
      <c r="Y42" s="11">
        <f>+('EV1-Nancy'!Y42+'EV1-Francisca'!Y42+'EV1-Alex Alvarado'!Y42+'EV1-Alex Castillo'!Y42+'EV1-Adalid'!Y42+'EV1-Neptaly'!Y42+'EV1-Milixa'!Y42+'Jennifer Canales'!Y42+'EV2-David Ramos'!Y42+'EV2-Jhony Amador'!Y42+'EV2-Norma Hernández'!Y42+'EV2-Goel Garcia'!Y42+'EV2-Nubia '!Y42+'EV2-Zamir'!Y42+'EV2-Yimi'!Y42)/8</f>
        <v>1.25</v>
      </c>
      <c r="Z42" s="12">
        <f>+U42+Y42</f>
        <v>2.5</v>
      </c>
      <c r="AA42" s="30">
        <f t="shared" si="8"/>
        <v>12.5</v>
      </c>
      <c r="AB42" s="32">
        <f>+(P42+AA42)/2</f>
        <v>56.25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>
        <f>+'EV1-Nancy'!J43+'EV1-Francisca'!J43+'EV1-Alex Alvarado'!J43+'EV1-Alex Castillo'!J43+'EV1-Adalid'!J43+'EV1-Neptaly'!J43+'EV1-Milixa'!J43+'Jennifer Canales'!J43+'EV2-David Ramos'!J43+'EV2-Jhony Amador'!J43+'EV2-Norma Hernández'!J43+'EV2-Goel Garcia'!J43+'EV2-Nubia '!J43+'EV2-Zamir'!J43+'EV2-Yimi'!J43</f>
        <v>0</v>
      </c>
      <c r="K43" s="9">
        <f>+'EV1-Nancy'!K43+'EV1-Francisca'!K43+'EV1-Alex Alvarado'!K43+'EV1-Alex Castillo'!K43+'EV1-Adalid'!K43+'EV1-Neptaly'!K43+'EV1-Milixa'!K43+'Jennifer Canales'!K43+'EV2-David Ramos'!K43+'EV2-Jhony Amador'!K43+'EV2-Norma Hernández'!K43+'EV2-Goel Garcia'!K43+'EV2-Nubia '!K43+'EV2-Zamir'!K43+'EV2-Yimi'!K43</f>
        <v>0</v>
      </c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11">
        <f>+('EV1-Nancy'!U43+'EV1-Francisca'!U43+'EV1-Alex Alvarado'!U43+'EV1-Alex Castillo'!U43+'EV1-Adalid'!U43+'EV1-Neptaly'!U43+'EV1-Milixa'!U43+'Jennifer Canales'!U43+'EV2-David Ramos'!U43+'EV2-Jhony Amador'!U43+'EV2-Norma Hernández'!U43+'EV2-Goel Garcia'!U43+'EV2-Nubia '!U43+'EV2-Zamir'!U43+'EV2-Yimi'!U43)/8</f>
        <v>0</v>
      </c>
      <c r="V43" s="11">
        <f>+('EV1-Nancy'!V43+'EV1-Francisca'!V43+'EV1-Alex Alvarado'!V43+'EV1-Alex Castillo'!V43+'EV1-Adalid'!V43+'EV1-Neptaly'!V43+'EV1-Milixa'!V43+'Jennifer Canales'!V43+'EV2-David Ramos'!V43+'EV2-Jhony Amador'!V43+'EV2-Norma Hernández'!V43+'EV2-Goel Garcia'!V43+'EV2-Nubia '!V43+'EV2-Zamir'!V43+'EV2-Yimi'!V43)/8</f>
        <v>0</v>
      </c>
      <c r="W43" s="11">
        <f>+('EV1-Nancy'!W43+'EV1-Francisca'!W43+'EV1-Alex Alvarado'!W43+'EV1-Alex Castillo'!W43+'EV1-Adalid'!W43+'EV1-Neptaly'!W43+'EV1-Milixa'!W43+'Jennifer Canales'!W43+'EV2-David Ramos'!W43+'EV2-Jhony Amador'!W43+'EV2-Norma Hernández'!W43+'EV2-Goel Garcia'!W43+'EV2-Nubia '!W43+'EV2-Zamir'!W43+'EV2-Yimi'!W43)/8</f>
        <v>0</v>
      </c>
      <c r="X43" s="11">
        <f>+('EV1-Nancy'!X43+'EV1-Francisca'!X43+'EV1-Alex Alvarado'!X43+'EV1-Alex Castillo'!X43+'EV1-Adalid'!X43+'EV1-Neptaly'!X43+'EV1-Milixa'!X43+'Jennifer Canales'!X43+'EV2-David Ramos'!X43+'EV2-Jhony Amador'!X43+'EV2-Norma Hernández'!X43+'EV2-Goel Garcia'!X43+'EV2-Nubia '!X43+'EV2-Zamir'!X43+'EV2-Yimi'!X43)/8</f>
        <v>0</v>
      </c>
      <c r="Y43" s="11">
        <f>+('EV1-Nancy'!Y43+'EV1-Francisca'!Y43+'EV1-Alex Alvarado'!Y43+'EV1-Alex Castillo'!Y43+'EV1-Adalid'!Y43+'EV1-Neptaly'!Y43+'EV1-Milixa'!Y43+'Jennifer Canales'!Y43+'EV2-David Ramos'!Y43+'EV2-Jhony Amador'!Y43+'EV2-Norma Hernández'!Y43+'EV2-Goel Garcia'!Y43+'EV2-Nubia '!Y43+'EV2-Zamir'!Y43+'EV2-Yimi'!Y43)/8</f>
        <v>0</v>
      </c>
      <c r="Z43" s="12">
        <f t="shared" si="4"/>
        <v>0</v>
      </c>
      <c r="AA43" s="30">
        <f t="shared" si="8"/>
        <v>0</v>
      </c>
      <c r="AB43" s="32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>
        <f>+'EV1-Nancy'!J44+'EV1-Francisca'!J44+'EV1-Alex Alvarado'!J44+'EV1-Alex Castillo'!J44+'EV1-Adalid'!J44+'EV1-Neptaly'!J44+'EV1-Milixa'!J44+'Jennifer Canales'!J44+'EV2-David Ramos'!J44+'EV2-Jhony Amador'!J44+'EV2-Norma Hernández'!J44+'EV2-Goel Garcia'!J44+'EV2-Nubia '!J44+'EV2-Zamir'!J44+'EV2-Yimi'!J44</f>
        <v>0</v>
      </c>
      <c r="K44" s="9">
        <f>+'EV1-Nancy'!K44+'EV1-Francisca'!K44+'EV1-Alex Alvarado'!K44+'EV1-Alex Castillo'!K44+'EV1-Adalid'!K44+'EV1-Neptaly'!K44+'EV1-Milixa'!K44+'Jennifer Canales'!K44+'EV2-David Ramos'!K44+'EV2-Jhony Amador'!K44+'EV2-Norma Hernández'!K44+'EV2-Goel Garcia'!K44+'EV2-Nubia '!K44+'EV2-Zamir'!K44+'EV2-Yimi'!K44</f>
        <v>0</v>
      </c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11">
        <f>+('EV1-Nancy'!U44+'EV1-Francisca'!U44+'EV1-Alex Alvarado'!U44+'EV1-Alex Castillo'!U44+'EV1-Adalid'!U44+'EV1-Neptaly'!U44+'EV1-Milixa'!U44+'Jennifer Canales'!U44+'EV2-David Ramos'!U44+'EV2-Jhony Amador'!U44+'EV2-Norma Hernández'!U44+'EV2-Goel Garcia'!U44+'EV2-Nubia '!U44+'EV2-Zamir'!U44+'EV2-Yimi'!U44)/8</f>
        <v>0</v>
      </c>
      <c r="V44" s="11">
        <f>+('EV1-Nancy'!V44+'EV1-Francisca'!V44+'EV1-Alex Alvarado'!V44+'EV1-Alex Castillo'!V44+'EV1-Adalid'!V44+'EV1-Neptaly'!V44+'EV1-Milixa'!V44+'Jennifer Canales'!V44+'EV2-David Ramos'!V44+'EV2-Jhony Amador'!V44+'EV2-Norma Hernández'!V44+'EV2-Goel Garcia'!V44+'EV2-Nubia '!V44+'EV2-Zamir'!V44+'EV2-Yimi'!V44)/8</f>
        <v>0</v>
      </c>
      <c r="W44" s="11">
        <f>+('EV1-Nancy'!W44+'EV1-Francisca'!W44+'EV1-Alex Alvarado'!W44+'EV1-Alex Castillo'!W44+'EV1-Adalid'!W44+'EV1-Neptaly'!W44+'EV1-Milixa'!W44+'Jennifer Canales'!W44+'EV2-David Ramos'!W44+'EV2-Jhony Amador'!W44+'EV2-Norma Hernández'!W44+'EV2-Goel Garcia'!W44+'EV2-Nubia '!W44+'EV2-Zamir'!W44+'EV2-Yimi'!W44)/8</f>
        <v>0</v>
      </c>
      <c r="X44" s="11">
        <f>+('EV1-Nancy'!X44+'EV1-Francisca'!X44+'EV1-Alex Alvarado'!X44+'EV1-Alex Castillo'!X44+'EV1-Adalid'!X44+'EV1-Neptaly'!X44+'EV1-Milixa'!X44+'Jennifer Canales'!X44+'EV2-David Ramos'!X44+'EV2-Jhony Amador'!X44+'EV2-Norma Hernández'!X44+'EV2-Goel Garcia'!X44+'EV2-Nubia '!X44+'EV2-Zamir'!X44+'EV2-Yimi'!X44)/8</f>
        <v>0</v>
      </c>
      <c r="Y44" s="11">
        <f>+('EV1-Nancy'!Y44+'EV1-Francisca'!Y44+'EV1-Alex Alvarado'!Y44+'EV1-Alex Castillo'!Y44+'EV1-Adalid'!Y44+'EV1-Neptaly'!Y44+'EV1-Milixa'!Y44+'Jennifer Canales'!Y44+'EV2-David Ramos'!Y44+'EV2-Jhony Amador'!Y44+'EV2-Norma Hernández'!Y44+'EV2-Goel Garcia'!Y44+'EV2-Nubia '!Y44+'EV2-Zamir'!Y44+'EV2-Yimi'!Y44)/8</f>
        <v>0</v>
      </c>
      <c r="Z44" s="12">
        <f t="shared" ref="Z44:Z50" si="18">+U44+Y44</f>
        <v>0</v>
      </c>
      <c r="AA44" s="30">
        <f t="shared" si="8"/>
        <v>0</v>
      </c>
      <c r="AB44" s="32">
        <f t="shared" ref="AB44:AB50" si="19">+(P44+AA44)/2</f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>
        <f>+'EV1-Nancy'!J45+'EV1-Francisca'!J45+'EV1-Alex Alvarado'!J45+'EV1-Alex Castillo'!J45+'EV1-Adalid'!J45+'EV1-Neptaly'!J45+'EV1-Milixa'!J45+'Jennifer Canales'!J45+'EV2-David Ramos'!J45+'EV2-Jhony Amador'!J45+'EV2-Norma Hernández'!J45+'EV2-Goel Garcia'!J45+'EV2-Nubia '!J45+'EV2-Zamir'!J45+'EV2-Yimi'!J45</f>
        <v>64</v>
      </c>
      <c r="K45" s="9">
        <f>+'EV1-Nancy'!K45+'EV1-Francisca'!K45+'EV1-Alex Alvarado'!K45+'EV1-Alex Castillo'!K45+'EV1-Adalid'!K45+'EV1-Neptaly'!K45+'EV1-Milixa'!K45+'Jennifer Canales'!K45+'EV2-David Ramos'!K45+'EV2-Jhony Amador'!K45+'EV2-Norma Hernández'!K45+'EV2-Goel Garcia'!K45+'EV2-Nubia '!K45+'EV2-Zamir'!K45+'EV2-Yimi'!K45</f>
        <v>46</v>
      </c>
      <c r="L45" s="10">
        <f t="shared" si="0"/>
        <v>18</v>
      </c>
      <c r="M45" s="10"/>
      <c r="N45" s="10"/>
      <c r="O45" s="10"/>
      <c r="P45" s="38">
        <f t="shared" si="1"/>
        <v>71.875</v>
      </c>
      <c r="Q45" s="11"/>
      <c r="R45" s="11"/>
      <c r="S45" s="12">
        <f t="shared" si="2"/>
        <v>0</v>
      </c>
      <c r="T45" s="28">
        <f t="shared" si="3"/>
        <v>0</v>
      </c>
      <c r="U45" s="11">
        <f>+('EV1-Nancy'!U45+'EV1-Francisca'!U45+'EV1-Alex Alvarado'!U45+'EV1-Alex Castillo'!U45+'EV1-Adalid'!U45+'EV1-Neptaly'!U45+'EV1-Milixa'!U45+'Jennifer Canales'!U45+'EV2-David Ramos'!U45+'EV2-Jhony Amador'!U45+'EV2-Norma Hernández'!U45+'EV2-Goel Garcia'!U45+'EV2-Nubia '!U45+'EV2-Zamir'!U45+'EV2-Yimi'!U45)/8</f>
        <v>0</v>
      </c>
      <c r="V45" s="11">
        <f>+('EV1-Nancy'!V45+'EV1-Francisca'!V45+'EV1-Alex Alvarado'!V45+'EV1-Alex Castillo'!V45+'EV1-Adalid'!V45+'EV1-Neptaly'!V45+'EV1-Milixa'!V45+'Jennifer Canales'!V45+'EV2-David Ramos'!V45+'EV2-Jhony Amador'!V45+'EV2-Norma Hernández'!V45+'EV2-Goel Garcia'!V45+'EV2-Nubia '!V45+'EV2-Zamir'!V45+'EV2-Yimi'!V45)/8</f>
        <v>0</v>
      </c>
      <c r="W45" s="11">
        <f>+('EV1-Nancy'!W45+'EV1-Francisca'!W45+'EV1-Alex Alvarado'!W45+'EV1-Alex Castillo'!W45+'EV1-Adalid'!W45+'EV1-Neptaly'!W45+'EV1-Milixa'!W45+'Jennifer Canales'!W45+'EV2-David Ramos'!W45+'EV2-Jhony Amador'!W45+'EV2-Norma Hernández'!W45+'EV2-Goel Garcia'!W45+'EV2-Nubia '!W45+'EV2-Zamir'!W45+'EV2-Yimi'!W45)/8</f>
        <v>0</v>
      </c>
      <c r="X45" s="11">
        <f>+('EV1-Nancy'!X45+'EV1-Francisca'!X45+'EV1-Alex Alvarado'!X45+'EV1-Alex Castillo'!X45+'EV1-Adalid'!X45+'EV1-Neptaly'!X45+'EV1-Milixa'!X45+'Jennifer Canales'!X45+'EV2-David Ramos'!X45+'EV2-Jhony Amador'!X45+'EV2-Norma Hernández'!X45+'EV2-Goel Garcia'!X45+'EV2-Nubia '!X45+'EV2-Zamir'!X45+'EV2-Yimi'!X45)/8</f>
        <v>0</v>
      </c>
      <c r="Y45" s="11">
        <f>+('EV1-Nancy'!Y45+'EV1-Francisca'!Y45+'EV1-Alex Alvarado'!Y45+'EV1-Alex Castillo'!Y45+'EV1-Adalid'!Y45+'EV1-Neptaly'!Y45+'EV1-Milixa'!Y45+'Jennifer Canales'!Y45+'EV2-David Ramos'!Y45+'EV2-Jhony Amador'!Y45+'EV2-Norma Hernández'!Y45+'EV2-Goel Garcia'!Y45+'EV2-Nubia '!Y45+'EV2-Zamir'!Y45+'EV2-Yimi'!Y45)/8</f>
        <v>0</v>
      </c>
      <c r="Z45" s="12">
        <f t="shared" si="18"/>
        <v>0</v>
      </c>
      <c r="AA45" s="30">
        <f t="shared" si="8"/>
        <v>0</v>
      </c>
      <c r="AB45" s="32">
        <f t="shared" si="19"/>
        <v>35.9375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>
        <f>+'EV1-Nancy'!J46+'EV1-Francisca'!J46+'EV1-Alex Alvarado'!J46+'EV1-Alex Castillo'!J46+'EV1-Adalid'!J46+'EV1-Neptaly'!J46+'EV1-Milixa'!J46+'Jennifer Canales'!J46+'EV2-David Ramos'!J46+'EV2-Jhony Amador'!J46+'EV2-Norma Hernández'!J46+'EV2-Goel Garcia'!J46+'EV2-Nubia '!J46+'EV2-Zamir'!J46+'EV2-Yimi'!J46</f>
        <v>336</v>
      </c>
      <c r="K46" s="9">
        <f>+'EV1-Nancy'!K46+'EV1-Francisca'!K46+'EV1-Alex Alvarado'!K46+'EV1-Alex Castillo'!K46+'EV1-Adalid'!K46+'EV1-Neptaly'!K46+'EV1-Milixa'!K46+'Jennifer Canales'!K46+'EV2-David Ramos'!K46+'EV2-Jhony Amador'!K46+'EV2-Norma Hernández'!K46+'EV2-Goel Garcia'!K46+'EV2-Nubia '!K46+'EV2-Zamir'!K46+'EV2-Yimi'!K46</f>
        <v>310</v>
      </c>
      <c r="L46" s="10">
        <f t="shared" si="0"/>
        <v>26</v>
      </c>
      <c r="M46" s="10">
        <v>4</v>
      </c>
      <c r="N46" s="10">
        <f>+L46-M46</f>
        <v>22</v>
      </c>
      <c r="O46" s="10">
        <v>0</v>
      </c>
      <c r="P46" s="38">
        <f t="shared" si="1"/>
        <v>92.261904761904759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11">
        <f>+('EV1-Nancy'!U46+'EV1-Francisca'!U46+'EV1-Alex Alvarado'!U46+'EV1-Alex Castillo'!U46+'EV1-Adalid'!U46+'EV1-Neptaly'!U46+'EV1-Milixa'!U46+'Jennifer Canales'!U46+'EV2-David Ramos'!U46+'EV2-Jhony Amador'!U46+'EV2-Norma Hernández'!U46+'EV2-Goel Garcia'!U46+'EV2-Nubia '!U46+'EV2-Zamir'!U46+'EV2-Yimi'!U46)/8</f>
        <v>0.25</v>
      </c>
      <c r="V46" s="11">
        <f>+('EV1-Nancy'!V46+'EV1-Francisca'!V46+'EV1-Alex Alvarado'!V46+'EV1-Alex Castillo'!V46+'EV1-Adalid'!V46+'EV1-Neptaly'!V46+'EV1-Milixa'!V46+'Jennifer Canales'!V46+'EV2-David Ramos'!V46+'EV2-Jhony Amador'!V46+'EV2-Norma Hernández'!V46+'EV2-Goel Garcia'!V46+'EV2-Nubia '!V46+'EV2-Zamir'!V46+'EV2-Yimi'!V46)/8</f>
        <v>0</v>
      </c>
      <c r="W46" s="11">
        <f>+('EV1-Nancy'!W46+'EV1-Francisca'!W46+'EV1-Alex Alvarado'!W46+'EV1-Alex Castillo'!W46+'EV1-Adalid'!W46+'EV1-Neptaly'!W46+'EV1-Milixa'!W46+'Jennifer Canales'!W46+'EV2-David Ramos'!W46+'EV2-Jhony Amador'!W46+'EV2-Norma Hernández'!W46+'EV2-Goel Garcia'!W46+'EV2-Nubia '!W46+'EV2-Zamir'!W46+'EV2-Yimi'!W46)/8</f>
        <v>0</v>
      </c>
      <c r="X46" s="11">
        <f>+('EV1-Nancy'!X46+'EV1-Francisca'!X46+'EV1-Alex Alvarado'!X46+'EV1-Alex Castillo'!X46+'EV1-Adalid'!X46+'EV1-Neptaly'!X46+'EV1-Milixa'!X46+'Jennifer Canales'!X46+'EV2-David Ramos'!X46+'EV2-Jhony Amador'!X46+'EV2-Norma Hernández'!X46+'EV2-Goel Garcia'!X46+'EV2-Nubia '!X46+'EV2-Zamir'!X46+'EV2-Yimi'!X46)/8</f>
        <v>0</v>
      </c>
      <c r="Y46" s="11">
        <f>+('EV1-Nancy'!Y46+'EV1-Francisca'!Y46+'EV1-Alex Alvarado'!Y46+'EV1-Alex Castillo'!Y46+'EV1-Adalid'!Y46+'EV1-Neptaly'!Y46+'EV1-Milixa'!Y46+'Jennifer Canales'!Y46+'EV2-David Ramos'!Y46+'EV2-Jhony Amador'!Y46+'EV2-Norma Hernández'!Y46+'EV2-Goel Garcia'!Y46+'EV2-Nubia '!Y46+'EV2-Zamir'!Y46+'EV2-Yimi'!Y46)/8</f>
        <v>0</v>
      </c>
      <c r="Z46" s="12">
        <f t="shared" si="18"/>
        <v>0.25</v>
      </c>
      <c r="AA46" s="30">
        <f t="shared" si="8"/>
        <v>1.25</v>
      </c>
      <c r="AB46" s="32">
        <f t="shared" si="19"/>
        <v>46.75595238095238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>
        <f>+'EV1-Nancy'!J47+'EV1-Francisca'!J47+'EV1-Alex Alvarado'!J47+'EV1-Alex Castillo'!J47+'EV1-Adalid'!J47+'EV1-Neptaly'!J47+'EV1-Milixa'!J47+'Jennifer Canales'!J47+'EV2-David Ramos'!J47+'EV2-Jhony Amador'!J47+'EV2-Norma Hernández'!J47+'EV2-Goel Garcia'!J47+'EV2-Nubia '!J47+'EV2-Zamir'!J47+'EV2-Yimi'!J47</f>
        <v>102</v>
      </c>
      <c r="K47" s="9">
        <f>+'EV1-Nancy'!K47+'EV1-Francisca'!K47+'EV1-Alex Alvarado'!K47+'EV1-Alex Castillo'!K47+'EV1-Adalid'!K47+'EV1-Neptaly'!K47+'EV1-Milixa'!K47+'Jennifer Canales'!K47+'EV2-David Ramos'!K47+'EV2-Jhony Amador'!K47+'EV2-Norma Hernández'!K47+'EV2-Goel Garcia'!K47+'EV2-Nubia '!K47+'EV2-Zamir'!K47+'EV2-Yimi'!K47</f>
        <v>101</v>
      </c>
      <c r="L47" s="10">
        <f t="shared" si="0"/>
        <v>1</v>
      </c>
      <c r="M47" s="10"/>
      <c r="N47" s="10"/>
      <c r="O47" s="10"/>
      <c r="P47" s="38">
        <f t="shared" si="1"/>
        <v>99.019607843137251</v>
      </c>
      <c r="Q47" s="11"/>
      <c r="R47" s="11"/>
      <c r="S47" s="12">
        <f t="shared" si="2"/>
        <v>0</v>
      </c>
      <c r="T47" s="28">
        <f t="shared" si="3"/>
        <v>0</v>
      </c>
      <c r="U47" s="11">
        <f>+('EV1-Nancy'!U47+'EV1-Francisca'!U47+'EV1-Alex Alvarado'!U47+'EV1-Alex Castillo'!U47+'EV1-Adalid'!U47+'EV1-Neptaly'!U47+'EV1-Milixa'!U47+'Jennifer Canales'!U47+'EV2-David Ramos'!U47+'EV2-Jhony Amador'!U47+'EV2-Norma Hernández'!U47+'EV2-Goel Garcia'!U47+'EV2-Nubia '!U47+'EV2-Zamir'!U47+'EV2-Yimi'!U47)/8</f>
        <v>0</v>
      </c>
      <c r="V47" s="11">
        <f>+('EV1-Nancy'!V47+'EV1-Francisca'!V47+'EV1-Alex Alvarado'!V47+'EV1-Alex Castillo'!V47+'EV1-Adalid'!V47+'EV1-Neptaly'!V47+'EV1-Milixa'!V47+'Jennifer Canales'!V47+'EV2-David Ramos'!V47+'EV2-Jhony Amador'!V47+'EV2-Norma Hernández'!V47+'EV2-Goel Garcia'!V47+'EV2-Nubia '!V47+'EV2-Zamir'!V47+'EV2-Yimi'!V47)/8</f>
        <v>0</v>
      </c>
      <c r="W47" s="11">
        <f>+('EV1-Nancy'!W47+'EV1-Francisca'!W47+'EV1-Alex Alvarado'!W47+'EV1-Alex Castillo'!W47+'EV1-Adalid'!W47+'EV1-Neptaly'!W47+'EV1-Milixa'!W47+'Jennifer Canales'!W47+'EV2-David Ramos'!W47+'EV2-Jhony Amador'!W47+'EV2-Norma Hernández'!W47+'EV2-Goel Garcia'!W47+'EV2-Nubia '!W47+'EV2-Zamir'!W47+'EV2-Yimi'!W47)/8</f>
        <v>0</v>
      </c>
      <c r="X47" s="11">
        <f>+('EV1-Nancy'!X47+'EV1-Francisca'!X47+'EV1-Alex Alvarado'!X47+'EV1-Alex Castillo'!X47+'EV1-Adalid'!X47+'EV1-Neptaly'!X47+'EV1-Milixa'!X47+'Jennifer Canales'!X47+'EV2-David Ramos'!X47+'EV2-Jhony Amador'!X47+'EV2-Norma Hernández'!X47+'EV2-Goel Garcia'!X47+'EV2-Nubia '!X47+'EV2-Zamir'!X47+'EV2-Yimi'!X47)/8</f>
        <v>0</v>
      </c>
      <c r="Y47" s="11">
        <f>+('EV1-Nancy'!Y47+'EV1-Francisca'!Y47+'EV1-Alex Alvarado'!Y47+'EV1-Alex Castillo'!Y47+'EV1-Adalid'!Y47+'EV1-Neptaly'!Y47+'EV1-Milixa'!Y47+'Jennifer Canales'!Y47+'EV2-David Ramos'!Y47+'EV2-Jhony Amador'!Y47+'EV2-Norma Hernández'!Y47+'EV2-Goel Garcia'!Y47+'EV2-Nubia '!Y47+'EV2-Zamir'!Y47+'EV2-Yimi'!Y47)/8</f>
        <v>0</v>
      </c>
      <c r="Z47" s="12">
        <f t="shared" si="18"/>
        <v>0</v>
      </c>
      <c r="AA47" s="30">
        <f t="shared" si="8"/>
        <v>0</v>
      </c>
      <c r="AB47" s="32">
        <f t="shared" si="19"/>
        <v>49.509803921568626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>
        <f>+'EV1-Nancy'!J48+'EV1-Francisca'!J48+'EV1-Alex Alvarado'!J48+'EV1-Alex Castillo'!J48+'EV1-Adalid'!J48+'EV1-Neptaly'!J48+'EV1-Milixa'!J48+'Jennifer Canales'!J48+'EV2-David Ramos'!J48+'EV2-Jhony Amador'!J48+'EV2-Norma Hernández'!J48+'EV2-Goel Garcia'!J48+'EV2-Nubia '!J48+'EV2-Zamir'!J48+'EV2-Yimi'!J48</f>
        <v>6</v>
      </c>
      <c r="K48" s="9">
        <f>+'EV1-Nancy'!K48+'EV1-Francisca'!K48+'EV1-Alex Alvarado'!K48+'EV1-Alex Castillo'!K48+'EV1-Adalid'!K48+'EV1-Neptaly'!K48+'EV1-Milixa'!K48+'Jennifer Canales'!K48+'EV2-David Ramos'!K48+'EV2-Jhony Amador'!K48+'EV2-Norma Hernández'!K48+'EV2-Goel Garcia'!K48+'EV2-Nubia '!K48+'EV2-Zamir'!K48+'EV2-Yimi'!K48</f>
        <v>5</v>
      </c>
      <c r="L48" s="10">
        <f t="shared" si="0"/>
        <v>1</v>
      </c>
      <c r="M48" s="10"/>
      <c r="N48" s="10"/>
      <c r="O48" s="10"/>
      <c r="P48" s="38">
        <f t="shared" si="1"/>
        <v>83.333333333333329</v>
      </c>
      <c r="Q48" s="11"/>
      <c r="R48" s="11"/>
      <c r="S48" s="12">
        <f t="shared" si="2"/>
        <v>0</v>
      </c>
      <c r="T48" s="28">
        <f t="shared" si="3"/>
        <v>0</v>
      </c>
      <c r="U48" s="11">
        <f>+('EV1-Nancy'!U48+'EV1-Francisca'!U48+'EV1-Alex Alvarado'!U48+'EV1-Alex Castillo'!U48+'EV1-Adalid'!U48+'EV1-Neptaly'!U48+'EV1-Milixa'!U48+'Jennifer Canales'!U48+'EV2-David Ramos'!U48+'EV2-Jhony Amador'!U48+'EV2-Norma Hernández'!U48+'EV2-Goel Garcia'!U48+'EV2-Nubia '!U48+'EV2-Zamir'!U48+'EV2-Yimi'!U48)/8</f>
        <v>0</v>
      </c>
      <c r="V48" s="11">
        <f>+('EV1-Nancy'!V48+'EV1-Francisca'!V48+'EV1-Alex Alvarado'!V48+'EV1-Alex Castillo'!V48+'EV1-Adalid'!V48+'EV1-Neptaly'!V48+'EV1-Milixa'!V48+'Jennifer Canales'!V48+'EV2-David Ramos'!V48+'EV2-Jhony Amador'!V48+'EV2-Norma Hernández'!V48+'EV2-Goel Garcia'!V48+'EV2-Nubia '!V48+'EV2-Zamir'!V48+'EV2-Yimi'!V48)/8</f>
        <v>0</v>
      </c>
      <c r="W48" s="11">
        <f>+('EV1-Nancy'!W48+'EV1-Francisca'!W48+'EV1-Alex Alvarado'!W48+'EV1-Alex Castillo'!W48+'EV1-Adalid'!W48+'EV1-Neptaly'!W48+'EV1-Milixa'!W48+'Jennifer Canales'!W48+'EV2-David Ramos'!W48+'EV2-Jhony Amador'!W48+'EV2-Norma Hernández'!W48+'EV2-Goel Garcia'!W48+'EV2-Nubia '!W48+'EV2-Zamir'!W48+'EV2-Yimi'!W48)/8</f>
        <v>0</v>
      </c>
      <c r="X48" s="11">
        <f>+('EV1-Nancy'!X48+'EV1-Francisca'!X48+'EV1-Alex Alvarado'!X48+'EV1-Alex Castillo'!X48+'EV1-Adalid'!X48+'EV1-Neptaly'!X48+'EV1-Milixa'!X48+'Jennifer Canales'!X48+'EV2-David Ramos'!X48+'EV2-Jhony Amador'!X48+'EV2-Norma Hernández'!X48+'EV2-Goel Garcia'!X48+'EV2-Nubia '!X48+'EV2-Zamir'!X48+'EV2-Yimi'!X48)/8</f>
        <v>0</v>
      </c>
      <c r="Y48" s="11">
        <f>+('EV1-Nancy'!Y48+'EV1-Francisca'!Y48+'EV1-Alex Alvarado'!Y48+'EV1-Alex Castillo'!Y48+'EV1-Adalid'!Y48+'EV1-Neptaly'!Y48+'EV1-Milixa'!Y48+'Jennifer Canales'!Y48+'EV2-David Ramos'!Y48+'EV2-Jhony Amador'!Y48+'EV2-Norma Hernández'!Y48+'EV2-Goel Garcia'!Y48+'EV2-Nubia '!Y48+'EV2-Zamir'!Y48+'EV2-Yimi'!Y48)/8</f>
        <v>0</v>
      </c>
      <c r="Z48" s="12">
        <f t="shared" si="18"/>
        <v>0</v>
      </c>
      <c r="AA48" s="30">
        <f t="shared" si="8"/>
        <v>0</v>
      </c>
      <c r="AB48" s="32">
        <f t="shared" si="19"/>
        <v>41.666666666666664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>
        <f>+'EV1-Nancy'!J49+'EV1-Francisca'!J49+'EV1-Alex Alvarado'!J49+'EV1-Alex Castillo'!J49+'EV1-Adalid'!J49+'EV1-Neptaly'!J49+'EV1-Milixa'!J49+'Jennifer Canales'!J49+'EV2-David Ramos'!J49+'EV2-Jhony Amador'!J49+'EV2-Norma Hernández'!J49+'EV2-Goel Garcia'!J49+'EV2-Nubia '!J49+'EV2-Zamir'!J49+'EV2-Yimi'!J49</f>
        <v>61</v>
      </c>
      <c r="K49" s="9">
        <f>+'EV1-Nancy'!K49+'EV1-Francisca'!K49+'EV1-Alex Alvarado'!K49+'EV1-Alex Castillo'!K49+'EV1-Adalid'!K49+'EV1-Neptaly'!K49+'EV1-Milixa'!K49+'Jennifer Canales'!K49+'EV2-David Ramos'!K49+'EV2-Jhony Amador'!K49+'EV2-Norma Hernández'!K49+'EV2-Goel Garcia'!K49+'EV2-Nubia '!K49+'EV2-Zamir'!K49+'EV2-Yimi'!K49</f>
        <v>61</v>
      </c>
      <c r="L49" s="10">
        <f t="shared" si="0"/>
        <v>0</v>
      </c>
      <c r="M49" s="10"/>
      <c r="N49" s="10"/>
      <c r="O49" s="10"/>
      <c r="P49" s="38">
        <f t="shared" si="1"/>
        <v>100</v>
      </c>
      <c r="Q49" s="11"/>
      <c r="R49" s="11"/>
      <c r="S49" s="12"/>
      <c r="T49" s="28"/>
      <c r="U49" s="11">
        <f>+('EV1-Nancy'!U49+'EV1-Francisca'!U49+'EV1-Alex Alvarado'!U49+'EV1-Alex Castillo'!U49+'EV1-Adalid'!U49+'EV1-Neptaly'!U49+'EV1-Milixa'!U49+'Jennifer Canales'!U49+'EV2-David Ramos'!U49+'EV2-Jhony Amador'!U49+'EV2-Norma Hernández'!U49+'EV2-Goel Garcia'!U49+'EV2-Nubia '!U49+'EV2-Zamir'!U49+'EV2-Yimi'!U49)/8</f>
        <v>0</v>
      </c>
      <c r="V49" s="11">
        <f>+('EV1-Nancy'!V49+'EV1-Francisca'!V49+'EV1-Alex Alvarado'!V49+'EV1-Alex Castillo'!V49+'EV1-Adalid'!V49+'EV1-Neptaly'!V49+'EV1-Milixa'!V49+'Jennifer Canales'!V49+'EV2-David Ramos'!V49+'EV2-Jhony Amador'!V49+'EV2-Norma Hernández'!V49+'EV2-Goel Garcia'!V49+'EV2-Nubia '!V49+'EV2-Zamir'!V49+'EV2-Yimi'!V49)/8</f>
        <v>0</v>
      </c>
      <c r="W49" s="11">
        <f>+('EV1-Nancy'!W49+'EV1-Francisca'!W49+'EV1-Alex Alvarado'!W49+'EV1-Alex Castillo'!W49+'EV1-Adalid'!W49+'EV1-Neptaly'!W49+'EV1-Milixa'!W49+'Jennifer Canales'!W49+'EV2-David Ramos'!W49+'EV2-Jhony Amador'!W49+'EV2-Norma Hernández'!W49+'EV2-Goel Garcia'!W49+'EV2-Nubia '!W49+'EV2-Zamir'!W49+'EV2-Yimi'!W49)/8</f>
        <v>0</v>
      </c>
      <c r="X49" s="11">
        <f>+('EV1-Nancy'!X49+'EV1-Francisca'!X49+'EV1-Alex Alvarado'!X49+'EV1-Alex Castillo'!X49+'EV1-Adalid'!X49+'EV1-Neptaly'!X49+'EV1-Milixa'!X49+'Jennifer Canales'!X49+'EV2-David Ramos'!X49+'EV2-Jhony Amador'!X49+'EV2-Norma Hernández'!X49+'EV2-Goel Garcia'!X49+'EV2-Nubia '!X49+'EV2-Zamir'!X49+'EV2-Yimi'!X49)/8</f>
        <v>0</v>
      </c>
      <c r="Y49" s="11">
        <f>+('EV1-Nancy'!Y49+'EV1-Francisca'!Y49+'EV1-Alex Alvarado'!Y49+'EV1-Alex Castillo'!Y49+'EV1-Adalid'!Y49+'EV1-Neptaly'!Y49+'EV1-Milixa'!Y49+'Jennifer Canales'!Y49+'EV2-David Ramos'!Y49+'EV2-Jhony Amador'!Y49+'EV2-Norma Hernández'!Y49+'EV2-Goel Garcia'!Y49+'EV2-Nubia '!Y49+'EV2-Zamir'!Y49+'EV2-Yimi'!Y49)/8</f>
        <v>0</v>
      </c>
      <c r="Z49" s="12">
        <f t="shared" si="18"/>
        <v>0</v>
      </c>
      <c r="AA49" s="30">
        <f t="shared" si="8"/>
        <v>0</v>
      </c>
      <c r="AB49" s="32">
        <f t="shared" si="19"/>
        <v>50</v>
      </c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>
        <f>+'EV1-Nancy'!J50+'EV1-Francisca'!J50+'EV1-Alex Alvarado'!J50+'EV1-Alex Castillo'!J50+'EV1-Adalid'!J50+'EV1-Neptaly'!J50+'EV1-Milixa'!J50+'Jennifer Canales'!J50+'EV2-David Ramos'!J50+'EV2-Jhony Amador'!J50+'EV2-Norma Hernández'!J50+'EV2-Goel Garcia'!J50+'EV2-Nubia '!J50+'EV2-Zamir'!J50+'EV2-Yimi'!J50</f>
        <v>439</v>
      </c>
      <c r="K50" s="9">
        <f>+'EV1-Nancy'!K50+'EV1-Francisca'!K50+'EV1-Alex Alvarado'!K50+'EV1-Alex Castillo'!K50+'EV1-Adalid'!K50+'EV1-Neptaly'!K50+'EV1-Milixa'!K50+'Jennifer Canales'!K50+'EV2-David Ramos'!K50+'EV2-Jhony Amador'!K50+'EV2-Norma Hernández'!K50+'EV2-Goel Garcia'!K50+'EV2-Nubia '!K50+'EV2-Zamir'!K50+'EV2-Yimi'!K50</f>
        <v>58</v>
      </c>
      <c r="L50" s="10">
        <f t="shared" si="0"/>
        <v>381</v>
      </c>
      <c r="M50" s="10"/>
      <c r="N50" s="10"/>
      <c r="O50" s="10"/>
      <c r="P50" s="38">
        <f t="shared" si="1"/>
        <v>13.211845102505695</v>
      </c>
      <c r="Q50" s="11"/>
      <c r="R50" s="11"/>
      <c r="S50" s="12"/>
      <c r="T50" s="28"/>
      <c r="U50" s="11">
        <f>+('EV1-Nancy'!U50+'EV1-Francisca'!U50+'EV1-Alex Alvarado'!U50+'EV1-Alex Castillo'!U50+'EV1-Adalid'!U50+'EV1-Neptaly'!U50+'EV1-Milixa'!U50+'Jennifer Canales'!U50+'EV2-David Ramos'!U50+'EV2-Jhony Amador'!U50+'EV2-Norma Hernández'!U50+'EV2-Goel Garcia'!U50+'EV2-Nubia '!U50+'EV2-Zamir'!U50+'EV2-Yimi'!U50)/8</f>
        <v>0</v>
      </c>
      <c r="V50" s="11">
        <f>+('EV1-Nancy'!V50+'EV1-Francisca'!V50+'EV1-Alex Alvarado'!V50+'EV1-Alex Castillo'!V50+'EV1-Adalid'!V50+'EV1-Neptaly'!V50+'EV1-Milixa'!V50+'Jennifer Canales'!V50+'EV2-David Ramos'!V50+'EV2-Jhony Amador'!V50+'EV2-Norma Hernández'!V50+'EV2-Goel Garcia'!V50+'EV2-Nubia '!V50+'EV2-Zamir'!V50+'EV2-Yimi'!V50)/8</f>
        <v>0</v>
      </c>
      <c r="W50" s="11">
        <f>+('EV1-Nancy'!W50+'EV1-Francisca'!W50+'EV1-Alex Alvarado'!W50+'EV1-Alex Castillo'!W50+'EV1-Adalid'!W50+'EV1-Neptaly'!W50+'EV1-Milixa'!W50+'Jennifer Canales'!W50+'EV2-David Ramos'!W50+'EV2-Jhony Amador'!W50+'EV2-Norma Hernández'!W50+'EV2-Goel Garcia'!W50+'EV2-Nubia '!W50+'EV2-Zamir'!W50+'EV2-Yimi'!W50)/8</f>
        <v>0</v>
      </c>
      <c r="X50" s="11">
        <f>+('EV1-Nancy'!X50+'EV1-Francisca'!X50+'EV1-Alex Alvarado'!X50+'EV1-Alex Castillo'!X50+'EV1-Adalid'!X50+'EV1-Neptaly'!X50+'EV1-Milixa'!X50+'Jennifer Canales'!X50+'EV2-David Ramos'!X50+'EV2-Jhony Amador'!X50+'EV2-Norma Hernández'!X50+'EV2-Goel Garcia'!X50+'EV2-Nubia '!X50+'EV2-Zamir'!X50+'EV2-Yimi'!X50)/8</f>
        <v>0</v>
      </c>
      <c r="Y50" s="11">
        <f>+('EV1-Nancy'!Y50+'EV1-Francisca'!Y50+'EV1-Alex Alvarado'!Y50+'EV1-Alex Castillo'!Y50+'EV1-Adalid'!Y50+'EV1-Neptaly'!Y50+'EV1-Milixa'!Y50+'Jennifer Canales'!Y50+'EV2-David Ramos'!Y50+'EV2-Jhony Amador'!Y50+'EV2-Norma Hernández'!Y50+'EV2-Goel Garcia'!Y50+'EV2-Nubia '!Y50+'EV2-Zamir'!Y50+'EV2-Yimi'!Y50)/8</f>
        <v>0</v>
      </c>
      <c r="Z50" s="12">
        <f t="shared" si="18"/>
        <v>0</v>
      </c>
      <c r="AA50" s="30">
        <f t="shared" si="8"/>
        <v>0</v>
      </c>
      <c r="AB50" s="32">
        <f t="shared" si="19"/>
        <v>6.6059225512528474</v>
      </c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>
        <f>+'EV1-Nancy'!J51+'EV1-Francisca'!J51+'EV1-Alex Alvarado'!J51+'EV1-Alex Castillo'!J51+'EV1-Adalid'!J51+'EV1-Neptaly'!J51+'EV1-Milixa'!J51+'Jennifer Canales'!J51+'EV2-David Ramos'!J51+'EV2-Jhony Amador'!J51+'EV2-Norma Hernández'!J51+'EV2-Goel Garcia'!J51+'EV2-Nubia '!J51+'EV2-Zamir'!J51+'EV2-Yimi'!J51</f>
        <v>70</v>
      </c>
      <c r="K51" s="9">
        <f>+'EV1-Nancy'!K51+'EV1-Francisca'!K51+'EV1-Alex Alvarado'!K51+'EV1-Alex Castillo'!K51+'EV1-Adalid'!K51+'EV1-Neptaly'!K51+'EV1-Milixa'!K51+'Jennifer Canales'!K51+'EV2-David Ramos'!K51+'EV2-Jhony Amador'!K51+'EV2-Norma Hernández'!K51+'EV2-Goel Garcia'!K51+'EV2-Nubia '!K51+'EV2-Zamir'!K51+'EV2-Yimi'!K51</f>
        <v>21</v>
      </c>
      <c r="L51" s="10">
        <f t="shared" si="0"/>
        <v>49</v>
      </c>
      <c r="M51" s="10"/>
      <c r="N51" s="10"/>
      <c r="O51" s="10"/>
      <c r="P51" s="38">
        <f t="shared" si="1"/>
        <v>30</v>
      </c>
      <c r="Q51" s="11"/>
      <c r="R51" s="11"/>
      <c r="S51" s="12">
        <f t="shared" si="2"/>
        <v>0</v>
      </c>
      <c r="T51" s="28">
        <f t="shared" si="3"/>
        <v>0</v>
      </c>
      <c r="U51" s="11">
        <f>+('EV1-Nancy'!U51+'EV1-Francisca'!U51+'EV1-Alex Alvarado'!U51+'EV1-Alex Castillo'!U51+'EV1-Adalid'!U51+'EV1-Neptaly'!U51+'EV1-Milixa'!U51+'Jennifer Canales'!U51+'EV2-David Ramos'!U51+'EV2-Jhony Amador'!U51+'EV2-Norma Hernández'!U51+'EV2-Goel Garcia'!U51+'EV2-Nubia '!U51+'EV2-Zamir'!U51+'EV2-Yimi'!U51)/8</f>
        <v>0</v>
      </c>
      <c r="V51" s="11">
        <f>+('EV1-Nancy'!V51+'EV1-Francisca'!V51+'EV1-Alex Alvarado'!V51+'EV1-Alex Castillo'!V51+'EV1-Adalid'!V51+'EV1-Neptaly'!V51+'EV1-Milixa'!V51+'Jennifer Canales'!V51+'EV2-David Ramos'!V51+'EV2-Jhony Amador'!V51+'EV2-Norma Hernández'!V51+'EV2-Goel Garcia'!V51+'EV2-Nubia '!V51+'EV2-Zamir'!V51+'EV2-Yimi'!V51)/8</f>
        <v>0</v>
      </c>
      <c r="W51" s="11">
        <f>+('EV1-Nancy'!W51+'EV1-Francisca'!W51+'EV1-Alex Alvarado'!W51+'EV1-Alex Castillo'!W51+'EV1-Adalid'!W51+'EV1-Neptaly'!W51+'EV1-Milixa'!W51+'Jennifer Canales'!W51+'EV2-David Ramos'!W51+'EV2-Jhony Amador'!W51+'EV2-Norma Hernández'!W51+'EV2-Goel Garcia'!W51+'EV2-Nubia '!W51+'EV2-Zamir'!W51+'EV2-Yimi'!W51)/8</f>
        <v>0</v>
      </c>
      <c r="X51" s="11">
        <f>+('EV1-Nancy'!X51+'EV1-Francisca'!X51+'EV1-Alex Alvarado'!X51+'EV1-Alex Castillo'!X51+'EV1-Adalid'!X51+'EV1-Neptaly'!X51+'EV1-Milixa'!X51+'Jennifer Canales'!X51+'EV2-David Ramos'!X51+'EV2-Jhony Amador'!X51+'EV2-Norma Hernández'!X51+'EV2-Goel Garcia'!X51+'EV2-Nubia '!X51+'EV2-Zamir'!X51+'EV2-Yimi'!X51)/8</f>
        <v>0</v>
      </c>
      <c r="Y51" s="11">
        <f>+('EV1-Nancy'!Y51+'EV1-Francisca'!Y51+'EV1-Alex Alvarado'!Y51+'EV1-Alex Castillo'!Y51+'EV1-Adalid'!Y51+'EV1-Neptaly'!Y51+'EV1-Milixa'!Y51+'Jennifer Canales'!Y51+'EV2-David Ramos'!Y51+'EV2-Jhony Amador'!Y51+'EV2-Norma Hernández'!Y51+'EV2-Goel Garcia'!Y51+'EV2-Nubia '!Y51+'EV2-Zamir'!Y51+'EV2-Yimi'!Y51)/8</f>
        <v>0</v>
      </c>
      <c r="Z51" s="12">
        <f t="shared" si="4"/>
        <v>0</v>
      </c>
      <c r="AA51" s="30">
        <f t="shared" si="8"/>
        <v>0</v>
      </c>
      <c r="AB51" s="32">
        <f t="shared" si="6"/>
        <v>10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>
        <f>+'EV1-Nancy'!J52+'EV1-Francisca'!J52+'EV1-Alex Alvarado'!J52+'EV1-Alex Castillo'!J52+'EV1-Adalid'!J52+'EV1-Neptaly'!J52+'EV1-Milixa'!J52+'Jennifer Canales'!J52+'EV2-David Ramos'!J52+'EV2-Jhony Amador'!J52+'EV2-Norma Hernández'!J52+'EV2-Goel Garcia'!J52+'EV2-Nubia '!J52+'EV2-Zamir'!J52+'EV2-Yimi'!J52</f>
        <v>0</v>
      </c>
      <c r="K52" s="9">
        <f>+'EV1-Nancy'!K52+'EV1-Francisca'!K52+'EV1-Alex Alvarado'!K52+'EV1-Alex Castillo'!K52+'EV1-Adalid'!K52+'EV1-Neptaly'!K52+'EV1-Milixa'!K52+'Jennifer Canales'!K52+'EV2-David Ramos'!K52+'EV2-Jhony Amador'!K52+'EV2-Norma Hernández'!K52+'EV2-Goel Garcia'!K52+'EV2-Nubia '!K52+'EV2-Zamir'!K52+'EV2-Yimi'!K52</f>
        <v>0</v>
      </c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11">
        <f>+('EV1-Nancy'!U52+'EV1-Francisca'!U52+'EV1-Alex Alvarado'!U52+'EV1-Alex Castillo'!U52+'EV1-Adalid'!U52+'EV1-Neptaly'!U52+'EV1-Milixa'!U52+'Jennifer Canales'!U52+'EV2-David Ramos'!U52+'EV2-Jhony Amador'!U52+'EV2-Norma Hernández'!U52+'EV2-Goel Garcia'!U52+'EV2-Nubia '!U52+'EV2-Zamir'!U52+'EV2-Yimi'!U52)/8</f>
        <v>0</v>
      </c>
      <c r="V52" s="11">
        <f>+('EV1-Nancy'!V52+'EV1-Francisca'!V52+'EV1-Alex Alvarado'!V52+'EV1-Alex Castillo'!V52+'EV1-Adalid'!V52+'EV1-Neptaly'!V52+'EV1-Milixa'!V52+'Jennifer Canales'!V52+'EV2-David Ramos'!V52+'EV2-Jhony Amador'!V52+'EV2-Norma Hernández'!V52+'EV2-Goel Garcia'!V52+'EV2-Nubia '!V52+'EV2-Zamir'!V52+'EV2-Yimi'!V52)/8</f>
        <v>0</v>
      </c>
      <c r="W52" s="11">
        <f>+('EV1-Nancy'!W52+'EV1-Francisca'!W52+'EV1-Alex Alvarado'!W52+'EV1-Alex Castillo'!W52+'EV1-Adalid'!W52+'EV1-Neptaly'!W52+'EV1-Milixa'!W52+'Jennifer Canales'!W52+'EV2-David Ramos'!W52+'EV2-Jhony Amador'!W52+'EV2-Norma Hernández'!W52+'EV2-Goel Garcia'!W52+'EV2-Nubia '!W52+'EV2-Zamir'!W52+'EV2-Yimi'!W52)/8</f>
        <v>0</v>
      </c>
      <c r="X52" s="11">
        <f>+('EV1-Nancy'!X52+'EV1-Francisca'!X52+'EV1-Alex Alvarado'!X52+'EV1-Alex Castillo'!X52+'EV1-Adalid'!X52+'EV1-Neptaly'!X52+'EV1-Milixa'!X52+'Jennifer Canales'!X52+'EV2-David Ramos'!X52+'EV2-Jhony Amador'!X52+'EV2-Norma Hernández'!X52+'EV2-Goel Garcia'!X52+'EV2-Nubia '!X52+'EV2-Zamir'!X52+'EV2-Yimi'!X52)/8</f>
        <v>0</v>
      </c>
      <c r="Y52" s="11">
        <f>+('EV1-Nancy'!Y52+'EV1-Francisca'!Y52+'EV1-Alex Alvarado'!Y52+'EV1-Alex Castillo'!Y52+'EV1-Adalid'!Y52+'EV1-Neptaly'!Y52+'EV1-Milixa'!Y52+'Jennifer Canales'!Y52+'EV2-David Ramos'!Y52+'EV2-Jhony Amador'!Y52+'EV2-Norma Hernández'!Y52+'EV2-Goel Garcia'!Y52+'EV2-Nubia '!Y52+'EV2-Zamir'!Y52+'EV2-Yimi'!Y52)/8</f>
        <v>0</v>
      </c>
      <c r="Z52" s="12">
        <f t="shared" si="4"/>
        <v>0</v>
      </c>
      <c r="AA52" s="30">
        <f t="shared" si="8"/>
        <v>0</v>
      </c>
      <c r="AB52" s="32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>
        <f>+'EV1-Nancy'!J53+'EV1-Francisca'!J53+'EV1-Alex Alvarado'!J53+'EV1-Alex Castillo'!J53+'EV1-Adalid'!J53+'EV1-Neptaly'!J53+'EV1-Milixa'!J53+'Jennifer Canales'!J53+'EV2-David Ramos'!J53+'EV2-Jhony Amador'!J53+'EV2-Norma Hernández'!J53+'EV2-Goel Garcia'!J53+'EV2-Nubia '!J53+'EV2-Zamir'!J53+'EV2-Yimi'!J53</f>
        <v>30</v>
      </c>
      <c r="K53" s="9">
        <f>+'EV1-Nancy'!K53+'EV1-Francisca'!K53+'EV1-Alex Alvarado'!K53+'EV1-Alex Castillo'!K53+'EV1-Adalid'!K53+'EV1-Neptaly'!K53+'EV1-Milixa'!K53+'Jennifer Canales'!K53+'EV2-David Ramos'!K53+'EV2-Jhony Amador'!K53+'EV2-Norma Hernández'!K53+'EV2-Goel Garcia'!K53+'EV2-Nubia '!K53+'EV2-Zamir'!K53+'EV2-Yimi'!K53</f>
        <v>30</v>
      </c>
      <c r="L53" s="10">
        <f t="shared" si="0"/>
        <v>0</v>
      </c>
      <c r="M53" s="10"/>
      <c r="N53" s="10"/>
      <c r="O53" s="10"/>
      <c r="P53" s="38">
        <f t="shared" si="1"/>
        <v>100</v>
      </c>
      <c r="Q53" s="11"/>
      <c r="R53" s="11"/>
      <c r="S53" s="12">
        <f t="shared" si="2"/>
        <v>0</v>
      </c>
      <c r="T53" s="28">
        <f t="shared" si="3"/>
        <v>0</v>
      </c>
      <c r="U53" s="11">
        <f>+('EV1-Nancy'!U53+'EV1-Francisca'!U53+'EV1-Alex Alvarado'!U53+'EV1-Alex Castillo'!U53+'EV1-Adalid'!U53+'EV1-Neptaly'!U53+'EV1-Milixa'!U53+'Jennifer Canales'!U53+'EV2-David Ramos'!U53+'EV2-Jhony Amador'!U53+'EV2-Norma Hernández'!U53+'EV2-Goel Garcia'!U53+'EV2-Nubia '!U53+'EV2-Zamir'!U53+'EV2-Yimi'!U53)/8</f>
        <v>0</v>
      </c>
      <c r="V53" s="11">
        <f>+('EV1-Nancy'!V53+'EV1-Francisca'!V53+'EV1-Alex Alvarado'!V53+'EV1-Alex Castillo'!V53+'EV1-Adalid'!V53+'EV1-Neptaly'!V53+'EV1-Milixa'!V53+'Jennifer Canales'!V53+'EV2-David Ramos'!V53+'EV2-Jhony Amador'!V53+'EV2-Norma Hernández'!V53+'EV2-Goel Garcia'!V53+'EV2-Nubia '!V53+'EV2-Zamir'!V53+'EV2-Yimi'!V53)/8</f>
        <v>0</v>
      </c>
      <c r="W53" s="11">
        <f>+('EV1-Nancy'!W53+'EV1-Francisca'!W53+'EV1-Alex Alvarado'!W53+'EV1-Alex Castillo'!W53+'EV1-Adalid'!W53+'EV1-Neptaly'!W53+'EV1-Milixa'!W53+'Jennifer Canales'!W53+'EV2-David Ramos'!W53+'EV2-Jhony Amador'!W53+'EV2-Norma Hernández'!W53+'EV2-Goel Garcia'!W53+'EV2-Nubia '!W53+'EV2-Zamir'!W53+'EV2-Yimi'!W53)/8</f>
        <v>0</v>
      </c>
      <c r="X53" s="11">
        <f>+('EV1-Nancy'!X53+'EV1-Francisca'!X53+'EV1-Alex Alvarado'!X53+'EV1-Alex Castillo'!X53+'EV1-Adalid'!X53+'EV1-Neptaly'!X53+'EV1-Milixa'!X53+'Jennifer Canales'!X53+'EV2-David Ramos'!X53+'EV2-Jhony Amador'!X53+'EV2-Norma Hernández'!X53+'EV2-Goel Garcia'!X53+'EV2-Nubia '!X53+'EV2-Zamir'!X53+'EV2-Yimi'!X53)/8</f>
        <v>0</v>
      </c>
      <c r="Y53" s="11">
        <f>+('EV1-Nancy'!Y53+'EV1-Francisca'!Y53+'EV1-Alex Alvarado'!Y53+'EV1-Alex Castillo'!Y53+'EV1-Adalid'!Y53+'EV1-Neptaly'!Y53+'EV1-Milixa'!Y53+'Jennifer Canales'!Y53+'EV2-David Ramos'!Y53+'EV2-Jhony Amador'!Y53+'EV2-Norma Hernández'!Y53+'EV2-Goel Garcia'!Y53+'EV2-Nubia '!Y53+'EV2-Zamir'!Y53+'EV2-Yimi'!Y53)/8</f>
        <v>0</v>
      </c>
      <c r="Z53" s="12">
        <f t="shared" si="4"/>
        <v>0</v>
      </c>
      <c r="AA53" s="30">
        <f t="shared" si="8"/>
        <v>0</v>
      </c>
      <c r="AB53" s="32">
        <f t="shared" si="6"/>
        <v>33.333333333333336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843</v>
      </c>
      <c r="D54" s="23" t="s">
        <v>862</v>
      </c>
      <c r="E54" s="20"/>
      <c r="F54" s="21"/>
      <c r="G54" s="23"/>
      <c r="H54" s="23"/>
      <c r="I54" s="3" t="s">
        <v>190</v>
      </c>
      <c r="J54" s="9">
        <f>+'EV1-Nancy'!J54+'EV1-Francisca'!J54+'EV1-Alex Alvarado'!J54+'EV1-Alex Castillo'!J54+'EV1-Adalid'!J54+'EV1-Neptaly'!J54+'EV1-Milixa'!J54+'Jennifer Canales'!J54+'EV2-David Ramos'!J54+'EV2-Jhony Amador'!J54+'EV2-Norma Hernández'!J54+'EV2-Goel Garcia'!J54+'EV2-Nubia '!J54+'EV2-Zamir'!J54+'EV2-Yimi'!J54</f>
        <v>245</v>
      </c>
      <c r="K54" s="9">
        <f>+'EV1-Nancy'!K54+'EV1-Francisca'!K54+'EV1-Alex Alvarado'!K54+'EV1-Alex Castillo'!K54+'EV1-Adalid'!K54+'EV1-Neptaly'!K54+'EV1-Milixa'!K54+'Jennifer Canales'!K54+'EV2-David Ramos'!K54+'EV2-Jhony Amador'!K54+'EV2-Norma Hernández'!K54+'EV2-Goel Garcia'!K54+'EV2-Nubia '!K54+'EV2-Zamir'!K54+'EV2-Yimi'!K54</f>
        <v>245</v>
      </c>
      <c r="L54" s="10">
        <f t="shared" si="0"/>
        <v>0</v>
      </c>
      <c r="M54" s="10"/>
      <c r="N54" s="10"/>
      <c r="O54" s="10"/>
      <c r="P54" s="38">
        <f t="shared" si="1"/>
        <v>100</v>
      </c>
      <c r="Q54" s="11"/>
      <c r="R54" s="11"/>
      <c r="S54" s="12">
        <f t="shared" si="2"/>
        <v>0</v>
      </c>
      <c r="T54" s="28">
        <f t="shared" si="3"/>
        <v>0</v>
      </c>
      <c r="U54" s="11">
        <f>+('EV1-Nancy'!U54+'EV1-Francisca'!U54+'EV1-Alex Alvarado'!U54+'EV1-Alex Castillo'!U54+'EV1-Adalid'!U54+'EV1-Neptaly'!U54+'EV1-Milixa'!U54+'Jennifer Canales'!U54+'EV2-David Ramos'!U54+'EV2-Jhony Amador'!U54+'EV2-Norma Hernández'!U54+'EV2-Goel Garcia'!U54+'EV2-Nubia '!U54+'EV2-Zamir'!U54+'EV2-Yimi'!U54)/8</f>
        <v>0</v>
      </c>
      <c r="V54" s="11">
        <f>+('EV1-Nancy'!V54+'EV1-Francisca'!V54+'EV1-Alex Alvarado'!V54+'EV1-Alex Castillo'!V54+'EV1-Adalid'!V54+'EV1-Neptaly'!V54+'EV1-Milixa'!V54+'Jennifer Canales'!V54+'EV2-David Ramos'!V54+'EV2-Jhony Amador'!V54+'EV2-Norma Hernández'!V54+'EV2-Goel Garcia'!V54+'EV2-Nubia '!V54+'EV2-Zamir'!V54+'EV2-Yimi'!V54)/8</f>
        <v>0</v>
      </c>
      <c r="W54" s="11">
        <f>+('EV1-Nancy'!W54+'EV1-Francisca'!W54+'EV1-Alex Alvarado'!W54+'EV1-Alex Castillo'!W54+'EV1-Adalid'!W54+'EV1-Neptaly'!W54+'EV1-Milixa'!W54+'Jennifer Canales'!W54+'EV2-David Ramos'!W54+'EV2-Jhony Amador'!W54+'EV2-Norma Hernández'!W54+'EV2-Goel Garcia'!W54+'EV2-Nubia '!W54+'EV2-Zamir'!W54+'EV2-Yimi'!W54)/8</f>
        <v>0</v>
      </c>
      <c r="X54" s="11">
        <f>+('EV1-Nancy'!X54+'EV1-Francisca'!X54+'EV1-Alex Alvarado'!X54+'EV1-Alex Castillo'!X54+'EV1-Adalid'!X54+'EV1-Neptaly'!X54+'EV1-Milixa'!X54+'Jennifer Canales'!X54+'EV2-David Ramos'!X54+'EV2-Jhony Amador'!X54+'EV2-Norma Hernández'!X54+'EV2-Goel Garcia'!X54+'EV2-Nubia '!X54+'EV2-Zamir'!X54+'EV2-Yimi'!X54)/8</f>
        <v>0</v>
      </c>
      <c r="Y54" s="11">
        <f>+('EV1-Nancy'!Y54+'EV1-Francisca'!Y54+'EV1-Alex Alvarado'!Y54+'EV1-Alex Castillo'!Y54+'EV1-Adalid'!Y54+'EV1-Neptaly'!Y54+'EV1-Milixa'!Y54+'Jennifer Canales'!Y54+'EV2-David Ramos'!Y54+'EV2-Jhony Amador'!Y54+'EV2-Norma Hernández'!Y54+'EV2-Goel Garcia'!Y54+'EV2-Nubia '!Y54+'EV2-Zamir'!Y54+'EV2-Yimi'!Y54)/8</f>
        <v>0</v>
      </c>
      <c r="Z54" s="12">
        <f t="shared" ref="Z54:Z56" si="20">+U54+Y54</f>
        <v>0</v>
      </c>
      <c r="AA54" s="30">
        <f t="shared" si="8"/>
        <v>0</v>
      </c>
      <c r="AB54" s="32">
        <f t="shared" ref="AB54:AB55" si="21">+(P54+AA54)/2</f>
        <v>50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>
        <f>+'EV1-Nancy'!J55+'EV1-Francisca'!J55+'EV1-Alex Alvarado'!J55+'EV1-Alex Castillo'!J55+'EV1-Adalid'!J55+'EV1-Neptaly'!J55+'EV1-Milixa'!J55+'Jennifer Canales'!J55+'EV2-David Ramos'!J55+'EV2-Jhony Amador'!J55+'EV2-Norma Hernández'!J55+'EV2-Goel Garcia'!J55+'EV2-Nubia '!J55+'EV2-Zamir'!J55+'EV2-Yimi'!J55</f>
        <v>8</v>
      </c>
      <c r="K55" s="9">
        <f>+'EV1-Nancy'!K55+'EV1-Francisca'!K55+'EV1-Alex Alvarado'!K55+'EV1-Alex Castillo'!K55+'EV1-Adalid'!K55+'EV1-Neptaly'!K55+'EV1-Milixa'!K55+'Jennifer Canales'!K55+'EV2-David Ramos'!K55+'EV2-Jhony Amador'!K55+'EV2-Norma Hernández'!K55+'EV2-Goel Garcia'!K55+'EV2-Nubia '!K55+'EV2-Zamir'!K55+'EV2-Yimi'!K55</f>
        <v>8</v>
      </c>
      <c r="L55" s="10">
        <f t="shared" si="0"/>
        <v>0</v>
      </c>
      <c r="M55" s="10"/>
      <c r="N55" s="10"/>
      <c r="O55" s="10"/>
      <c r="P55" s="38">
        <f t="shared" si="1"/>
        <v>100</v>
      </c>
      <c r="Q55" s="11"/>
      <c r="R55" s="11"/>
      <c r="S55" s="12">
        <f t="shared" si="2"/>
        <v>0</v>
      </c>
      <c r="T55" s="28">
        <f t="shared" si="3"/>
        <v>0</v>
      </c>
      <c r="U55" s="11">
        <f>+('EV1-Nancy'!U55+'EV1-Francisca'!U55+'EV1-Alex Alvarado'!U55+'EV1-Alex Castillo'!U55+'EV1-Adalid'!U55+'EV1-Neptaly'!U55+'EV1-Milixa'!U55+'Jennifer Canales'!U55+'EV2-David Ramos'!U55+'EV2-Jhony Amador'!U55+'EV2-Norma Hernández'!U55+'EV2-Goel Garcia'!U55+'EV2-Nubia '!U55+'EV2-Zamir'!U55+'EV2-Yimi'!U55)/8</f>
        <v>0</v>
      </c>
      <c r="V55" s="11">
        <f>+('EV1-Nancy'!V55+'EV1-Francisca'!V55+'EV1-Alex Alvarado'!V55+'EV1-Alex Castillo'!V55+'EV1-Adalid'!V55+'EV1-Neptaly'!V55+'EV1-Milixa'!V55+'Jennifer Canales'!V55+'EV2-David Ramos'!V55+'EV2-Jhony Amador'!V55+'EV2-Norma Hernández'!V55+'EV2-Goel Garcia'!V55+'EV2-Nubia '!V55+'EV2-Zamir'!V55+'EV2-Yimi'!V55)/8</f>
        <v>0</v>
      </c>
      <c r="W55" s="11">
        <f>+('EV1-Nancy'!W55+'EV1-Francisca'!W55+'EV1-Alex Alvarado'!W55+'EV1-Alex Castillo'!W55+'EV1-Adalid'!W55+'EV1-Neptaly'!W55+'EV1-Milixa'!W55+'Jennifer Canales'!W55+'EV2-David Ramos'!W55+'EV2-Jhony Amador'!W55+'EV2-Norma Hernández'!W55+'EV2-Goel Garcia'!W55+'EV2-Nubia '!W55+'EV2-Zamir'!W55+'EV2-Yimi'!W55)/8</f>
        <v>0</v>
      </c>
      <c r="X55" s="11">
        <f>+('EV1-Nancy'!X55+'EV1-Francisca'!X55+'EV1-Alex Alvarado'!X55+'EV1-Alex Castillo'!X55+'EV1-Adalid'!X55+'EV1-Neptaly'!X55+'EV1-Milixa'!X55+'Jennifer Canales'!X55+'EV2-David Ramos'!X55+'EV2-Jhony Amador'!X55+'EV2-Norma Hernández'!X55+'EV2-Goel Garcia'!X55+'EV2-Nubia '!X55+'EV2-Zamir'!X55+'EV2-Yimi'!X55)/8</f>
        <v>0</v>
      </c>
      <c r="Y55" s="11">
        <f>+('EV1-Nancy'!Y55+'EV1-Francisca'!Y55+'EV1-Alex Alvarado'!Y55+'EV1-Alex Castillo'!Y55+'EV1-Adalid'!Y55+'EV1-Neptaly'!Y55+'EV1-Milixa'!Y55+'Jennifer Canales'!Y55+'EV2-David Ramos'!Y55+'EV2-Jhony Amador'!Y55+'EV2-Norma Hernández'!Y55+'EV2-Goel Garcia'!Y55+'EV2-Nubia '!Y55+'EV2-Zamir'!Y55+'EV2-Yimi'!Y55)/8</f>
        <v>0</v>
      </c>
      <c r="Z55" s="12">
        <f t="shared" si="20"/>
        <v>0</v>
      </c>
      <c r="AA55" s="30">
        <f t="shared" si="8"/>
        <v>0</v>
      </c>
      <c r="AB55" s="32">
        <f t="shared" si="21"/>
        <v>50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>
        <f>+'EV1-Nancy'!J56+'EV1-Francisca'!J56+'EV1-Alex Alvarado'!J56+'EV1-Alex Castillo'!J56+'EV1-Adalid'!J56+'EV1-Neptaly'!J56+'EV1-Milixa'!J56+'Jennifer Canales'!J56+'EV2-David Ramos'!J56+'EV2-Jhony Amador'!J56+'EV2-Norma Hernández'!J56+'EV2-Goel Garcia'!J56+'EV2-Nubia '!J56+'EV2-Zamir'!J56+'EV2-Yimi'!J56</f>
        <v>2</v>
      </c>
      <c r="K56" s="9">
        <f>+'EV1-Nancy'!K56+'EV1-Francisca'!K56+'EV1-Alex Alvarado'!K56+'EV1-Alex Castillo'!K56+'EV1-Adalid'!K56+'EV1-Neptaly'!K56+'EV1-Milixa'!K56+'Jennifer Canales'!K56+'EV2-David Ramos'!K56+'EV2-Jhony Amador'!K56+'EV2-Norma Hernández'!K56+'EV2-Goel Garcia'!K56+'EV2-Nubia '!K56+'EV2-Zamir'!K56+'EV2-Yimi'!K56</f>
        <v>2</v>
      </c>
      <c r="L56" s="10">
        <f t="shared" si="0"/>
        <v>0</v>
      </c>
      <c r="M56" s="10"/>
      <c r="N56" s="10"/>
      <c r="O56" s="10"/>
      <c r="P56" s="38">
        <f t="shared" si="1"/>
        <v>100</v>
      </c>
      <c r="Q56" s="11"/>
      <c r="R56" s="11"/>
      <c r="S56" s="12">
        <f t="shared" si="2"/>
        <v>0</v>
      </c>
      <c r="T56" s="28">
        <f t="shared" si="3"/>
        <v>0</v>
      </c>
      <c r="U56" s="11">
        <f>+('EV1-Nancy'!U56+'EV1-Francisca'!U56+'EV1-Alex Alvarado'!U56+'EV1-Alex Castillo'!U56+'EV1-Adalid'!U56+'EV1-Neptaly'!U56+'EV1-Milixa'!U56+'Jennifer Canales'!U56+'EV2-David Ramos'!U56+'EV2-Jhony Amador'!U56+'EV2-Norma Hernández'!U56+'EV2-Goel Garcia'!U56+'EV2-Nubia '!U56+'EV2-Zamir'!U56+'EV2-Yimi'!U56)/8</f>
        <v>0</v>
      </c>
      <c r="V56" s="11">
        <f>+('EV1-Nancy'!V56+'EV1-Francisca'!V56+'EV1-Alex Alvarado'!V56+'EV1-Alex Castillo'!V56+'EV1-Adalid'!V56+'EV1-Neptaly'!V56+'EV1-Milixa'!V56+'Jennifer Canales'!V56+'EV2-David Ramos'!V56+'EV2-Jhony Amador'!V56+'EV2-Norma Hernández'!V56+'EV2-Goel Garcia'!V56+'EV2-Nubia '!V56+'EV2-Zamir'!V56+'EV2-Yimi'!V56)/8</f>
        <v>0</v>
      </c>
      <c r="W56" s="11">
        <f>+('EV1-Nancy'!W56+'EV1-Francisca'!W56+'EV1-Alex Alvarado'!W56+'EV1-Alex Castillo'!W56+'EV1-Adalid'!W56+'EV1-Neptaly'!W56+'EV1-Milixa'!W56+'Jennifer Canales'!W56+'EV2-David Ramos'!W56+'EV2-Jhony Amador'!W56+'EV2-Norma Hernández'!W56+'EV2-Goel Garcia'!W56+'EV2-Nubia '!W56+'EV2-Zamir'!W56+'EV2-Yimi'!W56)/8</f>
        <v>0</v>
      </c>
      <c r="X56" s="11">
        <f>+('EV1-Nancy'!X56+'EV1-Francisca'!X56+'EV1-Alex Alvarado'!X56+'EV1-Alex Castillo'!X56+'EV1-Adalid'!X56+'EV1-Neptaly'!X56+'EV1-Milixa'!X56+'Jennifer Canales'!X56+'EV2-David Ramos'!X56+'EV2-Jhony Amador'!X56+'EV2-Norma Hernández'!X56+'EV2-Goel Garcia'!X56+'EV2-Nubia '!X56+'EV2-Zamir'!X56+'EV2-Yimi'!X56)/8</f>
        <v>0</v>
      </c>
      <c r="Y56" s="11">
        <f>+('EV1-Nancy'!Y56+'EV1-Francisca'!Y56+'EV1-Alex Alvarado'!Y56+'EV1-Alex Castillo'!Y56+'EV1-Adalid'!Y56+'EV1-Neptaly'!Y56+'EV1-Milixa'!Y56+'Jennifer Canales'!Y56+'EV2-David Ramos'!Y56+'EV2-Jhony Amador'!Y56+'EV2-Norma Hernández'!Y56+'EV2-Goel Garcia'!Y56+'EV2-Nubia '!Y56+'EV2-Zamir'!Y56+'EV2-Yimi'!Y56)/8</f>
        <v>0</v>
      </c>
      <c r="Z56" s="12">
        <f t="shared" si="20"/>
        <v>0</v>
      </c>
      <c r="AA56" s="30">
        <f t="shared" si="8"/>
        <v>0</v>
      </c>
      <c r="AB56" s="32">
        <f t="shared" ref="AB56" si="22">+(P56+AA56)/3</f>
        <v>33.333333333333336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>
        <f>+'EV1-Nancy'!J57+'EV1-Francisca'!J57+'EV1-Alex Alvarado'!J57+'EV1-Alex Castillo'!J57+'EV1-Adalid'!J57+'EV1-Neptaly'!J57+'EV1-Milixa'!J57+'Jennifer Canales'!J57+'EV2-David Ramos'!J57+'EV2-Jhony Amador'!J57+'EV2-Norma Hernández'!J57+'EV2-Goel Garcia'!J57+'EV2-Nubia '!J57+'EV2-Zamir'!J57+'EV2-Yimi'!J57</f>
        <v>0</v>
      </c>
      <c r="K57" s="9">
        <f>+'EV1-Nancy'!K57+'EV1-Francisca'!K57+'EV1-Alex Alvarado'!K57+'EV1-Alex Castillo'!K57+'EV1-Adalid'!K57+'EV1-Neptaly'!K57+'EV1-Milixa'!K57+'Jennifer Canales'!K57+'EV2-David Ramos'!K57+'EV2-Jhony Amador'!K57+'EV2-Norma Hernández'!K57+'EV2-Goel Garcia'!K57+'EV2-Nubia '!K57+'EV2-Zamir'!K57+'EV2-Yimi'!K57</f>
        <v>0</v>
      </c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11">
        <f>+('EV1-Nancy'!U57+'EV1-Francisca'!U57+'EV1-Alex Alvarado'!U57+'EV1-Alex Castillo'!U57+'EV1-Adalid'!U57+'EV1-Neptaly'!U57+'EV1-Milixa'!U57+'Jennifer Canales'!U57+'EV2-David Ramos'!U57+'EV2-Jhony Amador'!U57+'EV2-Norma Hernández'!U57+'EV2-Goel Garcia'!U57+'EV2-Nubia '!U57+'EV2-Zamir'!U57+'EV2-Yimi'!U57)/8</f>
        <v>0</v>
      </c>
      <c r="V57" s="11">
        <f>+('EV1-Nancy'!V57+'EV1-Francisca'!V57+'EV1-Alex Alvarado'!V57+'EV1-Alex Castillo'!V57+'EV1-Adalid'!V57+'EV1-Neptaly'!V57+'EV1-Milixa'!V57+'Jennifer Canales'!V57+'EV2-David Ramos'!V57+'EV2-Jhony Amador'!V57+'EV2-Norma Hernández'!V57+'EV2-Goel Garcia'!V57+'EV2-Nubia '!V57+'EV2-Zamir'!V57+'EV2-Yimi'!V57)/8</f>
        <v>0</v>
      </c>
      <c r="W57" s="11">
        <f>+('EV1-Nancy'!W57+'EV1-Francisca'!W57+'EV1-Alex Alvarado'!W57+'EV1-Alex Castillo'!W57+'EV1-Adalid'!W57+'EV1-Neptaly'!W57+'EV1-Milixa'!W57+'Jennifer Canales'!W57+'EV2-David Ramos'!W57+'EV2-Jhony Amador'!W57+'EV2-Norma Hernández'!W57+'EV2-Goel Garcia'!W57+'EV2-Nubia '!W57+'EV2-Zamir'!W57+'EV2-Yimi'!W57)/8</f>
        <v>0</v>
      </c>
      <c r="X57" s="11">
        <f>+('EV1-Nancy'!X57+'EV1-Francisca'!X57+'EV1-Alex Alvarado'!X57+'EV1-Alex Castillo'!X57+'EV1-Adalid'!X57+'EV1-Neptaly'!X57+'EV1-Milixa'!X57+'Jennifer Canales'!X57+'EV2-David Ramos'!X57+'EV2-Jhony Amador'!X57+'EV2-Norma Hernández'!X57+'EV2-Goel Garcia'!X57+'EV2-Nubia '!X57+'EV2-Zamir'!X57+'EV2-Yimi'!X57)/8</f>
        <v>0</v>
      </c>
      <c r="Y57" s="11">
        <f>+('EV1-Nancy'!Y57+'EV1-Francisca'!Y57+'EV1-Alex Alvarado'!Y57+'EV1-Alex Castillo'!Y57+'EV1-Adalid'!Y57+'EV1-Neptaly'!Y57+'EV1-Milixa'!Y57+'Jennifer Canales'!Y57+'EV2-David Ramos'!Y57+'EV2-Jhony Amador'!Y57+'EV2-Norma Hernández'!Y57+'EV2-Goel Garcia'!Y57+'EV2-Nubia '!Y57+'EV2-Zamir'!Y57+'EV2-Yimi'!Y57)/8</f>
        <v>0</v>
      </c>
      <c r="Z57" s="12">
        <f t="shared" si="4"/>
        <v>0</v>
      </c>
      <c r="AA57" s="30">
        <f t="shared" si="8"/>
        <v>0</v>
      </c>
      <c r="AB57" s="32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26263</v>
      </c>
      <c r="K58" s="67">
        <f>SUM(K10:K55)</f>
        <v>24114</v>
      </c>
      <c r="L58" s="68">
        <f>+J58-K58</f>
        <v>2149</v>
      </c>
      <c r="M58" s="43"/>
      <c r="N58" s="43"/>
      <c r="O58" s="43"/>
      <c r="P58" s="33">
        <f>(K58*100)/J58</f>
        <v>91.817385675665378</v>
      </c>
      <c r="Q58" s="122"/>
      <c r="R58" s="123"/>
      <c r="S58" s="124"/>
      <c r="T58" s="33">
        <f t="shared" ref="T58" si="23">AVERAGEIF(T10:T57,"&gt;0")</f>
        <v>150</v>
      </c>
      <c r="U58" s="69">
        <f>AVERAGEIF(U10:U55,"&gt;0")</f>
        <v>9.8693181818181817</v>
      </c>
      <c r="V58" s="69">
        <f t="shared" ref="V58:X58" si="24">AVERAGEIF(V10:V55,"&gt;0")</f>
        <v>1.25</v>
      </c>
      <c r="W58" s="69" t="e">
        <f t="shared" si="24"/>
        <v>#DIV/0!</v>
      </c>
      <c r="X58" s="69" t="e">
        <f t="shared" si="24"/>
        <v>#DIV/0!</v>
      </c>
      <c r="Y58" s="69">
        <f>AVERAGEIF(Y10:Y55,"&gt;0")</f>
        <v>10.916666666666666</v>
      </c>
      <c r="Z58" s="70">
        <f>+U58+Y58</f>
        <v>20.785984848484848</v>
      </c>
      <c r="AA58" s="33">
        <f>(Z58*100)/20</f>
        <v>103.92992424242425</v>
      </c>
      <c r="AB58" s="33">
        <f t="shared" ref="AB58" si="25">AVERAGEIF(AB10:AB57,"&gt;0")</f>
        <v>71.722149804819225</v>
      </c>
      <c r="AC58" s="65"/>
    </row>
  </sheetData>
  <autoFilter ref="A9:AC9" xr:uid="{3F6E5700-D607-4AB6-86D9-67E7B1BB3263}"/>
  <mergeCells count="18">
    <mergeCell ref="U7:AA7"/>
    <mergeCell ref="AB7:AB8"/>
    <mergeCell ref="AC7:AC8"/>
    <mergeCell ref="Q58:S58"/>
    <mergeCell ref="A7:C7"/>
    <mergeCell ref="D7:D8"/>
    <mergeCell ref="E7:G7"/>
    <mergeCell ref="I7:I8"/>
    <mergeCell ref="J7:P7"/>
    <mergeCell ref="Q7:T7"/>
    <mergeCell ref="A1:AB1"/>
    <mergeCell ref="A2:AB2"/>
    <mergeCell ref="A4:D5"/>
    <mergeCell ref="I4:K5"/>
    <mergeCell ref="P4:Q4"/>
    <mergeCell ref="R4:AB4"/>
    <mergeCell ref="P5:Q5"/>
    <mergeCell ref="R5:AB5"/>
  </mergeCells>
  <dataValidations disablePrompts="1" count="1">
    <dataValidation type="list" allowBlank="1" showInputMessage="1" showErrorMessage="1" sqref="F10:G58 H58" xr:uid="{5A84A64E-B3A6-4E27-B89A-F21B18044DC6}">
      <formula1>INDIRECT(E10)</formula1>
    </dataValidation>
  </dataValidations>
  <pageMargins left="0.7" right="0.7" top="0.75" bottom="0.75" header="0.3" footer="0.3"/>
  <pageSetup scale="71" orientation="landscape" horizontalDpi="360" verticalDpi="360" r:id="rId1"/>
  <rowBreaks count="1" manualBreakCount="1">
    <brk id="36" max="16383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7">
        <x14:dataValidation type="list" allowBlank="1" showInputMessage="1" showErrorMessage="1" xr:uid="{14B40363-F599-41CB-B7B5-C43BBBAC9583}">
          <x14:formula1>
            <xm:f>'Lista desplegable'!$A$2:$A$16</xm:f>
          </x14:formula1>
          <xm:sqref>E10:E58</xm:sqref>
        </x14:dataValidation>
        <x14:dataValidation type="list" allowBlank="1" showInputMessage="1" showErrorMessage="1" xr:uid="{3B347746-3359-44FB-A12C-9230595E5406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FEACE423-88DD-4FA9-A34C-AE2325AA2A70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3F6D0034-6D11-4F3C-B173-FCF4AFCA6010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DA711AC3-6040-45BF-9B7A-279269A684C4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B2C262BA-F6A4-4028-BC50-F2596B34F937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8A2C63D2-F8EF-49E8-88EB-07EE4EFC3F05}">
          <x14:formula1>
            <xm:f>'Lista desplegable'!$O$13:$O$37</xm:f>
          </x14:formula1>
          <xm:sqref>G4:G5 I4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5D8AD-8B82-4802-8A5F-00B601BBC872}">
  <dimension ref="A1"/>
  <sheetViews>
    <sheetView workbookViewId="0">
      <selection activeCell="C25" sqref="C25"/>
    </sheetView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0BD5-F67D-4115-9C6C-37FD2A08BA60}">
  <sheetPr filterMode="1"/>
  <dimension ref="A1:AC57"/>
  <sheetViews>
    <sheetView showGridLines="0" view="pageBreakPreview" topLeftCell="A6" zoomScale="124" zoomScaleNormal="100" zoomScaleSheetLayoutView="100" workbookViewId="0">
      <pane xSplit="8" ySplit="4" topLeftCell="I10" activePane="bottomRight" state="frozen"/>
      <selection pane="topRight" activeCell="I6" sqref="I6"/>
      <selection pane="bottomLeft" activeCell="A10" sqref="A10"/>
      <selection pane="bottomRight" activeCell="O36" sqref="O36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5" width="4.5546875" style="1" customWidth="1"/>
    <col min="16" max="16" width="4.5546875" style="2" customWidth="1"/>
    <col min="17" max="17" width="5.5546875" style="2" customWidth="1"/>
    <col min="18" max="19" width="6.5546875" style="2" customWidth="1"/>
    <col min="20" max="20" width="7.5546875" style="2" customWidth="1"/>
    <col min="21" max="26" width="5.5546875" style="1" customWidth="1"/>
    <col min="27" max="27" width="4.5546875" style="1" customWidth="1"/>
    <col min="28" max="28" width="5.5546875" style="1" customWidth="1"/>
    <col min="29" max="29" width="35.109375" style="52" customWidth="1"/>
    <col min="30" max="16384" width="10.88671875" style="1"/>
  </cols>
  <sheetData>
    <row r="1" spans="1:29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49"/>
    </row>
    <row r="2" spans="1:29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924</v>
      </c>
      <c r="J4" s="142"/>
      <c r="K4" s="142"/>
      <c r="L4" s="39"/>
      <c r="M4" s="39"/>
      <c r="N4" s="39"/>
      <c r="O4" s="39"/>
      <c r="P4" s="134" t="s">
        <v>5</v>
      </c>
      <c r="Q4" s="134"/>
      <c r="R4" s="135" t="s">
        <v>284</v>
      </c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46"/>
    </row>
    <row r="5" spans="1:29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39"/>
      <c r="N5" s="39"/>
      <c r="O5" s="39"/>
      <c r="P5" s="134" t="s">
        <v>7</v>
      </c>
      <c r="Q5" s="134"/>
      <c r="R5" s="135" t="s">
        <v>8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46"/>
    </row>
    <row r="7" spans="1:29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29"/>
      <c r="O7" s="129"/>
      <c r="P7" s="129"/>
      <c r="Q7" s="130" t="s">
        <v>14</v>
      </c>
      <c r="R7" s="130"/>
      <c r="S7" s="130"/>
      <c r="T7" s="130"/>
      <c r="U7" s="114" t="s">
        <v>15</v>
      </c>
      <c r="V7" s="115"/>
      <c r="W7" s="115"/>
      <c r="X7" s="115"/>
      <c r="Y7" s="115"/>
      <c r="Z7" s="115"/>
      <c r="AA7" s="116"/>
      <c r="AB7" s="117" t="s">
        <v>16</v>
      </c>
      <c r="AC7" s="143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34</v>
      </c>
      <c r="AA8" s="29" t="s">
        <v>27</v>
      </c>
      <c r="AB8" s="118"/>
      <c r="AC8" s="143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53"/>
    </row>
    <row r="10" spans="1:29" ht="27.6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>
        <v>116</v>
      </c>
      <c r="K10" s="9">
        <v>105</v>
      </c>
      <c r="L10" s="10">
        <f t="shared" ref="L10:L56" si="0">+J10-K10</f>
        <v>11</v>
      </c>
      <c r="M10" s="10"/>
      <c r="N10" s="10"/>
      <c r="O10" s="10"/>
      <c r="P10" s="38">
        <f t="shared" ref="P10:P56" si="1">IFERROR(IF(7&lt;&gt;0, K10*100/J10, IF(J10=K10, K10*100/J10, 0)), 0)</f>
        <v>90.517241379310349</v>
      </c>
      <c r="Q10" s="45"/>
      <c r="R10" s="11"/>
      <c r="S10" s="12">
        <f t="shared" ref="S10:S56" si="2">+Q10-R10</f>
        <v>0</v>
      </c>
      <c r="T10" s="28">
        <f t="shared" ref="T10:T56" si="3">IFERROR(IF(S10&lt;&gt;0, Q10*100/R10, IF(Q10=R10, Q10*100/R10, 0)), 0)</f>
        <v>0</v>
      </c>
      <c r="U10" s="9"/>
      <c r="V10" s="9"/>
      <c r="W10" s="9"/>
      <c r="X10" s="9"/>
      <c r="Y10" s="9"/>
      <c r="Z10" s="10">
        <f t="shared" ref="Z10:Z56" si="4">SUM(U10:Y10)</f>
        <v>0</v>
      </c>
      <c r="AA10" s="30">
        <f t="shared" ref="AA10:AA56" si="5">+Z10*100/50</f>
        <v>0</v>
      </c>
      <c r="AB10" s="32">
        <f t="shared" ref="AB10:AB56" si="6">+(T10+P10+AA10)/3</f>
        <v>30.172413793103448</v>
      </c>
      <c r="AC10" s="54"/>
    </row>
    <row r="11" spans="1:29" ht="27.6" hidden="1" x14ac:dyDescent="0.3">
      <c r="A11" s="24" t="s">
        <v>35</v>
      </c>
      <c r="B11" s="24" t="s">
        <v>36</v>
      </c>
      <c r="C11" s="24" t="s">
        <v>694</v>
      </c>
      <c r="D11" s="23"/>
      <c r="E11" s="20"/>
      <c r="F11" s="21"/>
      <c r="G11" s="22"/>
      <c r="H11" s="22"/>
      <c r="I11" s="3" t="s">
        <v>49</v>
      </c>
      <c r="J11" s="9"/>
      <c r="K11" s="9"/>
      <c r="L11" s="10">
        <f t="shared" si="0"/>
        <v>0</v>
      </c>
      <c r="M11" s="10"/>
      <c r="N11" s="10"/>
      <c r="O11" s="10"/>
      <c r="P11" s="38">
        <f t="shared" si="1"/>
        <v>0</v>
      </c>
      <c r="Q11" s="11"/>
      <c r="R11" s="11"/>
      <c r="S11" s="12">
        <f t="shared" si="2"/>
        <v>0</v>
      </c>
      <c r="T11" s="28">
        <f t="shared" si="3"/>
        <v>0</v>
      </c>
      <c r="U11" s="9"/>
      <c r="V11" s="9"/>
      <c r="W11" s="9"/>
      <c r="X11" s="9"/>
      <c r="Y11" s="9"/>
      <c r="Z11" s="10">
        <f t="shared" si="4"/>
        <v>0</v>
      </c>
      <c r="AA11" s="30">
        <f t="shared" si="5"/>
        <v>0</v>
      </c>
      <c r="AB11" s="32">
        <f t="shared" si="6"/>
        <v>0</v>
      </c>
      <c r="AC11" s="47"/>
    </row>
    <row r="12" spans="1:29" ht="27.6" x14ac:dyDescent="0.3">
      <c r="A12" s="24" t="s">
        <v>35</v>
      </c>
      <c r="B12" s="24" t="s">
        <v>36</v>
      </c>
      <c r="C12" s="24" t="s">
        <v>853</v>
      </c>
      <c r="D12" s="23" t="s">
        <v>862</v>
      </c>
      <c r="E12" s="20"/>
      <c r="F12" s="21"/>
      <c r="G12" s="22"/>
      <c r="H12" s="22"/>
      <c r="I12" s="3" t="s">
        <v>51</v>
      </c>
      <c r="J12" s="9">
        <v>67</v>
      </c>
      <c r="K12" s="9">
        <v>66</v>
      </c>
      <c r="L12" s="10">
        <f t="shared" si="0"/>
        <v>1</v>
      </c>
      <c r="M12" s="10"/>
      <c r="N12" s="10"/>
      <c r="O12" s="10"/>
      <c r="P12" s="38">
        <f t="shared" si="1"/>
        <v>98.507462686567166</v>
      </c>
      <c r="Q12" s="11"/>
      <c r="R12" s="11"/>
      <c r="S12" s="12">
        <f t="shared" si="2"/>
        <v>0</v>
      </c>
      <c r="T12" s="28">
        <f t="shared" si="3"/>
        <v>0</v>
      </c>
      <c r="U12" s="9"/>
      <c r="V12" s="9"/>
      <c r="W12" s="9"/>
      <c r="X12" s="9"/>
      <c r="Y12" s="9"/>
      <c r="Z12" s="10">
        <f t="shared" si="4"/>
        <v>0</v>
      </c>
      <c r="AA12" s="30">
        <f t="shared" si="5"/>
        <v>0</v>
      </c>
      <c r="AB12" s="32">
        <f t="shared" si="6"/>
        <v>32.835820895522389</v>
      </c>
      <c r="AC12" s="55"/>
    </row>
    <row r="13" spans="1:29" ht="27.6" x14ac:dyDescent="0.3">
      <c r="A13" s="24" t="s">
        <v>35</v>
      </c>
      <c r="B13" s="24" t="s">
        <v>36</v>
      </c>
      <c r="C13" s="24" t="s">
        <v>831</v>
      </c>
      <c r="D13" s="23" t="s">
        <v>862</v>
      </c>
      <c r="E13" s="20"/>
      <c r="F13" s="21"/>
      <c r="G13" s="22"/>
      <c r="H13" s="22"/>
      <c r="I13" s="3" t="s">
        <v>55</v>
      </c>
      <c r="J13" s="9">
        <v>1</v>
      </c>
      <c r="K13" s="9">
        <v>0</v>
      </c>
      <c r="L13" s="10">
        <f t="shared" si="0"/>
        <v>1</v>
      </c>
      <c r="M13" s="10"/>
      <c r="N13" s="10"/>
      <c r="O13" s="10"/>
      <c r="P13" s="38">
        <f t="shared" si="1"/>
        <v>0</v>
      </c>
      <c r="Q13" s="11"/>
      <c r="R13" s="11"/>
      <c r="S13" s="12">
        <f t="shared" si="2"/>
        <v>0</v>
      </c>
      <c r="T13" s="28">
        <f t="shared" si="3"/>
        <v>0</v>
      </c>
      <c r="U13" s="9"/>
      <c r="V13" s="9"/>
      <c r="W13" s="9"/>
      <c r="X13" s="9"/>
      <c r="Y13" s="9"/>
      <c r="Z13" s="10">
        <f t="shared" si="4"/>
        <v>0</v>
      </c>
      <c r="AA13" s="30">
        <f t="shared" si="5"/>
        <v>0</v>
      </c>
      <c r="AB13" s="32">
        <f t="shared" si="6"/>
        <v>0</v>
      </c>
      <c r="AC13" s="54" t="s">
        <v>1010</v>
      </c>
    </row>
    <row r="14" spans="1:29" ht="27.6" hidden="1" x14ac:dyDescent="0.3">
      <c r="A14" s="24" t="s">
        <v>35</v>
      </c>
      <c r="B14" s="24" t="s">
        <v>36</v>
      </c>
      <c r="C14" s="24" t="s">
        <v>694</v>
      </c>
      <c r="D14" s="23"/>
      <c r="E14" s="20"/>
      <c r="F14" s="21"/>
      <c r="G14" s="22"/>
      <c r="H14" s="22"/>
      <c r="I14" s="3" t="s">
        <v>56</v>
      </c>
      <c r="J14" s="9"/>
      <c r="K14" s="9"/>
      <c r="L14" s="10">
        <f t="shared" si="0"/>
        <v>0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/>
      <c r="V14" s="9"/>
      <c r="W14" s="9"/>
      <c r="X14" s="9"/>
      <c r="Y14" s="9"/>
      <c r="Z14" s="10">
        <f t="shared" si="4"/>
        <v>0</v>
      </c>
      <c r="AA14" s="30">
        <f t="shared" si="5"/>
        <v>0</v>
      </c>
      <c r="AB14" s="32">
        <f t="shared" si="6"/>
        <v>0</v>
      </c>
      <c r="AC14" s="47"/>
    </row>
    <row r="15" spans="1:29" ht="27.6" hidden="1" x14ac:dyDescent="0.3">
      <c r="A15" s="24" t="s">
        <v>35</v>
      </c>
      <c r="B15" s="24" t="s">
        <v>36</v>
      </c>
      <c r="C15" s="24" t="s">
        <v>853</v>
      </c>
      <c r="D15" s="23"/>
      <c r="E15" s="20"/>
      <c r="F15" s="21"/>
      <c r="G15" s="22"/>
      <c r="H15" s="22"/>
      <c r="I15" s="3" t="s">
        <v>57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5"/>
        <v>0</v>
      </c>
      <c r="AB15" s="32">
        <f t="shared" si="6"/>
        <v>0</v>
      </c>
      <c r="AC15" s="47"/>
    </row>
    <row r="16" spans="1:29" ht="27.6" x14ac:dyDescent="0.3">
      <c r="A16" s="24" t="s">
        <v>35</v>
      </c>
      <c r="B16" s="24"/>
      <c r="C16" s="24" t="s">
        <v>831</v>
      </c>
      <c r="D16" s="23" t="s">
        <v>862</v>
      </c>
      <c r="E16" s="20"/>
      <c r="F16" s="21"/>
      <c r="G16" s="23"/>
      <c r="H16" s="23"/>
      <c r="I16" s="3" t="s">
        <v>75</v>
      </c>
      <c r="J16" s="9">
        <v>31</v>
      </c>
      <c r="K16" s="9">
        <v>31</v>
      </c>
      <c r="L16" s="10">
        <f t="shared" si="0"/>
        <v>0</v>
      </c>
      <c r="M16" s="10"/>
      <c r="N16" s="10"/>
      <c r="O16" s="10"/>
      <c r="P16" s="38">
        <f t="shared" si="1"/>
        <v>100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5"/>
        <v>0</v>
      </c>
      <c r="AB16" s="32">
        <f t="shared" si="6"/>
        <v>33.333333333333336</v>
      </c>
      <c r="AC16" s="54"/>
    </row>
    <row r="17" spans="1:29" ht="27.6" hidden="1" x14ac:dyDescent="0.3">
      <c r="A17" s="24" t="s">
        <v>64</v>
      </c>
      <c r="B17" s="24" t="s">
        <v>35</v>
      </c>
      <c r="C17" s="24" t="s">
        <v>831</v>
      </c>
      <c r="D17" s="23"/>
      <c r="E17" s="20"/>
      <c r="F17" s="21"/>
      <c r="G17" s="23"/>
      <c r="H17" s="23"/>
      <c r="I17" s="3" t="s">
        <v>76</v>
      </c>
      <c r="J17" s="9"/>
      <c r="K17" s="9"/>
      <c r="L17" s="10">
        <f t="shared" si="0"/>
        <v>0</v>
      </c>
      <c r="M17" s="10"/>
      <c r="N17" s="10"/>
      <c r="O17" s="10"/>
      <c r="P17" s="38">
        <f t="shared" si="1"/>
        <v>0</v>
      </c>
      <c r="Q17" s="11"/>
      <c r="R17" s="11"/>
      <c r="S17" s="12">
        <f t="shared" si="2"/>
        <v>0</v>
      </c>
      <c r="T17" s="28">
        <f t="shared" si="3"/>
        <v>0</v>
      </c>
      <c r="U17" s="9"/>
      <c r="V17" s="9"/>
      <c r="W17" s="9"/>
      <c r="X17" s="9"/>
      <c r="Y17" s="9"/>
      <c r="Z17" s="10">
        <f t="shared" si="4"/>
        <v>0</v>
      </c>
      <c r="AA17" s="30">
        <f t="shared" si="5"/>
        <v>0</v>
      </c>
      <c r="AB17" s="32">
        <f t="shared" si="6"/>
        <v>0</v>
      </c>
      <c r="AC17" s="32"/>
    </row>
    <row r="18" spans="1:29" ht="27.6" hidden="1" x14ac:dyDescent="0.3">
      <c r="A18" s="24" t="s">
        <v>35</v>
      </c>
      <c r="B18" s="24"/>
      <c r="C18" s="24" t="s">
        <v>694</v>
      </c>
      <c r="D18" s="23"/>
      <c r="E18" s="20"/>
      <c r="F18" s="21"/>
      <c r="G18" s="23"/>
      <c r="H18" s="23"/>
      <c r="I18" s="3" t="s">
        <v>77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5"/>
        <v>0</v>
      </c>
      <c r="AB18" s="32">
        <f t="shared" si="6"/>
        <v>0</v>
      </c>
      <c r="AC18" s="47"/>
    </row>
    <row r="19" spans="1:29" ht="27.6" hidden="1" x14ac:dyDescent="0.3">
      <c r="A19" s="24" t="s">
        <v>35</v>
      </c>
      <c r="B19" s="24"/>
      <c r="C19" s="24" t="s">
        <v>853</v>
      </c>
      <c r="D19" s="23"/>
      <c r="E19" s="20"/>
      <c r="F19" s="21"/>
      <c r="G19" s="23"/>
      <c r="H19" s="23"/>
      <c r="I19" s="3" t="s">
        <v>78</v>
      </c>
      <c r="J19" s="9"/>
      <c r="K19" s="9"/>
      <c r="L19" s="10">
        <f t="shared" si="0"/>
        <v>0</v>
      </c>
      <c r="M19" s="10"/>
      <c r="N19" s="10"/>
      <c r="O19" s="10"/>
      <c r="P19" s="38">
        <f t="shared" si="1"/>
        <v>0</v>
      </c>
      <c r="Q19" s="11"/>
      <c r="R19" s="11"/>
      <c r="S19" s="12">
        <f t="shared" si="2"/>
        <v>0</v>
      </c>
      <c r="T19" s="28">
        <f t="shared" si="3"/>
        <v>0</v>
      </c>
      <c r="U19" s="9"/>
      <c r="V19" s="9"/>
      <c r="W19" s="9"/>
      <c r="X19" s="9"/>
      <c r="Y19" s="9"/>
      <c r="Z19" s="10">
        <f t="shared" si="4"/>
        <v>0</v>
      </c>
      <c r="AA19" s="30">
        <f t="shared" si="5"/>
        <v>0</v>
      </c>
      <c r="AB19" s="32">
        <f t="shared" si="6"/>
        <v>0</v>
      </c>
      <c r="AC19" s="47"/>
    </row>
    <row r="20" spans="1:29" ht="27.6" hidden="1" x14ac:dyDescent="0.3">
      <c r="A20" s="24" t="s">
        <v>79</v>
      </c>
      <c r="B20" s="24" t="s">
        <v>35</v>
      </c>
      <c r="C20" s="24" t="s">
        <v>831</v>
      </c>
      <c r="D20" s="23"/>
      <c r="E20" s="20"/>
      <c r="F20" s="21"/>
      <c r="G20" s="23"/>
      <c r="H20" s="23"/>
      <c r="I20" s="3" t="s">
        <v>87</v>
      </c>
      <c r="J20" s="9"/>
      <c r="K20" s="9"/>
      <c r="L20" s="10">
        <f t="shared" si="0"/>
        <v>0</v>
      </c>
      <c r="M20" s="10"/>
      <c r="N20" s="10"/>
      <c r="O20" s="10"/>
      <c r="P20" s="38">
        <f t="shared" si="1"/>
        <v>0</v>
      </c>
      <c r="Q20" s="11"/>
      <c r="R20" s="11"/>
      <c r="S20" s="12">
        <f t="shared" si="2"/>
        <v>0</v>
      </c>
      <c r="T20" s="28">
        <f t="shared" si="3"/>
        <v>0</v>
      </c>
      <c r="U20" s="9"/>
      <c r="V20" s="9"/>
      <c r="W20" s="9"/>
      <c r="X20" s="9"/>
      <c r="Y20" s="9"/>
      <c r="Z20" s="10">
        <f t="shared" si="4"/>
        <v>0</v>
      </c>
      <c r="AA20" s="30">
        <f t="shared" si="5"/>
        <v>0</v>
      </c>
      <c r="AB20" s="32">
        <f t="shared" si="6"/>
        <v>0</v>
      </c>
      <c r="AC20" s="47"/>
    </row>
    <row r="21" spans="1:29" ht="27.6" hidden="1" x14ac:dyDescent="0.3">
      <c r="A21" s="24" t="s">
        <v>79</v>
      </c>
      <c r="B21" s="24" t="s">
        <v>35</v>
      </c>
      <c r="C21" s="24" t="s">
        <v>694</v>
      </c>
      <c r="D21" s="23"/>
      <c r="E21" s="20"/>
      <c r="F21" s="21"/>
      <c r="G21" s="23"/>
      <c r="H21" s="23"/>
      <c r="I21" s="3" t="s">
        <v>88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5"/>
        <v>0</v>
      </c>
      <c r="AB21" s="32">
        <f t="shared" si="6"/>
        <v>0</v>
      </c>
      <c r="AC21" s="47"/>
    </row>
    <row r="22" spans="1:29" ht="27.6" hidden="1" x14ac:dyDescent="0.3">
      <c r="A22" s="24" t="s">
        <v>79</v>
      </c>
      <c r="B22" s="24" t="s">
        <v>35</v>
      </c>
      <c r="C22" s="24" t="s">
        <v>853</v>
      </c>
      <c r="D22" s="23"/>
      <c r="E22" s="20"/>
      <c r="F22" s="21"/>
      <c r="G22" s="23"/>
      <c r="H22" s="23"/>
      <c r="I22" s="3" t="s">
        <v>89</v>
      </c>
      <c r="J22" s="9"/>
      <c r="K22" s="9"/>
      <c r="L22" s="10">
        <f t="shared" si="0"/>
        <v>0</v>
      </c>
      <c r="M22" s="10"/>
      <c r="N22" s="10"/>
      <c r="O22" s="10"/>
      <c r="P22" s="38">
        <f t="shared" si="1"/>
        <v>0</v>
      </c>
      <c r="Q22" s="11"/>
      <c r="R22" s="11"/>
      <c r="S22" s="12">
        <f t="shared" si="2"/>
        <v>0</v>
      </c>
      <c r="T22" s="28">
        <f t="shared" si="3"/>
        <v>0</v>
      </c>
      <c r="U22" s="9"/>
      <c r="V22" s="9"/>
      <c r="W22" s="9"/>
      <c r="X22" s="9"/>
      <c r="Y22" s="9"/>
      <c r="Z22" s="10">
        <f t="shared" si="4"/>
        <v>0</v>
      </c>
      <c r="AA22" s="30">
        <f t="shared" si="5"/>
        <v>0</v>
      </c>
      <c r="AB22" s="32">
        <f t="shared" si="6"/>
        <v>0</v>
      </c>
      <c r="AC22" s="47"/>
    </row>
    <row r="23" spans="1:29" ht="41.4" x14ac:dyDescent="0.3">
      <c r="A23" s="24" t="s">
        <v>64</v>
      </c>
      <c r="B23" s="24"/>
      <c r="C23" s="24" t="s">
        <v>95</v>
      </c>
      <c r="D23" s="23" t="s">
        <v>862</v>
      </c>
      <c r="E23" s="20"/>
      <c r="F23" s="21"/>
      <c r="G23" s="23"/>
      <c r="H23" s="23"/>
      <c r="I23" s="3" t="s">
        <v>96</v>
      </c>
      <c r="J23" s="9">
        <v>1</v>
      </c>
      <c r="K23" s="9">
        <v>1</v>
      </c>
      <c r="L23" s="10">
        <f t="shared" si="0"/>
        <v>0</v>
      </c>
      <c r="M23" s="10"/>
      <c r="N23" s="10"/>
      <c r="O23" s="10"/>
      <c r="P23" s="38">
        <f t="shared" si="1"/>
        <v>100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5"/>
        <v>0</v>
      </c>
      <c r="AB23" s="32">
        <f t="shared" si="6"/>
        <v>33.333333333333336</v>
      </c>
      <c r="AC23" s="54"/>
    </row>
    <row r="24" spans="1:29" ht="27.6" hidden="1" x14ac:dyDescent="0.3">
      <c r="A24" s="24" t="s">
        <v>35</v>
      </c>
      <c r="B24" s="24"/>
      <c r="C24" s="24" t="s">
        <v>831</v>
      </c>
      <c r="D24" s="23"/>
      <c r="E24" s="20"/>
      <c r="F24" s="21"/>
      <c r="G24" s="23"/>
      <c r="H24" s="23"/>
      <c r="I24" s="3" t="s">
        <v>107</v>
      </c>
      <c r="J24" s="9"/>
      <c r="K24" s="9"/>
      <c r="L24" s="10">
        <f t="shared" si="0"/>
        <v>0</v>
      </c>
      <c r="M24" s="10"/>
      <c r="N24" s="10"/>
      <c r="O24" s="10"/>
      <c r="P24" s="38">
        <f t="shared" si="1"/>
        <v>0</v>
      </c>
      <c r="Q24" s="11"/>
      <c r="R24" s="11"/>
      <c r="S24" s="12">
        <f t="shared" si="2"/>
        <v>0</v>
      </c>
      <c r="T24" s="28">
        <f t="shared" si="3"/>
        <v>0</v>
      </c>
      <c r="U24" s="9"/>
      <c r="V24" s="9"/>
      <c r="W24" s="9"/>
      <c r="X24" s="9"/>
      <c r="Y24" s="9"/>
      <c r="Z24" s="10">
        <f t="shared" si="4"/>
        <v>0</v>
      </c>
      <c r="AA24" s="30">
        <f t="shared" si="5"/>
        <v>0</v>
      </c>
      <c r="AB24" s="32">
        <f t="shared" si="6"/>
        <v>0</v>
      </c>
      <c r="AC24" s="32"/>
    </row>
    <row r="25" spans="1:29" ht="27.6" hidden="1" x14ac:dyDescent="0.3">
      <c r="A25" s="24" t="s">
        <v>35</v>
      </c>
      <c r="B25" s="24"/>
      <c r="C25" s="24" t="s">
        <v>694</v>
      </c>
      <c r="D25" s="23"/>
      <c r="E25" s="20"/>
      <c r="F25" s="21"/>
      <c r="G25" s="23"/>
      <c r="H25" s="23"/>
      <c r="I25" s="3" t="s">
        <v>108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5"/>
        <v>0</v>
      </c>
      <c r="AB25" s="32">
        <f t="shared" si="6"/>
        <v>0</v>
      </c>
      <c r="AC25" s="47"/>
    </row>
    <row r="26" spans="1:29" ht="27.6" hidden="1" x14ac:dyDescent="0.3">
      <c r="A26" s="24" t="s">
        <v>35</v>
      </c>
      <c r="B26" s="24"/>
      <c r="C26" s="24" t="s">
        <v>853</v>
      </c>
      <c r="D26" s="23"/>
      <c r="E26" s="20"/>
      <c r="F26" s="21"/>
      <c r="G26" s="23"/>
      <c r="H26" s="23"/>
      <c r="I26" s="3" t="s">
        <v>109</v>
      </c>
      <c r="J26" s="9"/>
      <c r="K26" s="9"/>
      <c r="L26" s="10">
        <f t="shared" si="0"/>
        <v>0</v>
      </c>
      <c r="M26" s="10"/>
      <c r="N26" s="10"/>
      <c r="O26" s="10"/>
      <c r="P26" s="38">
        <f t="shared" si="1"/>
        <v>0</v>
      </c>
      <c r="Q26" s="11"/>
      <c r="R26" s="11"/>
      <c r="S26" s="12">
        <f t="shared" si="2"/>
        <v>0</v>
      </c>
      <c r="T26" s="28">
        <f t="shared" si="3"/>
        <v>0</v>
      </c>
      <c r="U26" s="9"/>
      <c r="V26" s="9"/>
      <c r="W26" s="9"/>
      <c r="X26" s="9"/>
      <c r="Y26" s="9"/>
      <c r="Z26" s="10">
        <f t="shared" si="4"/>
        <v>0</v>
      </c>
      <c r="AA26" s="30">
        <f t="shared" si="5"/>
        <v>0</v>
      </c>
      <c r="AB26" s="32">
        <f t="shared" si="6"/>
        <v>0</v>
      </c>
      <c r="AC26" s="47"/>
    </row>
    <row r="27" spans="1:29" ht="27.6" x14ac:dyDescent="0.3">
      <c r="A27" s="24" t="s">
        <v>35</v>
      </c>
      <c r="B27" s="24" t="s">
        <v>64</v>
      </c>
      <c r="C27" s="24" t="s">
        <v>831</v>
      </c>
      <c r="D27" s="23" t="s">
        <v>862</v>
      </c>
      <c r="E27" s="20"/>
      <c r="F27" s="21"/>
      <c r="G27" s="23"/>
      <c r="H27" s="23"/>
      <c r="I27" s="3" t="s">
        <v>113</v>
      </c>
      <c r="J27" s="9">
        <v>128</v>
      </c>
      <c r="K27" s="9">
        <v>132</v>
      </c>
      <c r="L27" s="10">
        <f t="shared" si="0"/>
        <v>-4</v>
      </c>
      <c r="M27" s="10"/>
      <c r="N27" s="10"/>
      <c r="O27" s="10"/>
      <c r="P27" s="38">
        <f t="shared" si="1"/>
        <v>103.125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5"/>
        <v>0</v>
      </c>
      <c r="AB27" s="32">
        <f t="shared" si="6"/>
        <v>34.375</v>
      </c>
      <c r="AC27" s="54"/>
    </row>
    <row r="28" spans="1:29" ht="27.6" hidden="1" x14ac:dyDescent="0.3">
      <c r="A28" s="24" t="s">
        <v>35</v>
      </c>
      <c r="B28" s="24" t="s">
        <v>64</v>
      </c>
      <c r="C28" s="24" t="s">
        <v>694</v>
      </c>
      <c r="D28" s="23"/>
      <c r="E28" s="20"/>
      <c r="F28" s="21"/>
      <c r="G28" s="23"/>
      <c r="H28" s="23"/>
      <c r="I28" s="3" t="s">
        <v>114</v>
      </c>
      <c r="J28" s="9"/>
      <c r="K28" s="9"/>
      <c r="L28" s="10">
        <f t="shared" si="0"/>
        <v>0</v>
      </c>
      <c r="M28" s="10"/>
      <c r="N28" s="10"/>
      <c r="O28" s="10"/>
      <c r="P28" s="38">
        <f t="shared" si="1"/>
        <v>0</v>
      </c>
      <c r="Q28" s="11"/>
      <c r="R28" s="11"/>
      <c r="S28" s="12">
        <f t="shared" si="2"/>
        <v>0</v>
      </c>
      <c r="T28" s="28">
        <f t="shared" si="3"/>
        <v>0</v>
      </c>
      <c r="U28" s="9"/>
      <c r="V28" s="9"/>
      <c r="W28" s="9"/>
      <c r="X28" s="9"/>
      <c r="Y28" s="9"/>
      <c r="Z28" s="10">
        <f t="shared" si="4"/>
        <v>0</v>
      </c>
      <c r="AA28" s="30">
        <f t="shared" si="5"/>
        <v>0</v>
      </c>
      <c r="AB28" s="32">
        <f t="shared" si="6"/>
        <v>0</v>
      </c>
      <c r="AC28" s="47"/>
    </row>
    <row r="29" spans="1:29" ht="27.6" hidden="1" x14ac:dyDescent="0.3">
      <c r="A29" s="24" t="s">
        <v>35</v>
      </c>
      <c r="B29" s="24" t="s">
        <v>64</v>
      </c>
      <c r="C29" s="24" t="s">
        <v>853</v>
      </c>
      <c r="D29" s="23"/>
      <c r="E29" s="20"/>
      <c r="F29" s="21"/>
      <c r="G29" s="23"/>
      <c r="H29" s="23"/>
      <c r="I29" s="3" t="s">
        <v>115</v>
      </c>
      <c r="J29" s="9"/>
      <c r="K29" s="9"/>
      <c r="L29" s="10">
        <f t="shared" si="0"/>
        <v>0</v>
      </c>
      <c r="M29" s="10"/>
      <c r="N29" s="10"/>
      <c r="O29" s="10"/>
      <c r="P29" s="38">
        <f t="shared" si="1"/>
        <v>0</v>
      </c>
      <c r="Q29" s="11"/>
      <c r="R29" s="11"/>
      <c r="S29" s="12">
        <f t="shared" si="2"/>
        <v>0</v>
      </c>
      <c r="T29" s="28">
        <f t="shared" si="3"/>
        <v>0</v>
      </c>
      <c r="U29" s="9"/>
      <c r="V29" s="9"/>
      <c r="W29" s="9"/>
      <c r="X29" s="9"/>
      <c r="Y29" s="9"/>
      <c r="Z29" s="10">
        <f t="shared" si="4"/>
        <v>0</v>
      </c>
      <c r="AA29" s="30">
        <f t="shared" si="5"/>
        <v>0</v>
      </c>
      <c r="AB29" s="32">
        <f t="shared" si="6"/>
        <v>0</v>
      </c>
      <c r="AC29" s="47"/>
    </row>
    <row r="30" spans="1:29" ht="27.6" hidden="1" x14ac:dyDescent="0.3">
      <c r="A30" s="24" t="s">
        <v>35</v>
      </c>
      <c r="B30" s="24" t="s">
        <v>35</v>
      </c>
      <c r="C30" s="24" t="s">
        <v>831</v>
      </c>
      <c r="D30" s="23"/>
      <c r="E30" s="20"/>
      <c r="F30" s="21"/>
      <c r="G30" s="23"/>
      <c r="H30" s="23"/>
      <c r="I30" s="3" t="s">
        <v>120</v>
      </c>
      <c r="J30" s="9"/>
      <c r="K30" s="9"/>
      <c r="L30" s="10">
        <f t="shared" si="0"/>
        <v>0</v>
      </c>
      <c r="M30" s="10"/>
      <c r="N30" s="10"/>
      <c r="O30" s="10"/>
      <c r="P30" s="38">
        <f t="shared" si="1"/>
        <v>0</v>
      </c>
      <c r="Q30" s="11"/>
      <c r="R30" s="11"/>
      <c r="S30" s="12">
        <f t="shared" si="2"/>
        <v>0</v>
      </c>
      <c r="T30" s="28">
        <f t="shared" si="3"/>
        <v>0</v>
      </c>
      <c r="U30" s="9"/>
      <c r="V30" s="9"/>
      <c r="W30" s="9"/>
      <c r="X30" s="9"/>
      <c r="Y30" s="9"/>
      <c r="Z30" s="10">
        <f t="shared" si="4"/>
        <v>0</v>
      </c>
      <c r="AA30" s="30">
        <f t="shared" si="5"/>
        <v>0</v>
      </c>
      <c r="AB30" s="32">
        <f t="shared" si="6"/>
        <v>0</v>
      </c>
      <c r="AC30" s="32"/>
    </row>
    <row r="31" spans="1:29" ht="27.6" x14ac:dyDescent="0.3">
      <c r="A31" s="24" t="s">
        <v>36</v>
      </c>
      <c r="B31" s="24" t="s">
        <v>35</v>
      </c>
      <c r="C31" s="24" t="s">
        <v>831</v>
      </c>
      <c r="D31" s="23" t="s">
        <v>862</v>
      </c>
      <c r="E31" s="20"/>
      <c r="F31" s="21"/>
      <c r="G31" s="23"/>
      <c r="H31" s="23"/>
      <c r="I31" s="3" t="s">
        <v>126</v>
      </c>
      <c r="J31" s="9">
        <v>3</v>
      </c>
      <c r="K31" s="9">
        <v>3</v>
      </c>
      <c r="L31" s="10">
        <f t="shared" si="0"/>
        <v>0</v>
      </c>
      <c r="M31" s="10"/>
      <c r="N31" s="10"/>
      <c r="O31" s="10"/>
      <c r="P31" s="38">
        <f t="shared" si="1"/>
        <v>100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5"/>
        <v>0</v>
      </c>
      <c r="AB31" s="32">
        <f t="shared" si="6"/>
        <v>33.333333333333336</v>
      </c>
      <c r="AC31" s="54"/>
    </row>
    <row r="32" spans="1:29" ht="27.6" hidden="1" x14ac:dyDescent="0.3">
      <c r="A32" s="24" t="s">
        <v>36</v>
      </c>
      <c r="B32" s="24" t="s">
        <v>35</v>
      </c>
      <c r="C32" s="24" t="s">
        <v>694</v>
      </c>
      <c r="D32" s="23"/>
      <c r="E32" s="20"/>
      <c r="F32" s="21"/>
      <c r="G32" s="23"/>
      <c r="H32" s="23"/>
      <c r="I32" s="3" t="s">
        <v>127</v>
      </c>
      <c r="J32" s="9"/>
      <c r="K32" s="9"/>
      <c r="L32" s="10">
        <f t="shared" si="0"/>
        <v>0</v>
      </c>
      <c r="M32" s="10"/>
      <c r="N32" s="10"/>
      <c r="O32" s="10"/>
      <c r="P32" s="38">
        <f t="shared" si="1"/>
        <v>0</v>
      </c>
      <c r="Q32" s="11"/>
      <c r="R32" s="11"/>
      <c r="S32" s="12">
        <f t="shared" si="2"/>
        <v>0</v>
      </c>
      <c r="T32" s="28">
        <f t="shared" si="3"/>
        <v>0</v>
      </c>
      <c r="U32" s="9"/>
      <c r="V32" s="9"/>
      <c r="W32" s="9"/>
      <c r="X32" s="9"/>
      <c r="Y32" s="9"/>
      <c r="Z32" s="10">
        <f t="shared" si="4"/>
        <v>0</v>
      </c>
      <c r="AA32" s="30">
        <f t="shared" si="5"/>
        <v>0</v>
      </c>
      <c r="AB32" s="32">
        <f t="shared" si="6"/>
        <v>0</v>
      </c>
      <c r="AC32" s="47"/>
    </row>
    <row r="33" spans="1:29" ht="27.6" x14ac:dyDescent="0.3">
      <c r="A33" s="24" t="s">
        <v>36</v>
      </c>
      <c r="B33" s="24" t="s">
        <v>35</v>
      </c>
      <c r="C33" s="24" t="s">
        <v>853</v>
      </c>
      <c r="D33" s="23" t="s">
        <v>862</v>
      </c>
      <c r="E33" s="20"/>
      <c r="F33" s="21"/>
      <c r="G33" s="23"/>
      <c r="H33" s="23"/>
      <c r="I33" s="3" t="s">
        <v>128</v>
      </c>
      <c r="J33" s="9">
        <v>1</v>
      </c>
      <c r="K33" s="9">
        <v>1</v>
      </c>
      <c r="L33" s="10">
        <f t="shared" si="0"/>
        <v>0</v>
      </c>
      <c r="M33" s="10"/>
      <c r="N33" s="10"/>
      <c r="O33" s="10"/>
      <c r="P33" s="38">
        <f t="shared" si="1"/>
        <v>100</v>
      </c>
      <c r="Q33" s="11"/>
      <c r="R33" s="11"/>
      <c r="S33" s="12">
        <f t="shared" si="2"/>
        <v>0</v>
      </c>
      <c r="T33" s="28">
        <f t="shared" si="3"/>
        <v>0</v>
      </c>
      <c r="U33" s="9"/>
      <c r="V33" s="9"/>
      <c r="W33" s="9"/>
      <c r="X33" s="9"/>
      <c r="Y33" s="9"/>
      <c r="Z33" s="10">
        <f t="shared" si="4"/>
        <v>0</v>
      </c>
      <c r="AA33" s="30">
        <f t="shared" si="5"/>
        <v>0</v>
      </c>
      <c r="AB33" s="32">
        <f t="shared" si="6"/>
        <v>33.333333333333336</v>
      </c>
      <c r="AC33" s="55"/>
    </row>
    <row r="34" spans="1:29" ht="41.4" x14ac:dyDescent="0.3">
      <c r="A34" s="24" t="s">
        <v>36</v>
      </c>
      <c r="B34" s="24" t="s">
        <v>35</v>
      </c>
      <c r="C34" s="24" t="s">
        <v>831</v>
      </c>
      <c r="D34" s="23" t="s">
        <v>862</v>
      </c>
      <c r="E34" s="20"/>
      <c r="F34" s="21"/>
      <c r="G34" s="23"/>
      <c r="H34" s="23"/>
      <c r="I34" s="3" t="s">
        <v>129</v>
      </c>
      <c r="J34" s="9">
        <v>1</v>
      </c>
      <c r="K34" s="9">
        <v>1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/>
      <c r="V34" s="9"/>
      <c r="W34" s="9"/>
      <c r="X34" s="9"/>
      <c r="Y34" s="9"/>
      <c r="Z34" s="10">
        <f t="shared" si="4"/>
        <v>0</v>
      </c>
      <c r="AA34" s="30">
        <f t="shared" si="5"/>
        <v>0</v>
      </c>
      <c r="AB34" s="32">
        <f t="shared" si="6"/>
        <v>33.333333333333336</v>
      </c>
      <c r="AC34" s="54"/>
    </row>
    <row r="35" spans="1:29" ht="41.4" hidden="1" x14ac:dyDescent="0.3">
      <c r="A35" s="24" t="s">
        <v>36</v>
      </c>
      <c r="B35" s="24" t="s">
        <v>35</v>
      </c>
      <c r="C35" s="24" t="s">
        <v>694</v>
      </c>
      <c r="D35" s="23"/>
      <c r="E35" s="20"/>
      <c r="F35" s="21"/>
      <c r="G35" s="23"/>
      <c r="H35" s="23"/>
      <c r="I35" s="3" t="s">
        <v>130</v>
      </c>
      <c r="J35" s="9"/>
      <c r="K35" s="9"/>
      <c r="L35" s="10">
        <f t="shared" si="0"/>
        <v>0</v>
      </c>
      <c r="M35" s="10"/>
      <c r="N35" s="10"/>
      <c r="O35" s="10"/>
      <c r="P35" s="38">
        <f t="shared" si="1"/>
        <v>0</v>
      </c>
      <c r="Q35" s="11"/>
      <c r="R35" s="11"/>
      <c r="S35" s="12">
        <f t="shared" si="2"/>
        <v>0</v>
      </c>
      <c r="T35" s="28">
        <f t="shared" si="3"/>
        <v>0</v>
      </c>
      <c r="U35" s="9"/>
      <c r="V35" s="9"/>
      <c r="W35" s="9"/>
      <c r="X35" s="9"/>
      <c r="Y35" s="9"/>
      <c r="Z35" s="10">
        <f t="shared" si="4"/>
        <v>0</v>
      </c>
      <c r="AA35" s="30">
        <f t="shared" si="5"/>
        <v>0</v>
      </c>
      <c r="AB35" s="32">
        <f t="shared" si="6"/>
        <v>0</v>
      </c>
      <c r="AC35" s="47"/>
    </row>
    <row r="36" spans="1:29" ht="41.4" x14ac:dyDescent="0.3">
      <c r="A36" s="24" t="s">
        <v>36</v>
      </c>
      <c r="B36" s="24" t="s">
        <v>35</v>
      </c>
      <c r="C36" s="24" t="s">
        <v>853</v>
      </c>
      <c r="D36" s="23" t="s">
        <v>862</v>
      </c>
      <c r="E36" s="20"/>
      <c r="F36" s="21"/>
      <c r="G36" s="23"/>
      <c r="H36" s="23"/>
      <c r="I36" s="3" t="s">
        <v>131</v>
      </c>
      <c r="J36" s="9">
        <v>1</v>
      </c>
      <c r="K36" s="9">
        <v>1</v>
      </c>
      <c r="L36" s="10">
        <f t="shared" si="0"/>
        <v>0</v>
      </c>
      <c r="M36" s="10"/>
      <c r="N36" s="10"/>
      <c r="O36" s="10"/>
      <c r="P36" s="38">
        <f t="shared" si="1"/>
        <v>100</v>
      </c>
      <c r="Q36" s="11"/>
      <c r="R36" s="11"/>
      <c r="S36" s="12">
        <f t="shared" si="2"/>
        <v>0</v>
      </c>
      <c r="T36" s="28">
        <f t="shared" si="3"/>
        <v>0</v>
      </c>
      <c r="U36" s="9"/>
      <c r="V36" s="9"/>
      <c r="W36" s="9"/>
      <c r="X36" s="9"/>
      <c r="Y36" s="9"/>
      <c r="Z36" s="10">
        <f t="shared" si="4"/>
        <v>0</v>
      </c>
      <c r="AA36" s="30">
        <f t="shared" si="5"/>
        <v>0</v>
      </c>
      <c r="AB36" s="32">
        <f t="shared" si="6"/>
        <v>33.333333333333336</v>
      </c>
      <c r="AC36" s="55"/>
    </row>
    <row r="37" spans="1:29" ht="27.6" hidden="1" x14ac:dyDescent="0.3">
      <c r="A37" s="24" t="s">
        <v>36</v>
      </c>
      <c r="B37" s="24"/>
      <c r="C37" s="24" t="s">
        <v>95</v>
      </c>
      <c r="D37" s="23"/>
      <c r="E37" s="20"/>
      <c r="F37" s="21"/>
      <c r="G37" s="23"/>
      <c r="H37" s="23"/>
      <c r="I37" s="3" t="s">
        <v>141</v>
      </c>
      <c r="J37" s="9"/>
      <c r="K37" s="9"/>
      <c r="L37" s="10">
        <f t="shared" si="0"/>
        <v>0</v>
      </c>
      <c r="M37" s="10"/>
      <c r="N37" s="10"/>
      <c r="O37" s="10"/>
      <c r="P37" s="38">
        <f t="shared" si="1"/>
        <v>0</v>
      </c>
      <c r="Q37" s="11"/>
      <c r="R37" s="11"/>
      <c r="S37" s="12">
        <f t="shared" si="2"/>
        <v>0</v>
      </c>
      <c r="T37" s="28">
        <f t="shared" si="3"/>
        <v>0</v>
      </c>
      <c r="U37" s="9"/>
      <c r="V37" s="9"/>
      <c r="W37" s="9"/>
      <c r="X37" s="9"/>
      <c r="Y37" s="9"/>
      <c r="Z37" s="10">
        <f t="shared" si="4"/>
        <v>0</v>
      </c>
      <c r="AA37" s="30">
        <f t="shared" si="5"/>
        <v>0</v>
      </c>
      <c r="AB37" s="32">
        <f t="shared" si="6"/>
        <v>0</v>
      </c>
      <c r="AC37" s="32"/>
    </row>
    <row r="38" spans="1:29" ht="27.6" x14ac:dyDescent="0.3">
      <c r="A38" s="24" t="s">
        <v>84</v>
      </c>
      <c r="B38" s="24" t="s">
        <v>35</v>
      </c>
      <c r="C38" s="24" t="s">
        <v>831</v>
      </c>
      <c r="D38" s="23" t="s">
        <v>862</v>
      </c>
      <c r="E38" s="20"/>
      <c r="F38" s="21"/>
      <c r="G38" s="23"/>
      <c r="H38" s="23"/>
      <c r="I38" s="3" t="s">
        <v>155</v>
      </c>
      <c r="J38" s="9">
        <v>1</v>
      </c>
      <c r="K38" s="9">
        <v>1</v>
      </c>
      <c r="L38" s="10">
        <f t="shared" si="0"/>
        <v>0</v>
      </c>
      <c r="M38" s="10"/>
      <c r="N38" s="10"/>
      <c r="O38" s="10"/>
      <c r="P38" s="38">
        <f t="shared" si="1"/>
        <v>100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5"/>
        <v>0</v>
      </c>
      <c r="AB38" s="32">
        <f t="shared" si="6"/>
        <v>33.333333333333336</v>
      </c>
      <c r="AC38" s="54"/>
    </row>
    <row r="39" spans="1:29" ht="27.6" hidden="1" x14ac:dyDescent="0.3">
      <c r="A39" s="24" t="s">
        <v>84</v>
      </c>
      <c r="B39" s="24" t="s">
        <v>35</v>
      </c>
      <c r="C39" s="24" t="s">
        <v>694</v>
      </c>
      <c r="D39" s="23"/>
      <c r="E39" s="20"/>
      <c r="F39" s="21"/>
      <c r="G39" s="23"/>
      <c r="H39" s="23"/>
      <c r="I39" s="3" t="s">
        <v>156</v>
      </c>
      <c r="J39" s="9"/>
      <c r="K39" s="9"/>
      <c r="L39" s="10">
        <f t="shared" si="0"/>
        <v>0</v>
      </c>
      <c r="M39" s="10"/>
      <c r="N39" s="10"/>
      <c r="O39" s="10"/>
      <c r="P39" s="38">
        <f t="shared" si="1"/>
        <v>0</v>
      </c>
      <c r="Q39" s="11"/>
      <c r="R39" s="11"/>
      <c r="S39" s="12">
        <f t="shared" si="2"/>
        <v>0</v>
      </c>
      <c r="T39" s="28">
        <f t="shared" si="3"/>
        <v>0</v>
      </c>
      <c r="U39" s="9"/>
      <c r="V39" s="9"/>
      <c r="W39" s="9"/>
      <c r="X39" s="9"/>
      <c r="Y39" s="9"/>
      <c r="Z39" s="10">
        <f t="shared" si="4"/>
        <v>0</v>
      </c>
      <c r="AA39" s="30">
        <f t="shared" si="5"/>
        <v>0</v>
      </c>
      <c r="AB39" s="32">
        <f t="shared" si="6"/>
        <v>0</v>
      </c>
      <c r="AC39" s="47"/>
    </row>
    <row r="40" spans="1:29" ht="27.6" hidden="1" x14ac:dyDescent="0.3">
      <c r="A40" s="24" t="s">
        <v>84</v>
      </c>
      <c r="B40" s="24" t="s">
        <v>35</v>
      </c>
      <c r="C40" s="24" t="s">
        <v>853</v>
      </c>
      <c r="D40" s="23"/>
      <c r="E40" s="20"/>
      <c r="F40" s="21"/>
      <c r="G40" s="23"/>
      <c r="H40" s="23"/>
      <c r="I40" s="3" t="s">
        <v>157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5"/>
        <v>0</v>
      </c>
      <c r="AB40" s="32">
        <f t="shared" si="6"/>
        <v>0</v>
      </c>
      <c r="AC40" s="47"/>
    </row>
    <row r="41" spans="1:29" ht="27.6" x14ac:dyDescent="0.3">
      <c r="A41" s="24" t="s">
        <v>103</v>
      </c>
      <c r="B41" s="24"/>
      <c r="C41" s="24" t="s">
        <v>863</v>
      </c>
      <c r="D41" s="23" t="s">
        <v>862</v>
      </c>
      <c r="E41" s="20"/>
      <c r="F41" s="21"/>
      <c r="G41" s="23"/>
      <c r="H41" s="23"/>
      <c r="I41" s="3" t="s">
        <v>164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5"/>
        <v>0</v>
      </c>
      <c r="AB41" s="32">
        <f t="shared" si="6"/>
        <v>0</v>
      </c>
      <c r="AC41" s="55"/>
    </row>
    <row r="42" spans="1:29" ht="21.6" hidden="1" x14ac:dyDescent="0.3">
      <c r="A42" s="24" t="s">
        <v>103</v>
      </c>
      <c r="B42" s="24"/>
      <c r="C42" s="24" t="s">
        <v>863</v>
      </c>
      <c r="D42" s="23"/>
      <c r="E42" s="20"/>
      <c r="F42" s="21"/>
      <c r="G42" s="23"/>
      <c r="H42" s="23"/>
      <c r="I42" s="3" t="s">
        <v>167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 t="shared" si="4"/>
        <v>0</v>
      </c>
      <c r="AA42" s="30">
        <f t="shared" si="5"/>
        <v>0</v>
      </c>
      <c r="AB42" s="32">
        <f t="shared" si="6"/>
        <v>0</v>
      </c>
      <c r="AC42" s="47"/>
    </row>
    <row r="43" spans="1:29" ht="41.4" x14ac:dyDescent="0.3">
      <c r="A43" s="24" t="s">
        <v>103</v>
      </c>
      <c r="B43" s="24"/>
      <c r="C43" s="24" t="s">
        <v>863</v>
      </c>
      <c r="D43" s="23" t="s">
        <v>862</v>
      </c>
      <c r="E43" s="20"/>
      <c r="F43" s="21"/>
      <c r="G43" s="23"/>
      <c r="H43" s="23"/>
      <c r="I43" s="3" t="s">
        <v>169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5"/>
        <v>0</v>
      </c>
      <c r="AB43" s="32">
        <f t="shared" si="6"/>
        <v>0</v>
      </c>
      <c r="AC43" s="55" t="s">
        <v>1011</v>
      </c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171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si="4"/>
        <v>0</v>
      </c>
      <c r="AA44" s="30">
        <f t="shared" si="5"/>
        <v>0</v>
      </c>
      <c r="AB44" s="32">
        <f t="shared" si="6"/>
        <v>0</v>
      </c>
      <c r="AC44" s="55"/>
    </row>
    <row r="45" spans="1:29" ht="27.6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172</v>
      </c>
      <c r="J45" s="9"/>
      <c r="K45" s="9"/>
      <c r="L45" s="10">
        <f t="shared" si="0"/>
        <v>0</v>
      </c>
      <c r="M45" s="10">
        <v>4</v>
      </c>
      <c r="N45" s="10">
        <f>+L45-M45</f>
        <v>-4</v>
      </c>
      <c r="O45" s="10">
        <v>0</v>
      </c>
      <c r="P45" s="38">
        <f t="shared" si="1"/>
        <v>0</v>
      </c>
      <c r="Q45" s="45">
        <v>36</v>
      </c>
      <c r="R45" s="45">
        <v>24</v>
      </c>
      <c r="S45" s="12">
        <f t="shared" si="2"/>
        <v>12</v>
      </c>
      <c r="T45" s="44">
        <f t="shared" si="3"/>
        <v>150</v>
      </c>
      <c r="U45" s="9"/>
      <c r="V45" s="9"/>
      <c r="W45" s="9"/>
      <c r="X45" s="9"/>
      <c r="Y45" s="9"/>
      <c r="Z45" s="10">
        <f t="shared" si="4"/>
        <v>0</v>
      </c>
      <c r="AA45" s="30">
        <f t="shared" si="5"/>
        <v>0</v>
      </c>
      <c r="AB45" s="32">
        <f t="shared" si="6"/>
        <v>50</v>
      </c>
      <c r="AC45" s="55"/>
    </row>
    <row r="46" spans="1:29" ht="27.6" x14ac:dyDescent="0.3">
      <c r="A46" s="24" t="s">
        <v>103</v>
      </c>
      <c r="B46" s="24" t="s">
        <v>84</v>
      </c>
      <c r="C46" s="24" t="s">
        <v>863</v>
      </c>
      <c r="D46" s="23" t="s">
        <v>862</v>
      </c>
      <c r="E46" s="20"/>
      <c r="F46" s="21"/>
      <c r="G46" s="23"/>
      <c r="H46" s="23"/>
      <c r="I46" s="3" t="s">
        <v>174</v>
      </c>
      <c r="J46" s="9"/>
      <c r="K46" s="9"/>
      <c r="L46" s="10">
        <f t="shared" si="0"/>
        <v>0</v>
      </c>
      <c r="M46" s="10"/>
      <c r="N46" s="10"/>
      <c r="O46" s="10"/>
      <c r="P46" s="38">
        <f t="shared" si="1"/>
        <v>0</v>
      </c>
      <c r="Q46" s="11"/>
      <c r="R46" s="11"/>
      <c r="S46" s="12">
        <f t="shared" si="2"/>
        <v>0</v>
      </c>
      <c r="T46" s="28">
        <f t="shared" si="3"/>
        <v>0</v>
      </c>
      <c r="U46" s="9"/>
      <c r="V46" s="9"/>
      <c r="W46" s="9"/>
      <c r="X46" s="9"/>
      <c r="Y46" s="9"/>
      <c r="Z46" s="10">
        <f t="shared" si="4"/>
        <v>0</v>
      </c>
      <c r="AA46" s="30">
        <f t="shared" si="5"/>
        <v>0</v>
      </c>
      <c r="AB46" s="32">
        <f t="shared" si="6"/>
        <v>0</v>
      </c>
      <c r="AC46" s="55"/>
    </row>
    <row r="47" spans="1:29" ht="27.6" x14ac:dyDescent="0.3">
      <c r="A47" s="24" t="s">
        <v>103</v>
      </c>
      <c r="B47" s="24"/>
      <c r="C47" s="24" t="s">
        <v>863</v>
      </c>
      <c r="D47" s="23" t="s">
        <v>862</v>
      </c>
      <c r="E47" s="20"/>
      <c r="F47" s="21"/>
      <c r="G47" s="23"/>
      <c r="H47" s="23"/>
      <c r="I47" s="3" t="s">
        <v>1012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4"/>
        <v>0</v>
      </c>
      <c r="AA47" s="30">
        <f t="shared" si="5"/>
        <v>0</v>
      </c>
      <c r="AB47" s="32">
        <f t="shared" si="6"/>
        <v>0</v>
      </c>
      <c r="AC47" s="55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1013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/>
      <c r="T48" s="28"/>
      <c r="U48" s="9"/>
      <c r="V48" s="9"/>
      <c r="W48" s="9"/>
      <c r="X48" s="9"/>
      <c r="Y48" s="9"/>
      <c r="Z48" s="10"/>
      <c r="AA48" s="30"/>
      <c r="AB48" s="32"/>
      <c r="AC48" s="55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1014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/>
      <c r="AA49" s="30"/>
      <c r="AB49" s="32"/>
      <c r="AC49" s="55"/>
    </row>
    <row r="50" spans="1:29" ht="27.6" hidden="1" x14ac:dyDescent="0.3">
      <c r="A50" s="24" t="s">
        <v>103</v>
      </c>
      <c r="B50" s="24" t="s">
        <v>36</v>
      </c>
      <c r="C50" s="24" t="s">
        <v>863</v>
      </c>
      <c r="D50" s="23"/>
      <c r="E50" s="20"/>
      <c r="F50" s="21"/>
      <c r="G50" s="23"/>
      <c r="H50" s="23"/>
      <c r="I50" s="3" t="s">
        <v>179</v>
      </c>
      <c r="J50" s="9"/>
      <c r="K50" s="9"/>
      <c r="L50" s="10">
        <f t="shared" si="0"/>
        <v>0</v>
      </c>
      <c r="M50" s="10"/>
      <c r="N50" s="10"/>
      <c r="O50" s="10"/>
      <c r="P50" s="38">
        <f t="shared" si="1"/>
        <v>0</v>
      </c>
      <c r="Q50" s="11"/>
      <c r="R50" s="11"/>
      <c r="S50" s="12">
        <f t="shared" si="2"/>
        <v>0</v>
      </c>
      <c r="T50" s="28">
        <f t="shared" si="3"/>
        <v>0</v>
      </c>
      <c r="U50" s="9"/>
      <c r="V50" s="9"/>
      <c r="W50" s="9"/>
      <c r="X50" s="9"/>
      <c r="Y50" s="9"/>
      <c r="Z50" s="10">
        <f t="shared" si="4"/>
        <v>0</v>
      </c>
      <c r="AA50" s="30">
        <f t="shared" si="5"/>
        <v>0</v>
      </c>
      <c r="AB50" s="32">
        <f t="shared" si="6"/>
        <v>0</v>
      </c>
      <c r="AC50" s="47"/>
    </row>
    <row r="51" spans="1:29" ht="27.6" hidden="1" x14ac:dyDescent="0.3">
      <c r="A51" s="24" t="s">
        <v>103</v>
      </c>
      <c r="B51" s="24" t="s">
        <v>35</v>
      </c>
      <c r="C51" s="24" t="s">
        <v>863</v>
      </c>
      <c r="D51" s="23"/>
      <c r="E51" s="20"/>
      <c r="F51" s="21"/>
      <c r="G51" s="23"/>
      <c r="H51" s="23"/>
      <c r="I51" s="3" t="s">
        <v>181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5"/>
        <v>0</v>
      </c>
      <c r="AB51" s="32">
        <f t="shared" si="6"/>
        <v>0</v>
      </c>
      <c r="AC51" s="47"/>
    </row>
    <row r="52" spans="1:29" ht="41.4" x14ac:dyDescent="0.3">
      <c r="A52" s="24" t="s">
        <v>105</v>
      </c>
      <c r="B52" s="24" t="s">
        <v>35</v>
      </c>
      <c r="C52" s="24" t="s">
        <v>831</v>
      </c>
      <c r="D52" s="23" t="s">
        <v>862</v>
      </c>
      <c r="E52" s="20"/>
      <c r="F52" s="21"/>
      <c r="G52" s="23"/>
      <c r="H52" s="23"/>
      <c r="I52" s="3" t="s">
        <v>189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5"/>
        <v>0</v>
      </c>
      <c r="AB52" s="32">
        <f t="shared" si="6"/>
        <v>0</v>
      </c>
      <c r="AC52" s="54" t="s">
        <v>1015</v>
      </c>
    </row>
    <row r="53" spans="1:29" ht="41.4" hidden="1" x14ac:dyDescent="0.3">
      <c r="A53" s="24" t="s">
        <v>105</v>
      </c>
      <c r="B53" s="24" t="s">
        <v>35</v>
      </c>
      <c r="C53" s="24" t="s">
        <v>694</v>
      </c>
      <c r="D53" s="23"/>
      <c r="E53" s="20"/>
      <c r="F53" s="21"/>
      <c r="G53" s="23"/>
      <c r="H53" s="23"/>
      <c r="I53" s="3" t="s">
        <v>190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 t="shared" si="4"/>
        <v>0</v>
      </c>
      <c r="AA53" s="30">
        <f t="shared" si="5"/>
        <v>0</v>
      </c>
      <c r="AB53" s="32">
        <f t="shared" si="6"/>
        <v>0</v>
      </c>
      <c r="AC53" s="47"/>
    </row>
    <row r="54" spans="1:29" ht="41.4" x14ac:dyDescent="0.3">
      <c r="A54" s="24" t="s">
        <v>105</v>
      </c>
      <c r="B54" s="24" t="s">
        <v>35</v>
      </c>
      <c r="C54" s="24" t="s">
        <v>853</v>
      </c>
      <c r="D54" s="23" t="s">
        <v>862</v>
      </c>
      <c r="E54" s="20"/>
      <c r="F54" s="21"/>
      <c r="G54" s="23"/>
      <c r="H54" s="23"/>
      <c r="I54" s="3" t="s">
        <v>191</v>
      </c>
      <c r="J54" s="9"/>
      <c r="K54" s="9"/>
      <c r="L54" s="10">
        <f t="shared" si="0"/>
        <v>0</v>
      </c>
      <c r="M54" s="10"/>
      <c r="N54" s="10"/>
      <c r="O54" s="10"/>
      <c r="P54" s="38">
        <f t="shared" si="1"/>
        <v>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si="4"/>
        <v>0</v>
      </c>
      <c r="AA54" s="30">
        <f t="shared" si="5"/>
        <v>0</v>
      </c>
      <c r="AB54" s="32">
        <f t="shared" si="6"/>
        <v>0</v>
      </c>
      <c r="AC54" s="55" t="s">
        <v>1015</v>
      </c>
    </row>
    <row r="55" spans="1:29" ht="27.6" x14ac:dyDescent="0.3">
      <c r="A55" s="24" t="s">
        <v>105</v>
      </c>
      <c r="B55" s="24"/>
      <c r="C55" s="24" t="s">
        <v>95</v>
      </c>
      <c r="D55" s="23" t="s">
        <v>862</v>
      </c>
      <c r="E55" s="20"/>
      <c r="F55" s="21"/>
      <c r="G55" s="23"/>
      <c r="H55" s="23"/>
      <c r="I55" s="3" t="s">
        <v>193</v>
      </c>
      <c r="J55" s="9"/>
      <c r="K55" s="9"/>
      <c r="L55" s="10">
        <f t="shared" si="0"/>
        <v>0</v>
      </c>
      <c r="M55" s="10"/>
      <c r="N55" s="10"/>
      <c r="O55" s="10"/>
      <c r="P55" s="38">
        <f t="shared" si="1"/>
        <v>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si="4"/>
        <v>0</v>
      </c>
      <c r="AA55" s="30">
        <f t="shared" si="5"/>
        <v>0</v>
      </c>
      <c r="AB55" s="32">
        <f t="shared" si="6"/>
        <v>0</v>
      </c>
      <c r="AC55" s="54"/>
    </row>
    <row r="56" spans="1:29" ht="27.6" hidden="1" x14ac:dyDescent="0.3">
      <c r="A56" s="24" t="s">
        <v>182</v>
      </c>
      <c r="B56" s="24"/>
      <c r="C56" s="24" t="s">
        <v>95</v>
      </c>
      <c r="D56" s="23"/>
      <c r="E56" s="20"/>
      <c r="F56" s="21"/>
      <c r="G56" s="23"/>
      <c r="H56" s="23"/>
      <c r="I56" s="3" t="s">
        <v>203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4"/>
        <v>0</v>
      </c>
      <c r="AA56" s="30">
        <f t="shared" si="5"/>
        <v>0</v>
      </c>
      <c r="AB56" s="32">
        <f t="shared" si="6"/>
        <v>0</v>
      </c>
      <c r="AC56" s="47"/>
    </row>
    <row r="57" spans="1:29" hidden="1" x14ac:dyDescent="0.3">
      <c r="A57" s="34"/>
      <c r="B57" s="34"/>
      <c r="C57" s="34"/>
      <c r="D57" s="35"/>
      <c r="E57" s="35"/>
      <c r="F57" s="35"/>
      <c r="G57" s="35"/>
      <c r="H57" s="35"/>
      <c r="I57" s="36"/>
      <c r="J57" s="119"/>
      <c r="K57" s="120"/>
      <c r="L57" s="121"/>
      <c r="M57" s="43"/>
      <c r="N57" s="43"/>
      <c r="O57" s="43"/>
      <c r="P57" s="33">
        <f>AVERAGEIF(P10:P56,"&gt;0")</f>
        <v>99.214970406587753</v>
      </c>
      <c r="Q57" s="122"/>
      <c r="R57" s="123"/>
      <c r="S57" s="124"/>
      <c r="T57" s="33">
        <f t="shared" ref="T57:AB57" si="7">AVERAGEIF(T10:T56,"&gt;0")</f>
        <v>150</v>
      </c>
      <c r="U57" s="33" t="e">
        <f t="shared" si="7"/>
        <v>#DIV/0!</v>
      </c>
      <c r="V57" s="33" t="e">
        <f t="shared" si="7"/>
        <v>#DIV/0!</v>
      </c>
      <c r="W57" s="33" t="e">
        <f t="shared" si="7"/>
        <v>#DIV/0!</v>
      </c>
      <c r="X57" s="33" t="e">
        <f t="shared" si="7"/>
        <v>#DIV/0!</v>
      </c>
      <c r="Y57" s="33" t="e">
        <f t="shared" si="7"/>
        <v>#DIV/0!</v>
      </c>
      <c r="Z57" s="33" t="e">
        <f t="shared" si="7"/>
        <v>#DIV/0!</v>
      </c>
      <c r="AA57" s="33" t="e">
        <f t="shared" si="7"/>
        <v>#DIV/0!</v>
      </c>
      <c r="AB57" s="33">
        <f t="shared" si="7"/>
        <v>34.61059709290538</v>
      </c>
      <c r="AC57" s="48"/>
    </row>
  </sheetData>
  <autoFilter ref="A9:AB57" xr:uid="{90563A32-5EBF-452E-9143-123B4501033A}">
    <filterColumn colId="0">
      <filters>
        <filter val="ADM"/>
        <filter val="COMU"/>
        <filter val="MEAL"/>
        <filter val="PATR"/>
        <filter val="PROG"/>
        <filter val="PROT"/>
      </filters>
    </filterColumn>
    <filterColumn colId="2">
      <filters>
        <filter val="Equipo Tecnico"/>
        <filter val="Tecnico Patrocinio"/>
        <filter val="Tecn-Prog-Desarrollo PI"/>
        <filter val="Tecn-Prog-Medios Vida"/>
      </filters>
    </filterColumn>
    <filterColumn colId="3">
      <customFilters>
        <customFilter operator="notEqual" val=" "/>
      </customFilters>
    </filterColumn>
  </autoFilter>
  <mergeCells count="19">
    <mergeCell ref="U7:AA7"/>
    <mergeCell ref="AB7:AB8"/>
    <mergeCell ref="AC7:AC8"/>
    <mergeCell ref="J57:L57"/>
    <mergeCell ref="Q57:S57"/>
    <mergeCell ref="Q7:T7"/>
    <mergeCell ref="A7:C7"/>
    <mergeCell ref="D7:D8"/>
    <mergeCell ref="E7:G7"/>
    <mergeCell ref="I7:I8"/>
    <mergeCell ref="J7:P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H57 F10:G57" xr:uid="{BAA92226-4925-4E0A-AF2C-1A370490A9E8}">
      <formula1>INDIRECT(E10)</formula1>
    </dataValidation>
  </dataValidations>
  <pageMargins left="0.7" right="0.7" top="0.75" bottom="0.75" header="0.3" footer="0.3"/>
  <pageSetup scale="75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39CE767C-99C7-422D-AD4D-5A03157BF387}">
          <x14:formula1>
            <xm:f>'Lista desplegable'!$A$2:$A$16</xm:f>
          </x14:formula1>
          <xm:sqref>E10:E57</xm:sqref>
        </x14:dataValidation>
        <x14:dataValidation type="list" allowBlank="1" showInputMessage="1" showErrorMessage="1" xr:uid="{1316F6B3-8856-4FEF-A9EC-B20DD33961AA}">
          <x14:formula1>
            <xm:f>'Lista desplegable'!$C$44:$C$54</xm:f>
          </x14:formula1>
          <xm:sqref>A10:B56</xm:sqref>
        </x14:dataValidation>
        <x14:dataValidation type="list" allowBlank="1" showInputMessage="1" showErrorMessage="1" xr:uid="{4D2BFA33-D433-4CF0-BC18-43B53469B313}">
          <x14:formula1>
            <xm:f>'Lista desplegable'!$C$12:$C$28</xm:f>
          </x14:formula1>
          <xm:sqref>C10:C56</xm:sqref>
        </x14:dataValidation>
        <x14:dataValidation type="list" allowBlank="1" showInputMessage="1" showErrorMessage="1" xr:uid="{697733D5-8447-4E42-AFB9-A1009392354F}">
          <x14:formula1>
            <xm:f>'Lista desplegable'!$D$11:$D$21</xm:f>
          </x14:formula1>
          <xm:sqref>U10:Y56</xm:sqref>
        </x14:dataValidation>
        <x14:dataValidation type="list" allowBlank="1" showInputMessage="1" showErrorMessage="1" xr:uid="{EEC26197-235B-4F05-9F27-618E7813F2E1}">
          <x14:formula1>
            <xm:f>'Lista desplegable'!$D$12:$D$31</xm:f>
          </x14:formula1>
          <xm:sqref>H10:H56</xm:sqref>
        </x14:dataValidation>
        <x14:dataValidation type="list" allowBlank="1" showInputMessage="1" showErrorMessage="1" xr:uid="{D52C3C64-C716-4909-8706-B6D7F7D60C87}">
          <x14:formula1>
            <xm:f>'Lista desplegable'!$B$13:$B$28</xm:f>
          </x14:formula1>
          <xm:sqref>D10:D56</xm:sqref>
        </x14:dataValidation>
        <x14:dataValidation type="list" allowBlank="1" showInputMessage="1" showErrorMessage="1" xr:uid="{F7AB228F-C21C-40FC-8163-B927964C624A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23ABBBF5-EFC9-41DE-9B94-F7324B2D16A4}">
          <x14:formula1>
            <xm:f>'Lista desplegable'!$O$13:$O$37</xm:f>
          </x14:formula1>
          <xm:sqref>G4:G5 I4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47</vt:i4>
      </vt:variant>
    </vt:vector>
  </HeadingPairs>
  <TitlesOfParts>
    <vt:vector size="71" baseType="lpstr">
      <vt:lpstr>Propuesta 2</vt:lpstr>
      <vt:lpstr>David</vt:lpstr>
      <vt:lpstr>Lista desplegable</vt:lpstr>
      <vt:lpstr>EV1-Nancy</vt:lpstr>
      <vt:lpstr>Nancy</vt:lpstr>
      <vt:lpstr>EV1-Francisca</vt:lpstr>
      <vt:lpstr>EV1-Alex Alvarado</vt:lpstr>
      <vt:lpstr>EV1-Alex Castillo</vt:lpstr>
      <vt:lpstr>EV1-Adalid</vt:lpstr>
      <vt:lpstr>EV1-Neptaly</vt:lpstr>
      <vt:lpstr>EV1-Milixa</vt:lpstr>
      <vt:lpstr>Jennifer Canales</vt:lpstr>
      <vt:lpstr>Consol-0</vt:lpstr>
      <vt:lpstr>Consol</vt:lpstr>
      <vt:lpstr>EV2-David Ramos</vt:lpstr>
      <vt:lpstr>EV2-Jhony Amador</vt:lpstr>
      <vt:lpstr>EV2-Norma Hernández</vt:lpstr>
      <vt:lpstr>EV2-Goel Garcia</vt:lpstr>
      <vt:lpstr>EV2-Nubia </vt:lpstr>
      <vt:lpstr>EV2-Zamir</vt:lpstr>
      <vt:lpstr>EV2-Yimi</vt:lpstr>
      <vt:lpstr>Consolidado</vt:lpstr>
      <vt:lpstr>Hoja1</vt:lpstr>
      <vt:lpstr>d</vt:lpstr>
      <vt:lpstr>A_Transversal_Incidencia</vt:lpstr>
      <vt:lpstr>AA_Incidencia</vt:lpstr>
      <vt:lpstr>B_Construyendo_Sostenibilidad</vt:lpstr>
      <vt:lpstr>BA_Adaptación_climática</vt:lpstr>
      <vt:lpstr>BB_Cuidado_del_medio_ambiente</vt:lpstr>
      <vt:lpstr>BC_Reducción_del_Riesgo_de_Desastres__RRD</vt:lpstr>
      <vt:lpstr>C_Niños_en_crisis</vt:lpstr>
      <vt:lpstr>CA_Niños_desplazados_en_crisis_protegidas</vt:lpstr>
      <vt:lpstr>CA_Proteccion_y_respuesta_lideradas_localmente</vt:lpstr>
      <vt:lpstr>D_Desarrollo_de_la_primera_infancia</vt:lpstr>
      <vt:lpstr>DA_Cuidado_receptivo</vt:lpstr>
      <vt:lpstr>DB_Atención_y_educación_de_la_primera_infancia_en_centros__ECCE</vt:lpstr>
      <vt:lpstr>GFC</vt:lpstr>
      <vt:lpstr>GFC_Fondo_Global_para_la_Niñez</vt:lpstr>
      <vt:lpstr>H_Salud</vt:lpstr>
      <vt:lpstr>HA_WASH</vt:lpstr>
      <vt:lpstr>HB_Nutrición</vt:lpstr>
      <vt:lpstr>HC_Salud_maternoinfantil</vt:lpstr>
      <vt:lpstr>HD_Salud_reproductiva</vt:lpstr>
      <vt:lpstr>HE__Enfermedad_infecciosa</vt:lpstr>
      <vt:lpstr>L_Medios_de_vida</vt:lpstr>
      <vt:lpstr>LA_Empoderamiento_económico_para_las_familias</vt:lpstr>
      <vt:lpstr>LB_Empoderamiento_económico_para_los_jóvenes</vt:lpstr>
      <vt:lpstr>LC_Seguridad_alimentaria</vt:lpstr>
      <vt:lpstr>M_Transversal_Salud_mental</vt:lpstr>
      <vt:lpstr>MA_Salud_mental_y_apoyo_psicosocial</vt:lpstr>
      <vt:lpstr>ML_Monitoreo</vt:lpstr>
      <vt:lpstr>ML_Monitoreo_y_soporte_técnico_del_programa</vt:lpstr>
      <vt:lpstr>PMA</vt:lpstr>
      <vt:lpstr>PMA_Programa_Mundial_de_Alimentos</vt:lpstr>
      <vt:lpstr>R_Protección</vt:lpstr>
      <vt:lpstr>RA_Seguridad_en_línea</vt:lpstr>
      <vt:lpstr>RB_Trabajo_infantil</vt:lpstr>
      <vt:lpstr>RC_Prevención_y_respuesta_a_prácticas_nocivas</vt:lpstr>
      <vt:lpstr>RD_Protección_infantil_basada_en_la_comunidad</vt:lpstr>
      <vt:lpstr>Sector</vt:lpstr>
      <vt:lpstr>U_Educación</vt:lpstr>
      <vt:lpstr>UA_Educación_Holística</vt:lpstr>
      <vt:lpstr>UB_Aprendizaje_fundamental</vt:lpstr>
      <vt:lpstr>UC_Aprendizaje_socioemocional__SEL</vt:lpstr>
      <vt:lpstr>UD_Acceso_y_retención</vt:lpstr>
      <vt:lpstr>X_Patrocinio</vt:lpstr>
      <vt:lpstr>XA_Gestión_de_Patrocinios</vt:lpstr>
      <vt:lpstr>Y_Transversal_Agencia</vt:lpstr>
      <vt:lpstr>YA_Agencia_Infantil_y_Juvenil</vt:lpstr>
      <vt:lpstr>Z_Administración</vt:lpstr>
      <vt:lpstr>ZA_Gestión_Administrativa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Edwing Armando López Esteves</dc:creator>
  <cp:keywords/>
  <dc:description/>
  <cp:lastModifiedBy>Eliberth Fabri Cio Galileo  Garcia Martinez</cp:lastModifiedBy>
  <cp:revision/>
  <dcterms:created xsi:type="dcterms:W3CDTF">2025-08-13T14:58:20Z</dcterms:created>
  <dcterms:modified xsi:type="dcterms:W3CDTF">2026-05-12T16:41:46Z</dcterms:modified>
  <cp:category/>
  <cp:contentStatus/>
</cp:coreProperties>
</file>